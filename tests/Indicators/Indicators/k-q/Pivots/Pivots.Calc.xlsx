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filterPrivacy="1" defaultThemeVersion="166925"/>
  <xr:revisionPtr revIDLastSave="0" documentId="13_ncr:1_{E8A25836-E184-4D70-BB84-2ADAC13BC1A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Pivots(4,4,20,HL)" sheetId="2" r:id="rId1"/>
    <sheet name="Issue1950" sheetId="3" r:id="rId2"/>
  </sheets>
  <definedNames>
    <definedName name="Multiplier" localSheetId="1">Issue1950!#REF!</definedName>
    <definedName name="Multiplier" localSheetId="0">'Pivots(4,4,20,HL)'!#REF!</definedName>
    <definedName name="Multiplier">#REF!</definedName>
  </definedNames>
  <calcPr calcId="191029" iterate="1" iterateCount="1000" iterateDelta="1E-4"/>
</workbook>
</file>

<file path=xl/calcChain.xml><?xml version="1.0" encoding="utf-8"?>
<calcChain xmlns="http://schemas.openxmlformats.org/spreadsheetml/2006/main">
  <c r="J501" i="2" l="1"/>
  <c r="G7" i="2"/>
  <c r="J7" i="2"/>
  <c r="G8" i="2"/>
  <c r="J8" i="2"/>
  <c r="G9" i="2"/>
  <c r="J9" i="2"/>
  <c r="L9" i="2" s="1"/>
  <c r="G10" i="2"/>
  <c r="J10" i="2"/>
  <c r="G11" i="2"/>
  <c r="J11" i="2"/>
  <c r="G12" i="2"/>
  <c r="J12" i="2"/>
  <c r="G13" i="2"/>
  <c r="J13" i="2"/>
  <c r="G14" i="2"/>
  <c r="J14" i="2"/>
  <c r="G15" i="2"/>
  <c r="J15" i="2"/>
  <c r="L15" i="2" s="1"/>
  <c r="G16" i="2"/>
  <c r="J16" i="2"/>
  <c r="G17" i="2"/>
  <c r="J17" i="2"/>
  <c r="G18" i="2"/>
  <c r="J18" i="2"/>
  <c r="G19" i="2"/>
  <c r="J19" i="2"/>
  <c r="G20" i="2"/>
  <c r="J20" i="2"/>
  <c r="G21" i="2"/>
  <c r="J21" i="2"/>
  <c r="L21" i="2" s="1"/>
  <c r="G22" i="2"/>
  <c r="J22" i="2"/>
  <c r="G23" i="2"/>
  <c r="J23" i="2"/>
  <c r="G24" i="2"/>
  <c r="J24" i="2"/>
  <c r="G25" i="2"/>
  <c r="J25" i="2"/>
  <c r="G26" i="2"/>
  <c r="J26" i="2"/>
  <c r="G27" i="2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L47" i="2" s="1"/>
  <c r="G48" i="2"/>
  <c r="J48" i="2"/>
  <c r="G49" i="2"/>
  <c r="J49" i="2"/>
  <c r="G50" i="2"/>
  <c r="J50" i="2"/>
  <c r="G51" i="2"/>
  <c r="I51" i="2" s="1"/>
  <c r="J51" i="2"/>
  <c r="G52" i="2"/>
  <c r="J52" i="2"/>
  <c r="G53" i="2"/>
  <c r="J53" i="2"/>
  <c r="G54" i="2"/>
  <c r="J54" i="2"/>
  <c r="G55" i="2"/>
  <c r="J55" i="2"/>
  <c r="G56" i="2"/>
  <c r="J56" i="2"/>
  <c r="G57" i="2"/>
  <c r="J57" i="2"/>
  <c r="G58" i="2"/>
  <c r="J58" i="2"/>
  <c r="G59" i="2"/>
  <c r="J59" i="2"/>
  <c r="L59" i="2" s="1"/>
  <c r="G60" i="2"/>
  <c r="J60" i="2"/>
  <c r="G61" i="2"/>
  <c r="J61" i="2"/>
  <c r="G62" i="2"/>
  <c r="J62" i="2"/>
  <c r="G63" i="2"/>
  <c r="J63" i="2"/>
  <c r="G64" i="2"/>
  <c r="J64" i="2"/>
  <c r="G65" i="2"/>
  <c r="J65" i="2"/>
  <c r="G66" i="2"/>
  <c r="I66" i="2" s="1"/>
  <c r="J66" i="2"/>
  <c r="G67" i="2"/>
  <c r="J67" i="2"/>
  <c r="G68" i="2"/>
  <c r="J68" i="2"/>
  <c r="G69" i="2"/>
  <c r="J69" i="2"/>
  <c r="G70" i="2"/>
  <c r="J70" i="2"/>
  <c r="G71" i="2"/>
  <c r="J71" i="2"/>
  <c r="G72" i="2"/>
  <c r="J72" i="2"/>
  <c r="L72" i="2" s="1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I80" i="2" s="1"/>
  <c r="J80" i="2"/>
  <c r="G81" i="2"/>
  <c r="J81" i="2"/>
  <c r="G82" i="2"/>
  <c r="J82" i="2"/>
  <c r="G83" i="2"/>
  <c r="J83" i="2"/>
  <c r="G84" i="2"/>
  <c r="J84" i="2"/>
  <c r="G85" i="2"/>
  <c r="J85" i="2"/>
  <c r="L85" i="2" s="1"/>
  <c r="G86" i="2"/>
  <c r="J86" i="2"/>
  <c r="G87" i="2"/>
  <c r="J87" i="2"/>
  <c r="G88" i="2"/>
  <c r="J88" i="2"/>
  <c r="G89" i="2"/>
  <c r="J89" i="2"/>
  <c r="G90" i="2"/>
  <c r="J90" i="2"/>
  <c r="G91" i="2"/>
  <c r="J91" i="2"/>
  <c r="G92" i="2"/>
  <c r="J92" i="2"/>
  <c r="G93" i="2"/>
  <c r="J93" i="2"/>
  <c r="G94" i="2"/>
  <c r="I94" i="2" s="1"/>
  <c r="J94" i="2"/>
  <c r="G95" i="2"/>
  <c r="J95" i="2"/>
  <c r="G96" i="2"/>
  <c r="J96" i="2"/>
  <c r="L96" i="2" s="1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6" i="2"/>
  <c r="I106" i="2" s="1"/>
  <c r="J106" i="2"/>
  <c r="G107" i="2"/>
  <c r="J107" i="2"/>
  <c r="G108" i="2"/>
  <c r="J108" i="2"/>
  <c r="G109" i="2"/>
  <c r="J109" i="2"/>
  <c r="G110" i="2"/>
  <c r="J110" i="2"/>
  <c r="G111" i="2"/>
  <c r="I111" i="2" s="1"/>
  <c r="J111" i="2"/>
  <c r="L111" i="2" s="1"/>
  <c r="G112" i="2"/>
  <c r="J112" i="2"/>
  <c r="G113" i="2"/>
  <c r="J113" i="2"/>
  <c r="G114" i="2"/>
  <c r="J114" i="2"/>
  <c r="G115" i="2"/>
  <c r="J115" i="2"/>
  <c r="G116" i="2"/>
  <c r="J116" i="2"/>
  <c r="G117" i="2"/>
  <c r="J117" i="2"/>
  <c r="G118" i="2"/>
  <c r="J118" i="2"/>
  <c r="G119" i="2"/>
  <c r="J119" i="2"/>
  <c r="G120" i="2"/>
  <c r="J120" i="2"/>
  <c r="G121" i="2"/>
  <c r="J121" i="2"/>
  <c r="G122" i="2"/>
  <c r="I122" i="2" s="1"/>
  <c r="J122" i="2"/>
  <c r="G123" i="2"/>
  <c r="J123" i="2"/>
  <c r="G124" i="2"/>
  <c r="J124" i="2"/>
  <c r="G125" i="2"/>
  <c r="J125" i="2"/>
  <c r="L125" i="2" s="1"/>
  <c r="G126" i="2"/>
  <c r="J126" i="2"/>
  <c r="G127" i="2"/>
  <c r="J127" i="2"/>
  <c r="G128" i="2"/>
  <c r="J128" i="2"/>
  <c r="G129" i="2"/>
  <c r="J129" i="2"/>
  <c r="G130" i="2"/>
  <c r="J130" i="2"/>
  <c r="G131" i="2"/>
  <c r="J131" i="2"/>
  <c r="G132" i="2"/>
  <c r="J132" i="2"/>
  <c r="G133" i="2"/>
  <c r="J133" i="2"/>
  <c r="G134" i="2"/>
  <c r="J134" i="2"/>
  <c r="G135" i="2"/>
  <c r="J135" i="2"/>
  <c r="G136" i="2"/>
  <c r="J136" i="2"/>
  <c r="G137" i="2"/>
  <c r="J137" i="2"/>
  <c r="G138" i="2"/>
  <c r="J138" i="2"/>
  <c r="G139" i="2"/>
  <c r="J139" i="2"/>
  <c r="G140" i="2"/>
  <c r="J140" i="2"/>
  <c r="G141" i="2"/>
  <c r="J141" i="2"/>
  <c r="G142" i="2"/>
  <c r="J142" i="2"/>
  <c r="G143" i="2"/>
  <c r="J143" i="2"/>
  <c r="G144" i="2"/>
  <c r="I144" i="2" s="1"/>
  <c r="J144" i="2"/>
  <c r="L144" i="2" s="1"/>
  <c r="G145" i="2"/>
  <c r="J145" i="2"/>
  <c r="G146" i="2"/>
  <c r="J146" i="2"/>
  <c r="G147" i="2"/>
  <c r="J147" i="2"/>
  <c r="G148" i="2"/>
  <c r="J148" i="2"/>
  <c r="G149" i="2"/>
  <c r="J149" i="2"/>
  <c r="G150" i="2"/>
  <c r="J150" i="2"/>
  <c r="G151" i="2"/>
  <c r="J151" i="2"/>
  <c r="G152" i="2"/>
  <c r="I152" i="2" s="1"/>
  <c r="J152" i="2"/>
  <c r="G153" i="2"/>
  <c r="J153" i="2"/>
  <c r="G154" i="2"/>
  <c r="J154" i="2"/>
  <c r="L154" i="2" s="1"/>
  <c r="G155" i="2"/>
  <c r="J155" i="2"/>
  <c r="G156" i="2"/>
  <c r="J156" i="2"/>
  <c r="G157" i="2"/>
  <c r="J157" i="2"/>
  <c r="G158" i="2"/>
  <c r="I158" i="2" s="1"/>
  <c r="J158" i="2"/>
  <c r="G159" i="2"/>
  <c r="J159" i="2"/>
  <c r="G160" i="2"/>
  <c r="J160" i="2"/>
  <c r="G161" i="2"/>
  <c r="J161" i="2"/>
  <c r="L161" i="2" s="1"/>
  <c r="G162" i="2"/>
  <c r="J162" i="2"/>
  <c r="G163" i="2"/>
  <c r="J163" i="2"/>
  <c r="G164" i="2"/>
  <c r="J164" i="2"/>
  <c r="G165" i="2"/>
  <c r="J165" i="2"/>
  <c r="G166" i="2"/>
  <c r="J166" i="2"/>
  <c r="G167" i="2"/>
  <c r="J167" i="2"/>
  <c r="L167" i="2" s="1"/>
  <c r="G168" i="2"/>
  <c r="J168" i="2"/>
  <c r="G169" i="2"/>
  <c r="J169" i="2"/>
  <c r="G170" i="2"/>
  <c r="I170" i="2" s="1"/>
  <c r="J170" i="2"/>
  <c r="G171" i="2"/>
  <c r="J171" i="2"/>
  <c r="G172" i="2"/>
  <c r="J172" i="2"/>
  <c r="G173" i="2"/>
  <c r="J173" i="2"/>
  <c r="G174" i="2"/>
  <c r="J174" i="2"/>
  <c r="G175" i="2"/>
  <c r="J175" i="2"/>
  <c r="G176" i="2"/>
  <c r="J176" i="2"/>
  <c r="G177" i="2"/>
  <c r="J177" i="2"/>
  <c r="G178" i="2"/>
  <c r="J178" i="2"/>
  <c r="G179" i="2"/>
  <c r="J179" i="2"/>
  <c r="G180" i="2"/>
  <c r="J180" i="2"/>
  <c r="G181" i="2"/>
  <c r="J181" i="2"/>
  <c r="G182" i="2"/>
  <c r="I182" i="2" s="1"/>
  <c r="J182" i="2"/>
  <c r="G183" i="2"/>
  <c r="J183" i="2"/>
  <c r="G184" i="2"/>
  <c r="J184" i="2"/>
  <c r="G185" i="2"/>
  <c r="J185" i="2"/>
  <c r="L185" i="2" s="1"/>
  <c r="G186" i="2"/>
  <c r="J186" i="2"/>
  <c r="G187" i="2"/>
  <c r="J187" i="2"/>
  <c r="G188" i="2"/>
  <c r="J188" i="2"/>
  <c r="G189" i="2"/>
  <c r="J189" i="2"/>
  <c r="G190" i="2"/>
  <c r="J190" i="2"/>
  <c r="G191" i="2"/>
  <c r="J191" i="2"/>
  <c r="G192" i="2"/>
  <c r="J192" i="2"/>
  <c r="G193" i="2"/>
  <c r="J193" i="2"/>
  <c r="G194" i="2"/>
  <c r="J194" i="2"/>
  <c r="G195" i="2"/>
  <c r="J195" i="2"/>
  <c r="G196" i="2"/>
  <c r="J196" i="2"/>
  <c r="G197" i="2"/>
  <c r="J197" i="2"/>
  <c r="G198" i="2"/>
  <c r="J198" i="2"/>
  <c r="G199" i="2"/>
  <c r="J199" i="2"/>
  <c r="G200" i="2"/>
  <c r="J200" i="2"/>
  <c r="G201" i="2"/>
  <c r="J201" i="2"/>
  <c r="G202" i="2"/>
  <c r="J202" i="2"/>
  <c r="G203" i="2"/>
  <c r="J203" i="2"/>
  <c r="G204" i="2"/>
  <c r="J204" i="2"/>
  <c r="G205" i="2"/>
  <c r="J205" i="2"/>
  <c r="G206" i="2"/>
  <c r="J206" i="2"/>
  <c r="G207" i="2"/>
  <c r="J207" i="2"/>
  <c r="L207" i="2" s="1"/>
  <c r="G208" i="2"/>
  <c r="J208" i="2"/>
  <c r="G209" i="2"/>
  <c r="J209" i="2"/>
  <c r="G210" i="2"/>
  <c r="J210" i="2"/>
  <c r="G211" i="2"/>
  <c r="J211" i="2"/>
  <c r="G212" i="2"/>
  <c r="J212" i="2"/>
  <c r="G213" i="2"/>
  <c r="J213" i="2"/>
  <c r="G214" i="2"/>
  <c r="J214" i="2"/>
  <c r="G215" i="2"/>
  <c r="J215" i="2"/>
  <c r="G216" i="2"/>
  <c r="I216" i="2" s="1"/>
  <c r="J216" i="2"/>
  <c r="G217" i="2"/>
  <c r="J217" i="2"/>
  <c r="G218" i="2"/>
  <c r="J218" i="2"/>
  <c r="G219" i="2"/>
  <c r="J219" i="2"/>
  <c r="G220" i="2"/>
  <c r="J220" i="2"/>
  <c r="G221" i="2"/>
  <c r="J221" i="2"/>
  <c r="G222" i="2"/>
  <c r="J222" i="2"/>
  <c r="L222" i="2" s="1"/>
  <c r="G223" i="2"/>
  <c r="J223" i="2"/>
  <c r="G224" i="2"/>
  <c r="J224" i="2"/>
  <c r="G225" i="2"/>
  <c r="J225" i="2"/>
  <c r="G226" i="2"/>
  <c r="J226" i="2"/>
  <c r="G227" i="2"/>
  <c r="J227" i="2"/>
  <c r="G228" i="2"/>
  <c r="J228" i="2"/>
  <c r="G229" i="2"/>
  <c r="J229" i="2"/>
  <c r="G230" i="2"/>
  <c r="J230" i="2"/>
  <c r="G231" i="2"/>
  <c r="J231" i="2"/>
  <c r="G232" i="2"/>
  <c r="J232" i="2"/>
  <c r="G233" i="2"/>
  <c r="J233" i="2"/>
  <c r="G234" i="2"/>
  <c r="I234" i="2" s="1"/>
  <c r="J234" i="2"/>
  <c r="G235" i="2"/>
  <c r="J235" i="2"/>
  <c r="G236" i="2"/>
  <c r="J236" i="2"/>
  <c r="G237" i="2"/>
  <c r="J237" i="2"/>
  <c r="G238" i="2"/>
  <c r="J238" i="2"/>
  <c r="G239" i="2"/>
  <c r="J239" i="2"/>
  <c r="G240" i="2"/>
  <c r="J240" i="2"/>
  <c r="G241" i="2"/>
  <c r="J241" i="2"/>
  <c r="G242" i="2"/>
  <c r="J242" i="2"/>
  <c r="G243" i="2"/>
  <c r="J243" i="2"/>
  <c r="G244" i="2"/>
  <c r="I244" i="2" s="1"/>
  <c r="J244" i="2"/>
  <c r="G245" i="2"/>
  <c r="J245" i="2"/>
  <c r="G246" i="2"/>
  <c r="J246" i="2"/>
  <c r="G247" i="2"/>
  <c r="J247" i="2"/>
  <c r="G248" i="2"/>
  <c r="J248" i="2"/>
  <c r="G249" i="2"/>
  <c r="J249" i="2"/>
  <c r="G250" i="2"/>
  <c r="J250" i="2"/>
  <c r="G251" i="2"/>
  <c r="J251" i="2"/>
  <c r="G252" i="2"/>
  <c r="J252" i="2"/>
  <c r="G253" i="2"/>
  <c r="J253" i="2"/>
  <c r="G254" i="2"/>
  <c r="J254" i="2"/>
  <c r="G255" i="2"/>
  <c r="J255" i="2"/>
  <c r="G256" i="2"/>
  <c r="J256" i="2"/>
  <c r="G257" i="2"/>
  <c r="J257" i="2"/>
  <c r="G258" i="2"/>
  <c r="J258" i="2"/>
  <c r="G259" i="2"/>
  <c r="J259" i="2"/>
  <c r="G260" i="2"/>
  <c r="J260" i="2"/>
  <c r="G261" i="2"/>
  <c r="J261" i="2"/>
  <c r="G262" i="2"/>
  <c r="J262" i="2"/>
  <c r="G263" i="2"/>
  <c r="J263" i="2"/>
  <c r="G264" i="2"/>
  <c r="J264" i="2"/>
  <c r="G265" i="2"/>
  <c r="J265" i="2"/>
  <c r="G266" i="2"/>
  <c r="J266" i="2"/>
  <c r="G267" i="2"/>
  <c r="J267" i="2"/>
  <c r="G268" i="2"/>
  <c r="J268" i="2"/>
  <c r="G269" i="2"/>
  <c r="J269" i="2"/>
  <c r="G270" i="2"/>
  <c r="I270" i="2" s="1"/>
  <c r="J270" i="2"/>
  <c r="G271" i="2"/>
  <c r="J271" i="2"/>
  <c r="G272" i="2"/>
  <c r="J272" i="2"/>
  <c r="G273" i="2"/>
  <c r="J273" i="2"/>
  <c r="G274" i="2"/>
  <c r="J274" i="2"/>
  <c r="G275" i="2"/>
  <c r="J275" i="2"/>
  <c r="G276" i="2"/>
  <c r="J276" i="2"/>
  <c r="G277" i="2"/>
  <c r="J277" i="2"/>
  <c r="G278" i="2"/>
  <c r="J278" i="2"/>
  <c r="G279" i="2"/>
  <c r="J279" i="2"/>
  <c r="G280" i="2"/>
  <c r="J280" i="2"/>
  <c r="L280" i="2" s="1"/>
  <c r="G281" i="2"/>
  <c r="J281" i="2"/>
  <c r="G282" i="2"/>
  <c r="J282" i="2"/>
  <c r="G283" i="2"/>
  <c r="J283" i="2"/>
  <c r="G284" i="2"/>
  <c r="J284" i="2"/>
  <c r="G285" i="2"/>
  <c r="J285" i="2"/>
  <c r="G286" i="2"/>
  <c r="J286" i="2"/>
  <c r="G287" i="2"/>
  <c r="J287" i="2"/>
  <c r="G288" i="2"/>
  <c r="J288" i="2"/>
  <c r="G289" i="2"/>
  <c r="J289" i="2"/>
  <c r="G290" i="2"/>
  <c r="J290" i="2"/>
  <c r="G291" i="2"/>
  <c r="I291" i="2" s="1"/>
  <c r="J291" i="2"/>
  <c r="G292" i="2"/>
  <c r="J292" i="2"/>
  <c r="G293" i="2"/>
  <c r="J293" i="2"/>
  <c r="G294" i="2"/>
  <c r="J294" i="2"/>
  <c r="L294" i="2" s="1"/>
  <c r="G295" i="2"/>
  <c r="J295" i="2"/>
  <c r="G296" i="2"/>
  <c r="J296" i="2"/>
  <c r="G297" i="2"/>
  <c r="J297" i="2"/>
  <c r="G298" i="2"/>
  <c r="J298" i="2"/>
  <c r="G299" i="2"/>
  <c r="J299" i="2"/>
  <c r="G300" i="2"/>
  <c r="J300" i="2"/>
  <c r="G301" i="2"/>
  <c r="J301" i="2"/>
  <c r="G302" i="2"/>
  <c r="J302" i="2"/>
  <c r="G303" i="2"/>
  <c r="J303" i="2"/>
  <c r="G304" i="2"/>
  <c r="J304" i="2"/>
  <c r="G305" i="2"/>
  <c r="J305" i="2"/>
  <c r="G306" i="2"/>
  <c r="J306" i="2"/>
  <c r="G307" i="2"/>
  <c r="J307" i="2"/>
  <c r="G308" i="2"/>
  <c r="J308" i="2"/>
  <c r="G309" i="2"/>
  <c r="J309" i="2"/>
  <c r="L309" i="2" s="1"/>
  <c r="G310" i="2"/>
  <c r="J310" i="2"/>
  <c r="G311" i="2"/>
  <c r="J311" i="2"/>
  <c r="G312" i="2"/>
  <c r="J312" i="2"/>
  <c r="G313" i="2"/>
  <c r="J313" i="2"/>
  <c r="G314" i="2"/>
  <c r="J314" i="2"/>
  <c r="L314" i="2" s="1"/>
  <c r="G315" i="2"/>
  <c r="J315" i="2"/>
  <c r="G316" i="2"/>
  <c r="J316" i="2"/>
  <c r="G317" i="2"/>
  <c r="J317" i="2"/>
  <c r="G318" i="2"/>
  <c r="J318" i="2"/>
  <c r="G319" i="2"/>
  <c r="J319" i="2"/>
  <c r="G320" i="2"/>
  <c r="J320" i="2"/>
  <c r="G321" i="2"/>
  <c r="J321" i="2"/>
  <c r="G322" i="2"/>
  <c r="J322" i="2"/>
  <c r="G323" i="2"/>
  <c r="J323" i="2"/>
  <c r="G324" i="2"/>
  <c r="J324" i="2"/>
  <c r="G325" i="2"/>
  <c r="J325" i="2"/>
  <c r="G326" i="2"/>
  <c r="I326" i="2" s="1"/>
  <c r="J326" i="2"/>
  <c r="G327" i="2"/>
  <c r="J327" i="2"/>
  <c r="G328" i="2"/>
  <c r="J328" i="2"/>
  <c r="G329" i="2"/>
  <c r="J329" i="2"/>
  <c r="G330" i="2"/>
  <c r="J330" i="2"/>
  <c r="G331" i="2"/>
  <c r="J331" i="2"/>
  <c r="L331" i="2" s="1"/>
  <c r="G332" i="2"/>
  <c r="J332" i="2"/>
  <c r="G333" i="2"/>
  <c r="J333" i="2"/>
  <c r="G334" i="2"/>
  <c r="J334" i="2"/>
  <c r="G335" i="2"/>
  <c r="J335" i="2"/>
  <c r="G336" i="2"/>
  <c r="J336" i="2"/>
  <c r="G337" i="2"/>
  <c r="J337" i="2"/>
  <c r="L337" i="2" s="1"/>
  <c r="G338" i="2"/>
  <c r="J338" i="2"/>
  <c r="G339" i="2"/>
  <c r="J339" i="2"/>
  <c r="G340" i="2"/>
  <c r="J340" i="2"/>
  <c r="G341" i="2"/>
  <c r="J341" i="2"/>
  <c r="G342" i="2"/>
  <c r="J342" i="2"/>
  <c r="G343" i="2"/>
  <c r="J343" i="2"/>
  <c r="G344" i="2"/>
  <c r="I344" i="2" s="1"/>
  <c r="J344" i="2"/>
  <c r="G345" i="2"/>
  <c r="J345" i="2"/>
  <c r="G346" i="2"/>
  <c r="J346" i="2"/>
  <c r="G347" i="2"/>
  <c r="J347" i="2"/>
  <c r="G348" i="2"/>
  <c r="J348" i="2"/>
  <c r="G349" i="2"/>
  <c r="J349" i="2"/>
  <c r="G350" i="2"/>
  <c r="I350" i="2" s="1"/>
  <c r="J350" i="2"/>
  <c r="G351" i="2"/>
  <c r="J351" i="2"/>
  <c r="G352" i="2"/>
  <c r="J352" i="2"/>
  <c r="G353" i="2"/>
  <c r="J353" i="2"/>
  <c r="G354" i="2"/>
  <c r="J354" i="2"/>
  <c r="L354" i="2" s="1"/>
  <c r="G355" i="2"/>
  <c r="J355" i="2"/>
  <c r="G356" i="2"/>
  <c r="J356" i="2"/>
  <c r="G357" i="2"/>
  <c r="J357" i="2"/>
  <c r="G358" i="2"/>
  <c r="J358" i="2"/>
  <c r="G359" i="2"/>
  <c r="J359" i="2"/>
  <c r="G360" i="2"/>
  <c r="J360" i="2"/>
  <c r="G361" i="2"/>
  <c r="J361" i="2"/>
  <c r="G362" i="2"/>
  <c r="J362" i="2"/>
  <c r="G363" i="2"/>
  <c r="J363" i="2"/>
  <c r="G364" i="2"/>
  <c r="J364" i="2"/>
  <c r="G365" i="2"/>
  <c r="J365" i="2"/>
  <c r="G366" i="2"/>
  <c r="J366" i="2"/>
  <c r="G367" i="2"/>
  <c r="J367" i="2"/>
  <c r="G368" i="2"/>
  <c r="J368" i="2"/>
  <c r="G369" i="2"/>
  <c r="J369" i="2"/>
  <c r="G370" i="2"/>
  <c r="J370" i="2"/>
  <c r="G371" i="2"/>
  <c r="J371" i="2"/>
  <c r="G372" i="2"/>
  <c r="J372" i="2"/>
  <c r="G373" i="2"/>
  <c r="J373" i="2"/>
  <c r="G374" i="2"/>
  <c r="J374" i="2"/>
  <c r="G375" i="2"/>
  <c r="J375" i="2"/>
  <c r="G376" i="2"/>
  <c r="J376" i="2"/>
  <c r="G377" i="2"/>
  <c r="J377" i="2"/>
  <c r="G378" i="2"/>
  <c r="J378" i="2"/>
  <c r="G379" i="2"/>
  <c r="J379" i="2"/>
  <c r="G380" i="2"/>
  <c r="J380" i="2"/>
  <c r="G381" i="2"/>
  <c r="J381" i="2"/>
  <c r="G382" i="2"/>
  <c r="J382" i="2"/>
  <c r="G383" i="2"/>
  <c r="J383" i="2"/>
  <c r="G384" i="2"/>
  <c r="J384" i="2"/>
  <c r="G385" i="2"/>
  <c r="J385" i="2"/>
  <c r="G386" i="2"/>
  <c r="J386" i="2"/>
  <c r="G387" i="2"/>
  <c r="J387" i="2"/>
  <c r="G388" i="2"/>
  <c r="J388" i="2"/>
  <c r="G389" i="2"/>
  <c r="J389" i="2"/>
  <c r="G390" i="2"/>
  <c r="J390" i="2"/>
  <c r="G391" i="2"/>
  <c r="J391" i="2"/>
  <c r="G392" i="2"/>
  <c r="J392" i="2"/>
  <c r="G393" i="2"/>
  <c r="J393" i="2"/>
  <c r="G394" i="2"/>
  <c r="I394" i="2" s="1"/>
  <c r="J394" i="2"/>
  <c r="G395" i="2"/>
  <c r="J395" i="2"/>
  <c r="G396" i="2"/>
  <c r="J396" i="2"/>
  <c r="G397" i="2"/>
  <c r="J397" i="2"/>
  <c r="G398" i="2"/>
  <c r="J398" i="2"/>
  <c r="G399" i="2"/>
  <c r="J399" i="2"/>
  <c r="G400" i="2"/>
  <c r="J400" i="2"/>
  <c r="L400" i="2" s="1"/>
  <c r="G401" i="2"/>
  <c r="J401" i="2"/>
  <c r="G402" i="2"/>
  <c r="J402" i="2"/>
  <c r="G403" i="2"/>
  <c r="J403" i="2"/>
  <c r="G404" i="2"/>
  <c r="J404" i="2"/>
  <c r="G405" i="2"/>
  <c r="J405" i="2"/>
  <c r="G406" i="2"/>
  <c r="J406" i="2"/>
  <c r="G407" i="2"/>
  <c r="J407" i="2"/>
  <c r="G408" i="2"/>
  <c r="J408" i="2"/>
  <c r="G409" i="2"/>
  <c r="J409" i="2"/>
  <c r="L409" i="2" s="1"/>
  <c r="G410" i="2"/>
  <c r="J410" i="2"/>
  <c r="G411" i="2"/>
  <c r="J411" i="2"/>
  <c r="G412" i="2"/>
  <c r="J412" i="2"/>
  <c r="G413" i="2"/>
  <c r="J413" i="2"/>
  <c r="G414" i="2"/>
  <c r="J414" i="2"/>
  <c r="G415" i="2"/>
  <c r="J415" i="2"/>
  <c r="G416" i="2"/>
  <c r="J416" i="2"/>
  <c r="G417" i="2"/>
  <c r="J417" i="2"/>
  <c r="G418" i="2"/>
  <c r="J418" i="2"/>
  <c r="G419" i="2"/>
  <c r="J419" i="2"/>
  <c r="G420" i="2"/>
  <c r="J420" i="2"/>
  <c r="G421" i="2"/>
  <c r="J421" i="2"/>
  <c r="G422" i="2"/>
  <c r="J422" i="2"/>
  <c r="G423" i="2"/>
  <c r="J423" i="2"/>
  <c r="G424" i="2"/>
  <c r="J424" i="2"/>
  <c r="G425" i="2"/>
  <c r="J425" i="2"/>
  <c r="L425" i="2" s="1"/>
  <c r="G426" i="2"/>
  <c r="J426" i="2"/>
  <c r="G427" i="2"/>
  <c r="J427" i="2"/>
  <c r="G428" i="2"/>
  <c r="J428" i="2"/>
  <c r="G429" i="2"/>
  <c r="J429" i="2"/>
  <c r="G430" i="2"/>
  <c r="J430" i="2"/>
  <c r="G431" i="2"/>
  <c r="J431" i="2"/>
  <c r="G432" i="2"/>
  <c r="J432" i="2"/>
  <c r="G433" i="2"/>
  <c r="J433" i="2"/>
  <c r="G434" i="2"/>
  <c r="J434" i="2"/>
  <c r="G435" i="2"/>
  <c r="J435" i="2"/>
  <c r="G436" i="2"/>
  <c r="J436" i="2"/>
  <c r="G437" i="2"/>
  <c r="J437" i="2"/>
  <c r="G438" i="2"/>
  <c r="J438" i="2"/>
  <c r="L438" i="2" s="1"/>
  <c r="G439" i="2"/>
  <c r="J439" i="2"/>
  <c r="G440" i="2"/>
  <c r="J440" i="2"/>
  <c r="G441" i="2"/>
  <c r="J441" i="2"/>
  <c r="G442" i="2"/>
  <c r="J442" i="2"/>
  <c r="G443" i="2"/>
  <c r="J443" i="2"/>
  <c r="G444" i="2"/>
  <c r="J444" i="2"/>
  <c r="G445" i="2"/>
  <c r="J445" i="2"/>
  <c r="G446" i="2"/>
  <c r="J446" i="2"/>
  <c r="G447" i="2"/>
  <c r="J447" i="2"/>
  <c r="G448" i="2"/>
  <c r="J448" i="2"/>
  <c r="G449" i="2"/>
  <c r="J449" i="2"/>
  <c r="L449" i="2" s="1"/>
  <c r="G450" i="2"/>
  <c r="J450" i="2"/>
  <c r="G451" i="2"/>
  <c r="J451" i="2"/>
  <c r="G452" i="2"/>
  <c r="J452" i="2"/>
  <c r="G453" i="2"/>
  <c r="J453" i="2"/>
  <c r="G454" i="2"/>
  <c r="J454" i="2"/>
  <c r="G455" i="2"/>
  <c r="J455" i="2"/>
  <c r="G456" i="2"/>
  <c r="J456" i="2"/>
  <c r="G457" i="2"/>
  <c r="J457" i="2"/>
  <c r="G458" i="2"/>
  <c r="J458" i="2"/>
  <c r="G459" i="2"/>
  <c r="J459" i="2"/>
  <c r="G460" i="2"/>
  <c r="J460" i="2"/>
  <c r="G461" i="2"/>
  <c r="J461" i="2"/>
  <c r="L461" i="2" s="1"/>
  <c r="G462" i="2"/>
  <c r="J462" i="2"/>
  <c r="G463" i="2"/>
  <c r="J463" i="2"/>
  <c r="G464" i="2"/>
  <c r="J464" i="2"/>
  <c r="G465" i="2"/>
  <c r="J465" i="2"/>
  <c r="G466" i="2"/>
  <c r="J466" i="2"/>
  <c r="G467" i="2"/>
  <c r="J467" i="2"/>
  <c r="G468" i="2"/>
  <c r="J468" i="2"/>
  <c r="G469" i="2"/>
  <c r="J469" i="2"/>
  <c r="G470" i="2"/>
  <c r="J470" i="2"/>
  <c r="G471" i="2"/>
  <c r="J471" i="2"/>
  <c r="G472" i="2"/>
  <c r="J472" i="2"/>
  <c r="G473" i="2"/>
  <c r="J473" i="2"/>
  <c r="G474" i="2"/>
  <c r="J474" i="2"/>
  <c r="G475" i="2"/>
  <c r="J475" i="2"/>
  <c r="G476" i="2"/>
  <c r="J476" i="2"/>
  <c r="G477" i="2"/>
  <c r="J477" i="2"/>
  <c r="G478" i="2"/>
  <c r="J478" i="2"/>
  <c r="G479" i="2"/>
  <c r="J479" i="2"/>
  <c r="L479" i="2" s="1"/>
  <c r="G480" i="2"/>
  <c r="J480" i="2"/>
  <c r="G481" i="2"/>
  <c r="J481" i="2"/>
  <c r="G482" i="2"/>
  <c r="J482" i="2"/>
  <c r="G483" i="2"/>
  <c r="J483" i="2"/>
  <c r="G484" i="2"/>
  <c r="J484" i="2"/>
  <c r="G485" i="2"/>
  <c r="J485" i="2"/>
  <c r="G486" i="2"/>
  <c r="J486" i="2"/>
  <c r="G487" i="2"/>
  <c r="J487" i="2"/>
  <c r="G488" i="2"/>
  <c r="J488" i="2"/>
  <c r="G489" i="2"/>
  <c r="J489" i="2"/>
  <c r="L489" i="2" s="1"/>
  <c r="G490" i="2"/>
  <c r="J490" i="2"/>
  <c r="G491" i="2"/>
  <c r="J491" i="2"/>
  <c r="G492" i="2"/>
  <c r="J492" i="2"/>
  <c r="G493" i="2"/>
  <c r="J493" i="2"/>
  <c r="G494" i="2"/>
  <c r="J494" i="2"/>
  <c r="G495" i="2"/>
  <c r="J495" i="2"/>
  <c r="G496" i="2"/>
  <c r="J496" i="2"/>
  <c r="G497" i="2"/>
  <c r="J497" i="2"/>
  <c r="G498" i="2"/>
  <c r="J498" i="2"/>
  <c r="G499" i="2"/>
  <c r="J499" i="2"/>
  <c r="J6" i="2"/>
  <c r="G6" i="2"/>
  <c r="J503" i="2"/>
  <c r="G503" i="2"/>
  <c r="J502" i="2"/>
  <c r="I365" i="2" l="1"/>
  <c r="I469" i="2"/>
  <c r="I285" i="2"/>
  <c r="I485" i="2"/>
  <c r="I403" i="2"/>
  <c r="I301" i="2"/>
  <c r="I419" i="2"/>
  <c r="I317" i="2"/>
  <c r="I435" i="2"/>
  <c r="I117" i="2"/>
  <c r="I443" i="2"/>
  <c r="I453" i="2"/>
  <c r="I41" i="2"/>
  <c r="L10" i="2"/>
  <c r="L11" i="2"/>
  <c r="L12" i="2"/>
  <c r="L13" i="2"/>
  <c r="L14" i="2"/>
  <c r="L16" i="2"/>
  <c r="L17" i="2"/>
  <c r="L18" i="2"/>
  <c r="L19" i="2"/>
  <c r="L20" i="2"/>
  <c r="I42" i="2"/>
  <c r="I43" i="2"/>
  <c r="I44" i="2"/>
  <c r="I45" i="2"/>
  <c r="I46" i="2"/>
  <c r="I47" i="2"/>
  <c r="I48" i="2"/>
  <c r="L48" i="2"/>
  <c r="I49" i="2"/>
  <c r="L49" i="2"/>
  <c r="I50" i="2"/>
  <c r="L50" i="2"/>
  <c r="L51" i="2"/>
  <c r="I52" i="2"/>
  <c r="L52" i="2"/>
  <c r="I53" i="2"/>
  <c r="L53" i="2"/>
  <c r="I54" i="2"/>
  <c r="L54" i="2"/>
  <c r="I55" i="2"/>
  <c r="L55" i="2"/>
  <c r="I56" i="2"/>
  <c r="L56" i="2"/>
  <c r="I57" i="2"/>
  <c r="L57" i="2"/>
  <c r="I58" i="2"/>
  <c r="L58" i="2"/>
  <c r="I59" i="2"/>
  <c r="I60" i="2"/>
  <c r="L60" i="2"/>
  <c r="I61" i="2"/>
  <c r="L61" i="2"/>
  <c r="I62" i="2"/>
  <c r="L62" i="2"/>
  <c r="I63" i="2"/>
  <c r="L63" i="2"/>
  <c r="I64" i="2"/>
  <c r="L64" i="2"/>
  <c r="I65" i="2"/>
  <c r="L65" i="2"/>
  <c r="L66" i="2"/>
  <c r="I67" i="2"/>
  <c r="L67" i="2"/>
  <c r="I68" i="2"/>
  <c r="L68" i="2"/>
  <c r="I69" i="2"/>
  <c r="L69" i="2"/>
  <c r="I70" i="2"/>
  <c r="L70" i="2"/>
  <c r="I71" i="2"/>
  <c r="L71" i="2"/>
  <c r="I72" i="2"/>
  <c r="I73" i="2"/>
  <c r="L73" i="2"/>
  <c r="I74" i="2"/>
  <c r="L74" i="2"/>
  <c r="I75" i="2"/>
  <c r="L75" i="2"/>
  <c r="I76" i="2"/>
  <c r="L76" i="2"/>
  <c r="I77" i="2"/>
  <c r="L77" i="2"/>
  <c r="I78" i="2"/>
  <c r="L78" i="2"/>
  <c r="I79" i="2"/>
  <c r="L79" i="2"/>
  <c r="L80" i="2"/>
  <c r="I81" i="2"/>
  <c r="L81" i="2"/>
  <c r="I82" i="2"/>
  <c r="L82" i="2"/>
  <c r="I83" i="2"/>
  <c r="L83" i="2"/>
  <c r="I84" i="2"/>
  <c r="L84" i="2"/>
  <c r="I85" i="2"/>
  <c r="I86" i="2"/>
  <c r="L86" i="2"/>
  <c r="I87" i="2"/>
  <c r="L87" i="2"/>
  <c r="I88" i="2"/>
  <c r="L88" i="2"/>
  <c r="I89" i="2"/>
  <c r="L89" i="2"/>
  <c r="I90" i="2"/>
  <c r="L90" i="2"/>
  <c r="I91" i="2"/>
  <c r="L91" i="2"/>
  <c r="I92" i="2"/>
  <c r="L92" i="2"/>
  <c r="I93" i="2"/>
  <c r="L93" i="2"/>
  <c r="L94" i="2"/>
  <c r="I95" i="2"/>
  <c r="L95" i="2"/>
  <c r="I96" i="2"/>
  <c r="I97" i="2"/>
  <c r="L97" i="2"/>
  <c r="I98" i="2"/>
  <c r="L98" i="2"/>
  <c r="I99" i="2"/>
  <c r="L99" i="2"/>
  <c r="I100" i="2"/>
  <c r="L100" i="2"/>
  <c r="I101" i="2"/>
  <c r="L101" i="2"/>
  <c r="I102" i="2"/>
  <c r="L102" i="2"/>
  <c r="I103" i="2"/>
  <c r="L103" i="2"/>
  <c r="I104" i="2"/>
  <c r="L104" i="2"/>
  <c r="I105" i="2"/>
  <c r="L105" i="2"/>
  <c r="L106" i="2"/>
  <c r="I107" i="2"/>
  <c r="L107" i="2"/>
  <c r="I108" i="2"/>
  <c r="L108" i="2"/>
  <c r="I109" i="2"/>
  <c r="L109" i="2"/>
  <c r="I110" i="2"/>
  <c r="L110" i="2"/>
  <c r="I112" i="2"/>
  <c r="L112" i="2"/>
  <c r="I113" i="2"/>
  <c r="L113" i="2"/>
  <c r="I114" i="2"/>
  <c r="L114" i="2"/>
  <c r="I115" i="2"/>
  <c r="L115" i="2"/>
  <c r="I116" i="2"/>
  <c r="L116" i="2"/>
  <c r="L117" i="2"/>
  <c r="I118" i="2"/>
  <c r="L118" i="2"/>
  <c r="I119" i="2"/>
  <c r="L119" i="2"/>
  <c r="I120" i="2"/>
  <c r="L120" i="2"/>
  <c r="I121" i="2"/>
  <c r="L121" i="2"/>
  <c r="L122" i="2"/>
  <c r="L123" i="2"/>
  <c r="L124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I145" i="2"/>
  <c r="L145" i="2"/>
  <c r="I146" i="2"/>
  <c r="L146" i="2"/>
  <c r="I147" i="2"/>
  <c r="L147" i="2"/>
  <c r="I148" i="2"/>
  <c r="L148" i="2"/>
  <c r="I149" i="2"/>
  <c r="L149" i="2"/>
  <c r="I150" i="2"/>
  <c r="L150" i="2"/>
  <c r="I151" i="2"/>
  <c r="L151" i="2"/>
  <c r="L152" i="2"/>
  <c r="I153" i="2"/>
  <c r="L153" i="2"/>
  <c r="I154" i="2"/>
  <c r="I155" i="2"/>
  <c r="L155" i="2"/>
  <c r="I156" i="2"/>
  <c r="L156" i="2"/>
  <c r="I157" i="2"/>
  <c r="L157" i="2"/>
  <c r="L158" i="2"/>
  <c r="I159" i="2"/>
  <c r="L159" i="2"/>
  <c r="I160" i="2"/>
  <c r="L160" i="2"/>
  <c r="I161" i="2"/>
  <c r="I162" i="2"/>
  <c r="L162" i="2"/>
  <c r="I163" i="2"/>
  <c r="L163" i="2"/>
  <c r="I164" i="2"/>
  <c r="L164" i="2"/>
  <c r="I165" i="2"/>
  <c r="L165" i="2"/>
  <c r="I166" i="2"/>
  <c r="L166" i="2"/>
  <c r="I167" i="2"/>
  <c r="I168" i="2"/>
  <c r="L168" i="2"/>
  <c r="I169" i="2"/>
  <c r="L169" i="2"/>
  <c r="L170" i="2"/>
  <c r="I171" i="2"/>
  <c r="L171" i="2"/>
  <c r="I172" i="2"/>
  <c r="L172" i="2"/>
  <c r="I173" i="2"/>
  <c r="L173" i="2"/>
  <c r="I174" i="2"/>
  <c r="L174" i="2"/>
  <c r="I175" i="2"/>
  <c r="L175" i="2"/>
  <c r="I176" i="2"/>
  <c r="L176" i="2"/>
  <c r="I177" i="2"/>
  <c r="L177" i="2"/>
  <c r="I178" i="2"/>
  <c r="L178" i="2"/>
  <c r="I179" i="2"/>
  <c r="L179" i="2"/>
  <c r="I180" i="2"/>
  <c r="L180" i="2"/>
  <c r="I181" i="2"/>
  <c r="L181" i="2"/>
  <c r="L182" i="2"/>
  <c r="L183" i="2"/>
  <c r="L184" i="2"/>
  <c r="L208" i="2"/>
  <c r="L209" i="2"/>
  <c r="L210" i="2"/>
  <c r="L211" i="2"/>
  <c r="L212" i="2"/>
  <c r="L213" i="2"/>
  <c r="L214" i="2"/>
  <c r="L215" i="2"/>
  <c r="L216" i="2"/>
  <c r="I217" i="2"/>
  <c r="L217" i="2"/>
  <c r="I218" i="2"/>
  <c r="L218" i="2"/>
  <c r="I219" i="2"/>
  <c r="L219" i="2"/>
  <c r="I220" i="2"/>
  <c r="L220" i="2"/>
  <c r="I221" i="2"/>
  <c r="L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5" i="2"/>
  <c r="I236" i="2"/>
  <c r="I237" i="2"/>
  <c r="I238" i="2"/>
  <c r="I239" i="2"/>
  <c r="I240" i="2"/>
  <c r="I241" i="2"/>
  <c r="I242" i="2"/>
  <c r="I243" i="2"/>
  <c r="I271" i="2"/>
  <c r="I272" i="2"/>
  <c r="I273" i="2"/>
  <c r="I274" i="2"/>
  <c r="I275" i="2"/>
  <c r="I276" i="2"/>
  <c r="I277" i="2"/>
  <c r="I278" i="2"/>
  <c r="I279" i="2"/>
  <c r="I280" i="2"/>
  <c r="I281" i="2"/>
  <c r="L281" i="2"/>
  <c r="I282" i="2"/>
  <c r="L282" i="2"/>
  <c r="I283" i="2"/>
  <c r="L283" i="2"/>
  <c r="I284" i="2"/>
  <c r="L284" i="2"/>
  <c r="L285" i="2"/>
  <c r="I286" i="2"/>
  <c r="L286" i="2"/>
  <c r="I287" i="2"/>
  <c r="L287" i="2"/>
  <c r="I288" i="2"/>
  <c r="L288" i="2"/>
  <c r="I289" i="2"/>
  <c r="L289" i="2"/>
  <c r="I290" i="2"/>
  <c r="L290" i="2"/>
  <c r="L291" i="2"/>
  <c r="I292" i="2"/>
  <c r="L292" i="2"/>
  <c r="I293" i="2"/>
  <c r="L293" i="2"/>
  <c r="I294" i="2"/>
  <c r="I295" i="2"/>
  <c r="L295" i="2"/>
  <c r="I296" i="2"/>
  <c r="L296" i="2"/>
  <c r="I297" i="2"/>
  <c r="L297" i="2"/>
  <c r="I298" i="2"/>
  <c r="L298" i="2"/>
  <c r="I299" i="2"/>
  <c r="L299" i="2"/>
  <c r="I300" i="2"/>
  <c r="L300" i="2"/>
  <c r="L301" i="2"/>
  <c r="I302" i="2"/>
  <c r="L302" i="2"/>
  <c r="I303" i="2"/>
  <c r="L303" i="2"/>
  <c r="I304" i="2"/>
  <c r="L304" i="2"/>
  <c r="I305" i="2"/>
  <c r="L305" i="2"/>
  <c r="I306" i="2"/>
  <c r="L306" i="2"/>
  <c r="I307" i="2"/>
  <c r="L307" i="2"/>
  <c r="I308" i="2"/>
  <c r="L308" i="2"/>
  <c r="I309" i="2"/>
  <c r="I310" i="2"/>
  <c r="L310" i="2"/>
  <c r="I311" i="2"/>
  <c r="L311" i="2"/>
  <c r="I312" i="2"/>
  <c r="L312" i="2"/>
  <c r="I313" i="2"/>
  <c r="L313" i="2"/>
  <c r="I314" i="2"/>
  <c r="I315" i="2"/>
  <c r="L315" i="2"/>
  <c r="I316" i="2"/>
  <c r="L316" i="2"/>
  <c r="L317" i="2"/>
  <c r="I318" i="2"/>
  <c r="L318" i="2"/>
  <c r="I319" i="2"/>
  <c r="L319" i="2"/>
  <c r="I320" i="2"/>
  <c r="L320" i="2"/>
  <c r="I321" i="2"/>
  <c r="L321" i="2"/>
  <c r="I322" i="2"/>
  <c r="L322" i="2"/>
  <c r="I323" i="2"/>
  <c r="L323" i="2"/>
  <c r="I324" i="2"/>
  <c r="L324" i="2"/>
  <c r="I325" i="2"/>
  <c r="L325" i="2"/>
  <c r="L326" i="2"/>
  <c r="I327" i="2"/>
  <c r="L327" i="2"/>
  <c r="I328" i="2"/>
  <c r="L328" i="2"/>
  <c r="I329" i="2"/>
  <c r="L329" i="2"/>
  <c r="I330" i="2"/>
  <c r="L330" i="2"/>
  <c r="I331" i="2"/>
  <c r="I332" i="2"/>
  <c r="L332" i="2"/>
  <c r="I333" i="2"/>
  <c r="L333" i="2"/>
  <c r="I334" i="2"/>
  <c r="L334" i="2"/>
  <c r="I335" i="2"/>
  <c r="L335" i="2"/>
  <c r="I336" i="2"/>
  <c r="L336" i="2"/>
  <c r="I337" i="2"/>
  <c r="I338" i="2"/>
  <c r="L338" i="2"/>
  <c r="I339" i="2"/>
  <c r="L339" i="2"/>
  <c r="I340" i="2"/>
  <c r="L340" i="2"/>
  <c r="I341" i="2"/>
  <c r="L341" i="2"/>
  <c r="I342" i="2"/>
  <c r="L342" i="2"/>
  <c r="I343" i="2"/>
  <c r="L343" i="2"/>
  <c r="L344" i="2"/>
  <c r="I345" i="2"/>
  <c r="L345" i="2"/>
  <c r="I346" i="2"/>
  <c r="L346" i="2"/>
  <c r="I347" i="2"/>
  <c r="L347" i="2"/>
  <c r="I348" i="2"/>
  <c r="L348" i="2"/>
  <c r="I349" i="2"/>
  <c r="L349" i="2"/>
  <c r="L350" i="2"/>
  <c r="I351" i="2"/>
  <c r="L351" i="2"/>
  <c r="I352" i="2"/>
  <c r="L352" i="2"/>
  <c r="I353" i="2"/>
  <c r="L353" i="2"/>
  <c r="I354" i="2"/>
  <c r="I355" i="2"/>
  <c r="I356" i="2"/>
  <c r="I357" i="2"/>
  <c r="I358" i="2"/>
  <c r="I359" i="2"/>
  <c r="I360" i="2"/>
  <c r="I361" i="2"/>
  <c r="I362" i="2"/>
  <c r="I363" i="2"/>
  <c r="I364" i="2"/>
  <c r="I395" i="2"/>
  <c r="I396" i="2"/>
  <c r="I397" i="2"/>
  <c r="I398" i="2"/>
  <c r="I399" i="2"/>
  <c r="I400" i="2"/>
  <c r="I401" i="2"/>
  <c r="L401" i="2"/>
  <c r="I402" i="2"/>
  <c r="L402" i="2"/>
  <c r="L403" i="2"/>
  <c r="I404" i="2"/>
  <c r="L404" i="2"/>
  <c r="I405" i="2"/>
  <c r="L405" i="2"/>
  <c r="I406" i="2"/>
  <c r="L406" i="2"/>
  <c r="I407" i="2"/>
  <c r="L407" i="2"/>
  <c r="I408" i="2"/>
  <c r="L408" i="2"/>
  <c r="I409" i="2"/>
  <c r="I410" i="2"/>
  <c r="L410" i="2"/>
  <c r="I411" i="2"/>
  <c r="L411" i="2"/>
  <c r="I412" i="2"/>
  <c r="L412" i="2"/>
  <c r="I413" i="2"/>
  <c r="L413" i="2"/>
  <c r="I414" i="2"/>
  <c r="L414" i="2"/>
  <c r="I415" i="2"/>
  <c r="L415" i="2"/>
  <c r="I416" i="2"/>
  <c r="L416" i="2"/>
  <c r="I417" i="2"/>
  <c r="L417" i="2"/>
  <c r="I418" i="2"/>
  <c r="L418" i="2"/>
  <c r="L419" i="2"/>
  <c r="I420" i="2"/>
  <c r="L420" i="2"/>
  <c r="I421" i="2"/>
  <c r="L421" i="2"/>
  <c r="I422" i="2"/>
  <c r="L422" i="2"/>
  <c r="I423" i="2"/>
  <c r="L423" i="2"/>
  <c r="I424" i="2"/>
  <c r="L424" i="2"/>
  <c r="I425" i="2"/>
  <c r="I426" i="2"/>
  <c r="L426" i="2"/>
  <c r="I427" i="2"/>
  <c r="L427" i="2"/>
  <c r="I428" i="2"/>
  <c r="L428" i="2"/>
  <c r="I429" i="2"/>
  <c r="L429" i="2"/>
  <c r="I430" i="2"/>
  <c r="L430" i="2"/>
  <c r="I431" i="2"/>
  <c r="L431" i="2"/>
  <c r="I432" i="2"/>
  <c r="L432" i="2"/>
  <c r="I433" i="2"/>
  <c r="L433" i="2"/>
  <c r="I434" i="2"/>
  <c r="L434" i="2"/>
  <c r="L435" i="2"/>
  <c r="I436" i="2"/>
  <c r="L436" i="2"/>
  <c r="I437" i="2"/>
  <c r="L437" i="2"/>
  <c r="I438" i="2"/>
  <c r="I439" i="2"/>
  <c r="L439" i="2"/>
  <c r="I440" i="2"/>
  <c r="L440" i="2"/>
  <c r="I441" i="2"/>
  <c r="L441" i="2"/>
  <c r="I442" i="2"/>
  <c r="L442" i="2"/>
  <c r="L443" i="2"/>
  <c r="I444" i="2"/>
  <c r="L444" i="2"/>
  <c r="I445" i="2"/>
  <c r="L445" i="2"/>
  <c r="I446" i="2"/>
  <c r="L446" i="2"/>
  <c r="I447" i="2"/>
  <c r="L447" i="2"/>
  <c r="I448" i="2"/>
  <c r="L448" i="2"/>
  <c r="I449" i="2"/>
  <c r="I450" i="2"/>
  <c r="L450" i="2"/>
  <c r="I451" i="2"/>
  <c r="L451" i="2"/>
  <c r="I452" i="2"/>
  <c r="L452" i="2"/>
  <c r="L453" i="2"/>
  <c r="I454" i="2"/>
  <c r="L454" i="2"/>
  <c r="I455" i="2"/>
  <c r="L455" i="2"/>
  <c r="I456" i="2"/>
  <c r="L456" i="2"/>
  <c r="I457" i="2"/>
  <c r="L457" i="2"/>
  <c r="I458" i="2"/>
  <c r="L458" i="2"/>
  <c r="I459" i="2"/>
  <c r="L459" i="2"/>
  <c r="I460" i="2"/>
  <c r="L460" i="2"/>
  <c r="I461" i="2"/>
  <c r="I462" i="2"/>
  <c r="L462" i="2"/>
  <c r="I463" i="2"/>
  <c r="L463" i="2"/>
  <c r="I464" i="2"/>
  <c r="L464" i="2"/>
  <c r="I465" i="2"/>
  <c r="L465" i="2"/>
  <c r="I466" i="2"/>
  <c r="L466" i="2"/>
  <c r="I467" i="2"/>
  <c r="L467" i="2"/>
  <c r="I468" i="2"/>
  <c r="L468" i="2"/>
  <c r="L469" i="2"/>
  <c r="I470" i="2"/>
  <c r="L470" i="2"/>
  <c r="I471" i="2"/>
  <c r="L471" i="2"/>
  <c r="I472" i="2"/>
  <c r="L472" i="2"/>
  <c r="I473" i="2"/>
  <c r="L473" i="2"/>
  <c r="I474" i="2"/>
  <c r="L474" i="2"/>
  <c r="I475" i="2"/>
  <c r="L475" i="2"/>
  <c r="I476" i="2"/>
  <c r="L476" i="2"/>
  <c r="I477" i="2"/>
  <c r="L477" i="2"/>
  <c r="I478" i="2"/>
  <c r="L478" i="2"/>
  <c r="I479" i="2"/>
  <c r="I480" i="2"/>
  <c r="L480" i="2"/>
  <c r="I481" i="2"/>
  <c r="L481" i="2"/>
  <c r="I482" i="2"/>
  <c r="L482" i="2"/>
  <c r="I483" i="2"/>
  <c r="L483" i="2"/>
  <c r="I484" i="2"/>
  <c r="L484" i="2"/>
  <c r="L485" i="2"/>
  <c r="L486" i="2"/>
  <c r="L487" i="2"/>
  <c r="L488" i="2"/>
</calcChain>
</file>

<file path=xl/sharedStrings.xml><?xml version="1.0" encoding="utf-8"?>
<sst xmlns="http://schemas.openxmlformats.org/spreadsheetml/2006/main" count="4190" uniqueCount="19">
  <si>
    <t>date</t>
  </si>
  <si>
    <t>open</t>
  </si>
  <si>
    <t>high</t>
  </si>
  <si>
    <t>low</t>
  </si>
  <si>
    <t>close</t>
  </si>
  <si>
    <t>Date</t>
  </si>
  <si>
    <t>LH</t>
  </si>
  <si>
    <t>HH</t>
  </si>
  <si>
    <t>HL</t>
  </si>
  <si>
    <t>Ltrend</t>
  </si>
  <si>
    <t>Htrend</t>
  </si>
  <si>
    <t>Hpoint</t>
  </si>
  <si>
    <t>Lpoint</t>
  </si>
  <si>
    <t>LL</t>
  </si>
  <si>
    <t>High Line</t>
  </si>
  <si>
    <t>Low Line</t>
  </si>
  <si>
    <t>i</t>
  </si>
  <si>
    <t>output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</si>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</sst>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&quot;$&quot;* #,##0.0000_);_(&quot;$&quot;* \(#,##0.0000\);_(&quot;$&quot;* &quot;-&quot;??_);_(@_)"/>
    <numFmt numFmtId="167" formatCode="yyyy\-mm\-dd\ hh:mm;@"/>
    <numFmt numFmtId="168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 applyAlignment="1">
      <alignment horizontal="right"/>
    </xf>
    <xf numFmtId="16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17" fillId="17" borderId="0" xfId="27" applyNumberFormat="1" applyAlignment="1">
      <alignment horizontal="right"/>
    </xf>
    <xf numFmtId="44" fontId="1" fillId="32" borderId="0" xfId="42" applyNumberFormat="1" applyAlignment="1">
      <alignment horizontal="right"/>
    </xf>
    <xf numFmtId="165" fontId="19" fillId="17" borderId="0" xfId="1" applyNumberFormat="1" applyFont="1" applyFill="1" applyAlignment="1">
      <alignment horizontal="right"/>
    </xf>
    <xf numFmtId="165" fontId="19" fillId="0" borderId="0" xfId="1" applyNumberFormat="1" applyFont="1" applyAlignment="1">
      <alignment horizontal="right"/>
    </xf>
    <xf numFmtId="165" fontId="2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44" fontId="19" fillId="17" borderId="0" xfId="1" applyFont="1" applyFill="1" applyAlignment="1">
      <alignment horizontal="center"/>
    </xf>
    <xf numFmtId="44" fontId="19" fillId="0" borderId="0" xfId="1" applyFont="1" applyAlignment="1">
      <alignment horizontal="center"/>
    </xf>
    <xf numFmtId="44" fontId="1" fillId="32" borderId="0" xfId="42" applyNumberFormat="1" applyAlignment="1">
      <alignment horizontal="center"/>
    </xf>
    <xf numFmtId="165" fontId="1" fillId="32" borderId="0" xfId="42" applyNumberFormat="1" applyAlignment="1">
      <alignment horizontal="right"/>
    </xf>
    <xf numFmtId="167" fontId="0" fillId="0" borderId="0" xfId="0" applyNumberFormat="1" applyAlignment="1">
      <alignment horizontal="center"/>
    </xf>
    <xf numFmtId="168" fontId="0" fillId="0" borderId="0" xfId="43" applyNumberFormat="1" applyFont="1" applyAlignment="1">
      <alignment horizontal="right"/>
    </xf>
    <xf numFmtId="168" fontId="0" fillId="0" borderId="0" xfId="43" applyNumberFormat="1" applyFont="1" applyAlignment="1">
      <alignment horizontal="center"/>
    </xf>
    <xf numFmtId="44" fontId="1" fillId="0" borderId="0" xfId="1" applyFill="1" applyAlignment="1">
      <alignment horizontal="right"/>
    </xf>
    <xf numFmtId="167" fontId="0" fillId="0" borderId="0" xfId="0" applyNumberFormat="1" applyFill="1" applyAlignment="1">
      <alignment horizontal="center"/>
    </xf>
    <xf numFmtId="44" fontId="0" fillId="0" borderId="0" xfId="1" applyFont="1" applyFill="1"/>
    <xf numFmtId="0" fontId="0" fillId="0" borderId="0" xfId="0" applyFill="1" applyAlignment="1">
      <alignment horizontal="center"/>
    </xf>
    <xf numFmtId="0" fontId="0" fillId="0" borderId="0" xfId="0" applyFill="1"/>
    <xf numFmtId="44" fontId="0" fillId="0" borderId="0" xfId="1" applyFont="1" applyFill="1" applyAlignment="1">
      <alignment horizontal="center"/>
    </xf>
    <xf numFmtId="44" fontId="0" fillId="0" borderId="0" xfId="1" applyFont="1" applyFill="1" applyAlignment="1">
      <alignment horizontal="right"/>
    </xf>
    <xf numFmtId="44" fontId="19" fillId="0" borderId="0" xfId="1" applyFont="1" applyFill="1" applyAlignment="1">
      <alignment horizontal="right"/>
    </xf>
    <xf numFmtId="44" fontId="19" fillId="0" borderId="0" xfId="1" applyFont="1" applyFill="1" applyAlignment="1">
      <alignment horizontal="center"/>
    </xf>
    <xf numFmtId="44" fontId="17" fillId="0" borderId="0" xfId="1" applyFont="1" applyFill="1" applyAlignment="1">
      <alignment horizontal="right"/>
    </xf>
    <xf numFmtId="44" fontId="19" fillId="0" borderId="0" xfId="1" applyNumberFormat="1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color theme="1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7" formatCode="yyyy\-mm\-dd\ hh:mm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yyyy\-mm\-dd\ h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&quot;$&quot;* #,##0.0000_);_(&quot;$&quot;* \(#,##0.0000\);_(&quot;$&quot;* &quot;-&quot;??_);_(@_)"/>
      <fill>
        <patternFill patternType="solid">
          <fgColor indexed="64"/>
          <bgColor theme="6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&quot;$&quot;* #,##0.0000_);_(&quot;$&quot;* \(#,##0.0000\);_(&quot;$&quot;* &quot;-&quot;??_);_(@_)"/>
      <fill>
        <patternFill patternType="solid">
          <fgColor indexed="64"/>
          <bgColor theme="6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&quot;$&quot;* #,##0.0000_);_(&quot;$&quot;* \(#,##0.0000\);_(&quot;$&quot;* &quot;-&quot;??_);_(@_)"/>
      <fill>
        <patternFill patternType="solid">
          <fgColor indexed="64"/>
          <bgColor theme="6"/>
        </patternFill>
      </fill>
      <alignment horizontal="right" vertical="bottom" textRotation="0" wrapText="0" indent="0" justifyLastLine="0" shrinkToFit="0" readingOrder="0"/>
    </dxf>
    <dxf>
      <font>
        <color rgb="FF000000"/>
      </font>
      <numFmt numFmtId="34" formatCode="_(&quot;$&quot;* #,##0.00_);_(&quot;$&quot;* \(#,##0.00\);_(&quot;$&quot;* &quot;-&quot;??_);_(@_)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'Pivots(4,4,20,HL)'!$F$1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'Pivots(4,4,20,HL)'!$A$2:$A$503</c:f>
              <c:numCache>
                <c:formatCode>General</c:formatCode>
                <c:ptCount val="5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numCache>
            </c:numRef>
          </c:cat>
          <c:val>
            <c:numRef>
              <c:f>'Pivots(4,4,20,HL)'!$F$2:$F$503</c:f>
            </c:numRef>
          </c:val>
          <c:smooth val="0"/>
          <c:extLst>
            <c:ext xmlns:c16="http://schemas.microsoft.com/office/drawing/2014/chart" uri="{C3380CC4-5D6E-409C-BE32-E72D297353CC}">
              <c16:uniqueId val="{00000004-7B22-4A2A-9D93-7A9A73A4E8F3}"/>
            </c:ext>
          </c:extLst>
        </c:ser>
        <c:ser>
          <c:idx val="0"/>
          <c:order val="1"/>
          <c:tx>
            <c:strRef>
              <c:f>'Pivots(4,4,20,HL)'!$I$1</c:f>
              <c:strCache>
                <c:ptCount val="1"/>
                <c:pt idx="0">
                  <c:v> High Line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'Pivots(4,4,20,HL)'!$A$2:$A$503</c:f>
              <c:numCache>
                <c:formatCode>General</c:formatCode>
                <c:ptCount val="5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numCache>
            </c:numRef>
          </c:cat>
          <c:val>
            <c:numRef>
              <c:f>'Pivots(4,4,20,HL)'!$I$2:$I$503</c:f>
              <c:numCache>
                <c:formatCode>_("$"* #,##0.0000_);_("$"* \(#,##0.0000\);_("$"* "-"??_);_(@_)</c:formatCode>
                <c:ptCount val="502"/>
                <c:pt idx="39">
                  <c:v>227.04</c:v>
                </c:pt>
                <c:pt idx="40">
                  <c:v>226.95700000000005</c:v>
                </c:pt>
                <c:pt idx="41">
                  <c:v>226.87400000000011</c:v>
                </c:pt>
                <c:pt idx="42">
                  <c:v>226.79100000000017</c:v>
                </c:pt>
                <c:pt idx="43">
                  <c:v>226.7080000000002</c:v>
                </c:pt>
                <c:pt idx="44">
                  <c:v>226.6250000000002</c:v>
                </c:pt>
                <c:pt idx="45">
                  <c:v>226.5420000000002</c:v>
                </c:pt>
                <c:pt idx="46">
                  <c:v>226.45900000000017</c:v>
                </c:pt>
                <c:pt idx="47">
                  <c:v>226.37600000000012</c:v>
                </c:pt>
                <c:pt idx="48">
                  <c:v>226.29300000000006</c:v>
                </c:pt>
                <c:pt idx="49">
                  <c:v>226.21</c:v>
                </c:pt>
                <c:pt idx="50">
                  <c:v>226.14600000000013</c:v>
                </c:pt>
                <c:pt idx="51">
                  <c:v>226.08200000000022</c:v>
                </c:pt>
                <c:pt idx="52">
                  <c:v>226.01800000000031</c:v>
                </c:pt>
                <c:pt idx="53">
                  <c:v>225.95400000000038</c:v>
                </c:pt>
                <c:pt idx="54">
                  <c:v>225.89000000000044</c:v>
                </c:pt>
                <c:pt idx="55">
                  <c:v>225.82600000000048</c:v>
                </c:pt>
                <c:pt idx="56">
                  <c:v>225.76200000000048</c:v>
                </c:pt>
                <c:pt idx="57">
                  <c:v>225.69800000000049</c:v>
                </c:pt>
                <c:pt idx="58">
                  <c:v>225.63400000000047</c:v>
                </c:pt>
                <c:pt idx="59">
                  <c:v>225.57000000000042</c:v>
                </c:pt>
                <c:pt idx="60">
                  <c:v>225.50600000000037</c:v>
                </c:pt>
                <c:pt idx="61">
                  <c:v>225.44200000000029</c:v>
                </c:pt>
                <c:pt idx="62">
                  <c:v>225.37800000000021</c:v>
                </c:pt>
                <c:pt idx="63">
                  <c:v>225.31400000000011</c:v>
                </c:pt>
                <c:pt idx="64">
                  <c:v>225.25</c:v>
                </c:pt>
                <c:pt idx="65">
                  <c:v>225.3949999999999</c:v>
                </c:pt>
                <c:pt idx="66">
                  <c:v>225.53999999999979</c:v>
                </c:pt>
                <c:pt idx="67">
                  <c:v>225.68499999999972</c:v>
                </c:pt>
                <c:pt idx="68">
                  <c:v>225.82999999999967</c:v>
                </c:pt>
                <c:pt idx="69">
                  <c:v>225.97499999999962</c:v>
                </c:pt>
                <c:pt idx="70">
                  <c:v>226.11999999999961</c:v>
                </c:pt>
                <c:pt idx="71">
                  <c:v>226.26499999999959</c:v>
                </c:pt>
                <c:pt idx="72">
                  <c:v>226.4099999999996</c:v>
                </c:pt>
                <c:pt idx="73">
                  <c:v>226.55499999999961</c:v>
                </c:pt>
                <c:pt idx="74">
                  <c:v>226.69999999999965</c:v>
                </c:pt>
                <c:pt idx="75">
                  <c:v>226.84499999999971</c:v>
                </c:pt>
                <c:pt idx="76">
                  <c:v>226.98999999999978</c:v>
                </c:pt>
                <c:pt idx="77">
                  <c:v>227.13499999999988</c:v>
                </c:pt>
                <c:pt idx="78">
                  <c:v>227.28</c:v>
                </c:pt>
                <c:pt idx="79">
                  <c:v>227.35714285714278</c:v>
                </c:pt>
                <c:pt idx="80">
                  <c:v>227.43428571428555</c:v>
                </c:pt>
                <c:pt idx="81">
                  <c:v>227.51142857142833</c:v>
                </c:pt>
                <c:pt idx="82">
                  <c:v>227.58857142857113</c:v>
                </c:pt>
                <c:pt idx="83">
                  <c:v>227.66571428571393</c:v>
                </c:pt>
                <c:pt idx="84">
                  <c:v>227.74285714285676</c:v>
                </c:pt>
                <c:pt idx="85">
                  <c:v>227.8199999999996</c:v>
                </c:pt>
                <c:pt idx="86">
                  <c:v>227.89714285714246</c:v>
                </c:pt>
                <c:pt idx="87">
                  <c:v>227.97428571428534</c:v>
                </c:pt>
                <c:pt idx="88">
                  <c:v>228.05142857142823</c:v>
                </c:pt>
                <c:pt idx="89">
                  <c:v>228.12857142857115</c:v>
                </c:pt>
                <c:pt idx="90">
                  <c:v>228.20571428571409</c:v>
                </c:pt>
                <c:pt idx="91">
                  <c:v>228.28285714285704</c:v>
                </c:pt>
                <c:pt idx="92">
                  <c:v>228.36</c:v>
                </c:pt>
                <c:pt idx="93">
                  <c:v>228.65166666666659</c:v>
                </c:pt>
                <c:pt idx="94">
                  <c:v>228.94333333333319</c:v>
                </c:pt>
                <c:pt idx="95">
                  <c:v>229.23499999999979</c:v>
                </c:pt>
                <c:pt idx="96">
                  <c:v>229.52666666666642</c:v>
                </c:pt>
                <c:pt idx="97">
                  <c:v>229.81833333333307</c:v>
                </c:pt>
                <c:pt idx="98">
                  <c:v>230.10999999999973</c:v>
                </c:pt>
                <c:pt idx="99">
                  <c:v>230.40166666666642</c:v>
                </c:pt>
                <c:pt idx="100">
                  <c:v>230.6933333333331</c:v>
                </c:pt>
                <c:pt idx="101">
                  <c:v>230.98499999999981</c:v>
                </c:pt>
                <c:pt idx="102">
                  <c:v>231.27666666666653</c:v>
                </c:pt>
                <c:pt idx="103">
                  <c:v>231.56833333333327</c:v>
                </c:pt>
                <c:pt idx="104">
                  <c:v>231.86</c:v>
                </c:pt>
                <c:pt idx="105">
                  <c:v>231.98399999999998</c:v>
                </c:pt>
                <c:pt idx="106">
                  <c:v>232.10799999999998</c:v>
                </c:pt>
                <c:pt idx="107">
                  <c:v>232.23199999999997</c:v>
                </c:pt>
                <c:pt idx="108">
                  <c:v>232.35599999999999</c:v>
                </c:pt>
                <c:pt idx="109">
                  <c:v>232.48</c:v>
                </c:pt>
                <c:pt idx="110">
                  <c:v>232.62499999999994</c:v>
                </c:pt>
                <c:pt idx="111">
                  <c:v>232.76999999999992</c:v>
                </c:pt>
                <c:pt idx="112">
                  <c:v>232.91499999999994</c:v>
                </c:pt>
                <c:pt idx="113">
                  <c:v>233.05999999999995</c:v>
                </c:pt>
                <c:pt idx="114">
                  <c:v>233.20499999999998</c:v>
                </c:pt>
                <c:pt idx="115">
                  <c:v>233.35</c:v>
                </c:pt>
                <c:pt idx="116">
                  <c:v>233.28399999999999</c:v>
                </c:pt>
                <c:pt idx="117">
                  <c:v>233.21799999999999</c:v>
                </c:pt>
                <c:pt idx="118">
                  <c:v>233.15199999999999</c:v>
                </c:pt>
                <c:pt idx="119">
                  <c:v>233.08600000000001</c:v>
                </c:pt>
                <c:pt idx="120">
                  <c:v>233.02</c:v>
                </c:pt>
                <c:pt idx="142">
                  <c:v>236.47</c:v>
                </c:pt>
                <c:pt idx="143">
                  <c:v>236.57749999999993</c:v>
                </c:pt>
                <c:pt idx="144">
                  <c:v>236.68499999999989</c:v>
                </c:pt>
                <c:pt idx="145">
                  <c:v>236.79249999999988</c:v>
                </c:pt>
                <c:pt idx="146">
                  <c:v>236.89999999999986</c:v>
                </c:pt>
                <c:pt idx="147">
                  <c:v>237.00749999999988</c:v>
                </c:pt>
                <c:pt idx="148">
                  <c:v>237.11499999999992</c:v>
                </c:pt>
                <c:pt idx="149">
                  <c:v>237.22249999999997</c:v>
                </c:pt>
                <c:pt idx="150">
                  <c:v>237.33</c:v>
                </c:pt>
                <c:pt idx="151">
                  <c:v>237.11833333333334</c:v>
                </c:pt>
                <c:pt idx="152">
                  <c:v>236.90666666666664</c:v>
                </c:pt>
                <c:pt idx="153">
                  <c:v>236.69499999999996</c:v>
                </c:pt>
                <c:pt idx="154">
                  <c:v>236.48333333333329</c:v>
                </c:pt>
                <c:pt idx="155">
                  <c:v>236.27166666666665</c:v>
                </c:pt>
                <c:pt idx="156">
                  <c:v>236.06</c:v>
                </c:pt>
                <c:pt idx="157">
                  <c:v>236.11999999999992</c:v>
                </c:pt>
                <c:pt idx="158">
                  <c:v>236.17999999999984</c:v>
                </c:pt>
                <c:pt idx="159">
                  <c:v>236.23999999999978</c:v>
                </c:pt>
                <c:pt idx="160">
                  <c:v>236.29999999999976</c:v>
                </c:pt>
                <c:pt idx="161">
                  <c:v>236.35999999999973</c:v>
                </c:pt>
                <c:pt idx="162">
                  <c:v>236.41999999999973</c:v>
                </c:pt>
                <c:pt idx="163">
                  <c:v>236.47999999999973</c:v>
                </c:pt>
                <c:pt idx="164">
                  <c:v>236.53999999999976</c:v>
                </c:pt>
                <c:pt idx="165">
                  <c:v>236.5999999999998</c:v>
                </c:pt>
                <c:pt idx="166">
                  <c:v>236.65999999999985</c:v>
                </c:pt>
                <c:pt idx="167">
                  <c:v>236.71999999999991</c:v>
                </c:pt>
                <c:pt idx="168">
                  <c:v>236.78</c:v>
                </c:pt>
                <c:pt idx="169">
                  <c:v>237.02666666666659</c:v>
                </c:pt>
                <c:pt idx="170">
                  <c:v>237.2733333333332</c:v>
                </c:pt>
                <c:pt idx="171">
                  <c:v>237.51999999999981</c:v>
                </c:pt>
                <c:pt idx="172">
                  <c:v>237.76666666666642</c:v>
                </c:pt>
                <c:pt idx="173">
                  <c:v>238.01333333333307</c:v>
                </c:pt>
                <c:pt idx="174">
                  <c:v>238.25999999999971</c:v>
                </c:pt>
                <c:pt idx="175">
                  <c:v>238.50666666666638</c:v>
                </c:pt>
                <c:pt idx="176">
                  <c:v>238.75333333333307</c:v>
                </c:pt>
                <c:pt idx="177">
                  <c:v>238.99999999999977</c:v>
                </c:pt>
                <c:pt idx="178">
                  <c:v>239.2466666666665</c:v>
                </c:pt>
                <c:pt idx="179">
                  <c:v>239.49333333333325</c:v>
                </c:pt>
                <c:pt idx="180">
                  <c:v>239.74</c:v>
                </c:pt>
                <c:pt idx="214">
                  <c:v>248.52</c:v>
                </c:pt>
                <c:pt idx="215">
                  <c:v>248.91611111111098</c:v>
                </c:pt>
                <c:pt idx="216">
                  <c:v>249.31222222222198</c:v>
                </c:pt>
                <c:pt idx="217">
                  <c:v>249.70833333333297</c:v>
                </c:pt>
                <c:pt idx="218">
                  <c:v>250.104444444444</c:v>
                </c:pt>
                <c:pt idx="219">
                  <c:v>250.50055555555502</c:v>
                </c:pt>
                <c:pt idx="220">
                  <c:v>250.89666666666608</c:v>
                </c:pt>
                <c:pt idx="221">
                  <c:v>251.29277777777716</c:v>
                </c:pt>
                <c:pt idx="222">
                  <c:v>251.68888888888824</c:v>
                </c:pt>
                <c:pt idx="223">
                  <c:v>252.08499999999935</c:v>
                </c:pt>
                <c:pt idx="224">
                  <c:v>252.48111111111047</c:v>
                </c:pt>
                <c:pt idx="225">
                  <c:v>252.8772222222216</c:v>
                </c:pt>
                <c:pt idx="226">
                  <c:v>253.27333333333274</c:v>
                </c:pt>
                <c:pt idx="227">
                  <c:v>253.66944444444391</c:v>
                </c:pt>
                <c:pt idx="228">
                  <c:v>254.06555555555511</c:v>
                </c:pt>
                <c:pt idx="229">
                  <c:v>254.4616666666663</c:v>
                </c:pt>
                <c:pt idx="230">
                  <c:v>254.85777777777753</c:v>
                </c:pt>
                <c:pt idx="231">
                  <c:v>255.25388888888875</c:v>
                </c:pt>
                <c:pt idx="232">
                  <c:v>255.65</c:v>
                </c:pt>
                <c:pt idx="233">
                  <c:v>255.95499999999987</c:v>
                </c:pt>
                <c:pt idx="234">
                  <c:v>256.25999999999976</c:v>
                </c:pt>
                <c:pt idx="235">
                  <c:v>256.56499999999971</c:v>
                </c:pt>
                <c:pt idx="236">
                  <c:v>256.86999999999966</c:v>
                </c:pt>
                <c:pt idx="237">
                  <c:v>257.17499999999967</c:v>
                </c:pt>
                <c:pt idx="238">
                  <c:v>257.47999999999968</c:v>
                </c:pt>
                <c:pt idx="239">
                  <c:v>257.78499999999974</c:v>
                </c:pt>
                <c:pt idx="240">
                  <c:v>258.0899999999998</c:v>
                </c:pt>
                <c:pt idx="241">
                  <c:v>258.39499999999987</c:v>
                </c:pt>
                <c:pt idx="242">
                  <c:v>258.7</c:v>
                </c:pt>
                <c:pt idx="268">
                  <c:v>276.06</c:v>
                </c:pt>
                <c:pt idx="269">
                  <c:v>275.33399999999972</c:v>
                </c:pt>
                <c:pt idx="270">
                  <c:v>274.60799999999949</c:v>
                </c:pt>
                <c:pt idx="271">
                  <c:v>273.88199999999932</c:v>
                </c:pt>
                <c:pt idx="272">
                  <c:v>273.15599999999915</c:v>
                </c:pt>
                <c:pt idx="273">
                  <c:v>272.42999999999904</c:v>
                </c:pt>
                <c:pt idx="274">
                  <c:v>271.70399999999898</c:v>
                </c:pt>
                <c:pt idx="275">
                  <c:v>270.97799999999893</c:v>
                </c:pt>
                <c:pt idx="276">
                  <c:v>270.25199999999893</c:v>
                </c:pt>
                <c:pt idx="277">
                  <c:v>269.52599999999899</c:v>
                </c:pt>
                <c:pt idx="278">
                  <c:v>268.79999999999905</c:v>
                </c:pt>
                <c:pt idx="279">
                  <c:v>268.07399999999916</c:v>
                </c:pt>
                <c:pt idx="280">
                  <c:v>267.34799999999933</c:v>
                </c:pt>
                <c:pt idx="281">
                  <c:v>266.6219999999995</c:v>
                </c:pt>
                <c:pt idx="282">
                  <c:v>265.89599999999973</c:v>
                </c:pt>
                <c:pt idx="283">
                  <c:v>265.17</c:v>
                </c:pt>
                <c:pt idx="284">
                  <c:v>265.74666666666667</c:v>
                </c:pt>
                <c:pt idx="285">
                  <c:v>266.32333333333327</c:v>
                </c:pt>
                <c:pt idx="286">
                  <c:v>266.89999999999992</c:v>
                </c:pt>
                <c:pt idx="287">
                  <c:v>267.47666666666657</c:v>
                </c:pt>
                <c:pt idx="288">
                  <c:v>268.05333333333328</c:v>
                </c:pt>
                <c:pt idx="289">
                  <c:v>268.63</c:v>
                </c:pt>
                <c:pt idx="290">
                  <c:v>268.77399999999989</c:v>
                </c:pt>
                <c:pt idx="291">
                  <c:v>268.91799999999978</c:v>
                </c:pt>
                <c:pt idx="292">
                  <c:v>269.06199999999967</c:v>
                </c:pt>
                <c:pt idx="293">
                  <c:v>269.20599999999962</c:v>
                </c:pt>
                <c:pt idx="294">
                  <c:v>269.34999999999957</c:v>
                </c:pt>
                <c:pt idx="295">
                  <c:v>269.49399999999957</c:v>
                </c:pt>
                <c:pt idx="296">
                  <c:v>269.63799999999964</c:v>
                </c:pt>
                <c:pt idx="297">
                  <c:v>269.7819999999997</c:v>
                </c:pt>
                <c:pt idx="298">
                  <c:v>269.92599999999982</c:v>
                </c:pt>
                <c:pt idx="299">
                  <c:v>270.07</c:v>
                </c:pt>
                <c:pt idx="300">
                  <c:v>269.30562499999974</c:v>
                </c:pt>
                <c:pt idx="301">
                  <c:v>268.54124999999954</c:v>
                </c:pt>
                <c:pt idx="302">
                  <c:v>267.77687499999934</c:v>
                </c:pt>
                <c:pt idx="303">
                  <c:v>267.01249999999919</c:v>
                </c:pt>
                <c:pt idx="304">
                  <c:v>266.24812499999905</c:v>
                </c:pt>
                <c:pt idx="305">
                  <c:v>265.48374999999896</c:v>
                </c:pt>
                <c:pt idx="306">
                  <c:v>264.71937499999893</c:v>
                </c:pt>
                <c:pt idx="307">
                  <c:v>263.9549999999989</c:v>
                </c:pt>
                <c:pt idx="308">
                  <c:v>263.19062499999893</c:v>
                </c:pt>
                <c:pt idx="309">
                  <c:v>262.42624999999902</c:v>
                </c:pt>
                <c:pt idx="310">
                  <c:v>261.6618749999991</c:v>
                </c:pt>
                <c:pt idx="311">
                  <c:v>260.89749999999924</c:v>
                </c:pt>
                <c:pt idx="312">
                  <c:v>260.13312499999938</c:v>
                </c:pt>
                <c:pt idx="313">
                  <c:v>259.36874999999958</c:v>
                </c:pt>
                <c:pt idx="314">
                  <c:v>258.60437499999978</c:v>
                </c:pt>
                <c:pt idx="315">
                  <c:v>257.83999999999997</c:v>
                </c:pt>
                <c:pt idx="316">
                  <c:v>258.3399999999998</c:v>
                </c:pt>
                <c:pt idx="317">
                  <c:v>258.83999999999969</c:v>
                </c:pt>
                <c:pt idx="318">
                  <c:v>259.33999999999963</c:v>
                </c:pt>
                <c:pt idx="319">
                  <c:v>259.83999999999958</c:v>
                </c:pt>
                <c:pt idx="320">
                  <c:v>260.33999999999958</c:v>
                </c:pt>
                <c:pt idx="321">
                  <c:v>260.83999999999963</c:v>
                </c:pt>
                <c:pt idx="322">
                  <c:v>261.33999999999969</c:v>
                </c:pt>
                <c:pt idx="323">
                  <c:v>261.8399999999998</c:v>
                </c:pt>
                <c:pt idx="324">
                  <c:v>262.33999999999997</c:v>
                </c:pt>
                <c:pt idx="325">
                  <c:v>262.48944444444419</c:v>
                </c:pt>
                <c:pt idx="326">
                  <c:v>262.63888888888835</c:v>
                </c:pt>
                <c:pt idx="327">
                  <c:v>262.78833333333256</c:v>
                </c:pt>
                <c:pt idx="328">
                  <c:v>262.93777777777677</c:v>
                </c:pt>
                <c:pt idx="329">
                  <c:v>263.08722222222104</c:v>
                </c:pt>
                <c:pt idx="330">
                  <c:v>263.23666666666537</c:v>
                </c:pt>
                <c:pt idx="331">
                  <c:v>263.3861111111097</c:v>
                </c:pt>
                <c:pt idx="332">
                  <c:v>263.53555555555408</c:v>
                </c:pt>
                <c:pt idx="333">
                  <c:v>263.68499999999852</c:v>
                </c:pt>
                <c:pt idx="334">
                  <c:v>263.83444444444297</c:v>
                </c:pt>
                <c:pt idx="335">
                  <c:v>263.98388888888746</c:v>
                </c:pt>
                <c:pt idx="336">
                  <c:v>264.13333333333202</c:v>
                </c:pt>
                <c:pt idx="337">
                  <c:v>264.28277777777657</c:v>
                </c:pt>
                <c:pt idx="338">
                  <c:v>264.43222222222118</c:v>
                </c:pt>
                <c:pt idx="339">
                  <c:v>264.58166666666585</c:v>
                </c:pt>
                <c:pt idx="340">
                  <c:v>264.73111111111052</c:v>
                </c:pt>
                <c:pt idx="341">
                  <c:v>264.88055555555525</c:v>
                </c:pt>
                <c:pt idx="342">
                  <c:v>265.02999999999997</c:v>
                </c:pt>
                <c:pt idx="343">
                  <c:v>265.05833333333328</c:v>
                </c:pt>
                <c:pt idx="344">
                  <c:v>265.08666666666659</c:v>
                </c:pt>
                <c:pt idx="345">
                  <c:v>265.1149999999999</c:v>
                </c:pt>
                <c:pt idx="346">
                  <c:v>265.14333333333326</c:v>
                </c:pt>
                <c:pt idx="347">
                  <c:v>265.17166666666662</c:v>
                </c:pt>
                <c:pt idx="348">
                  <c:v>265.2</c:v>
                </c:pt>
                <c:pt idx="349">
                  <c:v>265.53666666666641</c:v>
                </c:pt>
                <c:pt idx="350">
                  <c:v>265.87333333333288</c:v>
                </c:pt>
                <c:pt idx="351">
                  <c:v>266.20999999999935</c:v>
                </c:pt>
                <c:pt idx="352">
                  <c:v>266.54666666666589</c:v>
                </c:pt>
                <c:pt idx="353">
                  <c:v>266.88333333333242</c:v>
                </c:pt>
                <c:pt idx="354">
                  <c:v>267.219999999999</c:v>
                </c:pt>
                <c:pt idx="355">
                  <c:v>267.55666666666565</c:v>
                </c:pt>
                <c:pt idx="356">
                  <c:v>267.89333333333229</c:v>
                </c:pt>
                <c:pt idx="357">
                  <c:v>268.229999999999</c:v>
                </c:pt>
                <c:pt idx="358">
                  <c:v>268.56666666666575</c:v>
                </c:pt>
                <c:pt idx="359">
                  <c:v>268.90333333333251</c:v>
                </c:pt>
                <c:pt idx="360">
                  <c:v>269.23999999999933</c:v>
                </c:pt>
                <c:pt idx="361">
                  <c:v>269.5766666666662</c:v>
                </c:pt>
                <c:pt idx="362">
                  <c:v>269.91333333333307</c:v>
                </c:pt>
                <c:pt idx="363">
                  <c:v>270.25</c:v>
                </c:pt>
                <c:pt idx="392">
                  <c:v>276.22000000000003</c:v>
                </c:pt>
                <c:pt idx="393">
                  <c:v>276.39666666666659</c:v>
                </c:pt>
                <c:pt idx="394">
                  <c:v>276.57333333333315</c:v>
                </c:pt>
                <c:pt idx="395">
                  <c:v>276.74999999999977</c:v>
                </c:pt>
                <c:pt idx="396">
                  <c:v>276.92666666666639</c:v>
                </c:pt>
                <c:pt idx="397">
                  <c:v>277.10333333333307</c:v>
                </c:pt>
                <c:pt idx="398">
                  <c:v>277.27999999999975</c:v>
                </c:pt>
                <c:pt idx="399">
                  <c:v>277.45666666666648</c:v>
                </c:pt>
                <c:pt idx="400">
                  <c:v>277.63333333333321</c:v>
                </c:pt>
                <c:pt idx="401">
                  <c:v>277.81</c:v>
                </c:pt>
                <c:pt idx="402">
                  <c:v>278.1574999999998</c:v>
                </c:pt>
                <c:pt idx="403">
                  <c:v>278.5049999999996</c:v>
                </c:pt>
                <c:pt idx="404">
                  <c:v>278.8524999999994</c:v>
                </c:pt>
                <c:pt idx="405">
                  <c:v>279.19999999999925</c:v>
                </c:pt>
                <c:pt idx="406">
                  <c:v>279.5474999999991</c:v>
                </c:pt>
                <c:pt idx="407">
                  <c:v>279.89499999999902</c:v>
                </c:pt>
                <c:pt idx="408">
                  <c:v>280.24249999999893</c:v>
                </c:pt>
                <c:pt idx="409">
                  <c:v>280.58999999999889</c:v>
                </c:pt>
                <c:pt idx="410">
                  <c:v>280.93749999999892</c:v>
                </c:pt>
                <c:pt idx="411">
                  <c:v>281.28499999999894</c:v>
                </c:pt>
                <c:pt idx="412">
                  <c:v>281.63249999999903</c:v>
                </c:pt>
                <c:pt idx="413">
                  <c:v>281.97999999999917</c:v>
                </c:pt>
                <c:pt idx="414">
                  <c:v>282.3274999999993</c:v>
                </c:pt>
                <c:pt idx="415">
                  <c:v>282.6749999999995</c:v>
                </c:pt>
                <c:pt idx="416">
                  <c:v>283.02249999999975</c:v>
                </c:pt>
                <c:pt idx="417">
                  <c:v>283.37</c:v>
                </c:pt>
                <c:pt idx="418">
                  <c:v>283.54062499999975</c:v>
                </c:pt>
                <c:pt idx="419">
                  <c:v>283.71124999999955</c:v>
                </c:pt>
                <c:pt idx="420">
                  <c:v>283.88187499999935</c:v>
                </c:pt>
                <c:pt idx="421">
                  <c:v>284.05249999999921</c:v>
                </c:pt>
                <c:pt idx="422">
                  <c:v>284.22312499999907</c:v>
                </c:pt>
                <c:pt idx="423">
                  <c:v>284.39374999999899</c:v>
                </c:pt>
                <c:pt idx="424">
                  <c:v>284.5643749999989</c:v>
                </c:pt>
                <c:pt idx="425">
                  <c:v>284.73499999999888</c:v>
                </c:pt>
                <c:pt idx="426">
                  <c:v>284.90562499999891</c:v>
                </c:pt>
                <c:pt idx="427">
                  <c:v>285.07624999999894</c:v>
                </c:pt>
                <c:pt idx="428">
                  <c:v>285.24687499999902</c:v>
                </c:pt>
                <c:pt idx="429">
                  <c:v>285.41749999999917</c:v>
                </c:pt>
                <c:pt idx="430">
                  <c:v>285.58812499999931</c:v>
                </c:pt>
                <c:pt idx="431">
                  <c:v>285.75874999999951</c:v>
                </c:pt>
                <c:pt idx="432">
                  <c:v>285.92937499999977</c:v>
                </c:pt>
                <c:pt idx="433">
                  <c:v>286.10000000000002</c:v>
                </c:pt>
                <c:pt idx="434">
                  <c:v>286.09874999999988</c:v>
                </c:pt>
                <c:pt idx="435">
                  <c:v>286.0974999999998</c:v>
                </c:pt>
                <c:pt idx="436">
                  <c:v>286.09624999999971</c:v>
                </c:pt>
                <c:pt idx="437">
                  <c:v>286.09499999999969</c:v>
                </c:pt>
                <c:pt idx="438">
                  <c:v>286.09374999999972</c:v>
                </c:pt>
                <c:pt idx="439">
                  <c:v>286.09249999999975</c:v>
                </c:pt>
                <c:pt idx="440">
                  <c:v>286.09124999999983</c:v>
                </c:pt>
                <c:pt idx="441">
                  <c:v>286.08999999999997</c:v>
                </c:pt>
                <c:pt idx="442">
                  <c:v>284.9129999999999</c:v>
                </c:pt>
                <c:pt idx="443">
                  <c:v>283.73599999999976</c:v>
                </c:pt>
                <c:pt idx="444">
                  <c:v>282.55899999999968</c:v>
                </c:pt>
                <c:pt idx="445">
                  <c:v>281.38199999999961</c:v>
                </c:pt>
                <c:pt idx="446">
                  <c:v>280.20499999999959</c:v>
                </c:pt>
                <c:pt idx="447">
                  <c:v>279.02799999999962</c:v>
                </c:pt>
                <c:pt idx="448">
                  <c:v>277.85099999999966</c:v>
                </c:pt>
                <c:pt idx="449">
                  <c:v>276.67399999999975</c:v>
                </c:pt>
                <c:pt idx="450">
                  <c:v>275.49699999999984</c:v>
                </c:pt>
                <c:pt idx="451">
                  <c:v>274.32</c:v>
                </c:pt>
                <c:pt idx="452">
                  <c:v>274.32437499999969</c:v>
                </c:pt>
                <c:pt idx="453">
                  <c:v>274.32874999999945</c:v>
                </c:pt>
                <c:pt idx="454">
                  <c:v>274.33312499999926</c:v>
                </c:pt>
                <c:pt idx="455">
                  <c:v>274.33749999999907</c:v>
                </c:pt>
                <c:pt idx="456">
                  <c:v>274.34187499999894</c:v>
                </c:pt>
                <c:pt idx="457">
                  <c:v>274.34624999999886</c:v>
                </c:pt>
                <c:pt idx="458">
                  <c:v>274.35062499999879</c:v>
                </c:pt>
                <c:pt idx="459">
                  <c:v>274.35499999999877</c:v>
                </c:pt>
                <c:pt idx="460">
                  <c:v>274.35937499999881</c:v>
                </c:pt>
                <c:pt idx="461">
                  <c:v>274.36374999999884</c:v>
                </c:pt>
                <c:pt idx="462">
                  <c:v>274.36812499999894</c:v>
                </c:pt>
                <c:pt idx="463">
                  <c:v>274.37249999999909</c:v>
                </c:pt>
                <c:pt idx="464">
                  <c:v>274.37687499999925</c:v>
                </c:pt>
                <c:pt idx="465">
                  <c:v>274.38124999999945</c:v>
                </c:pt>
                <c:pt idx="466">
                  <c:v>274.38562499999972</c:v>
                </c:pt>
                <c:pt idx="467">
                  <c:v>274.39</c:v>
                </c:pt>
                <c:pt idx="468">
                  <c:v>274.33999999999975</c:v>
                </c:pt>
                <c:pt idx="469">
                  <c:v>274.28999999999951</c:v>
                </c:pt>
                <c:pt idx="470">
                  <c:v>274.23999999999933</c:v>
                </c:pt>
                <c:pt idx="471">
                  <c:v>274.1899999999992</c:v>
                </c:pt>
                <c:pt idx="472">
                  <c:v>274.13999999999908</c:v>
                </c:pt>
                <c:pt idx="473">
                  <c:v>274.08999999999901</c:v>
                </c:pt>
                <c:pt idx="474">
                  <c:v>274.03999999999894</c:v>
                </c:pt>
                <c:pt idx="475">
                  <c:v>273.98999999999893</c:v>
                </c:pt>
                <c:pt idx="476">
                  <c:v>273.93999999999892</c:v>
                </c:pt>
                <c:pt idx="477">
                  <c:v>273.88999999999896</c:v>
                </c:pt>
                <c:pt idx="478">
                  <c:v>273.83999999999907</c:v>
                </c:pt>
                <c:pt idx="479">
                  <c:v>273.78999999999917</c:v>
                </c:pt>
                <c:pt idx="480">
                  <c:v>273.73999999999933</c:v>
                </c:pt>
                <c:pt idx="481">
                  <c:v>273.68999999999954</c:v>
                </c:pt>
                <c:pt idx="482">
                  <c:v>273.63999999999976</c:v>
                </c:pt>
                <c:pt idx="483">
                  <c:v>273.58999999999997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22-4A2A-9D93-7A9A73A4E8F3}"/>
            </c:ext>
          </c:extLst>
        </c:ser>
        <c:ser>
          <c:idx val="1"/>
          <c:order val="2"/>
          <c:tx>
            <c:strRef>
              <c:f>'Pivots(4,4,20,HL)'!$L$1</c:f>
              <c:strCache>
                <c:ptCount val="1"/>
                <c:pt idx="0">
                  <c:v> Low Line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'Pivots(4,4,20,HL)'!$A$2:$A$503</c:f>
              <c:numCache>
                <c:formatCode>General</c:formatCode>
                <c:ptCount val="5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numCache>
            </c:numRef>
          </c:cat>
          <c:val>
            <c:numRef>
              <c:f>'Pivots(4,4,20,HL)'!$L$2:$L$503</c:f>
              <c:numCache>
                <c:formatCode>_("$"* #,##0.0000_);_("$"* \(#,##0.0000\);_("$"* "-"??_);_(@_)</c:formatCode>
                <c:ptCount val="502"/>
                <c:pt idx="7">
                  <c:v>212.53</c:v>
                </c:pt>
                <c:pt idx="8">
                  <c:v>212.58000000000004</c:v>
                </c:pt>
                <c:pt idx="9">
                  <c:v>212.63000000000005</c:v>
                </c:pt>
                <c:pt idx="10">
                  <c:v>212.68000000000006</c:v>
                </c:pt>
                <c:pt idx="11">
                  <c:v>212.73000000000005</c:v>
                </c:pt>
                <c:pt idx="12">
                  <c:v>212.78000000000003</c:v>
                </c:pt>
                <c:pt idx="13">
                  <c:v>212.83</c:v>
                </c:pt>
                <c:pt idx="14">
                  <c:v>212.995</c:v>
                </c:pt>
                <c:pt idx="15">
                  <c:v>213.15999999999997</c:v>
                </c:pt>
                <c:pt idx="16">
                  <c:v>213.32499999999996</c:v>
                </c:pt>
                <c:pt idx="17">
                  <c:v>213.48999999999995</c:v>
                </c:pt>
                <c:pt idx="18">
                  <c:v>213.65499999999997</c:v>
                </c:pt>
                <c:pt idx="19">
                  <c:v>213.82</c:v>
                </c:pt>
                <c:pt idx="45">
                  <c:v>222.72</c:v>
                </c:pt>
                <c:pt idx="46">
                  <c:v>222.47416666666675</c:v>
                </c:pt>
                <c:pt idx="47">
                  <c:v>222.22833333333347</c:v>
                </c:pt>
                <c:pt idx="48">
                  <c:v>221.98250000000019</c:v>
                </c:pt>
                <c:pt idx="49">
                  <c:v>221.73666666666691</c:v>
                </c:pt>
                <c:pt idx="50">
                  <c:v>221.4908333333336</c:v>
                </c:pt>
                <c:pt idx="51">
                  <c:v>221.24500000000029</c:v>
                </c:pt>
                <c:pt idx="52">
                  <c:v>220.99916666666695</c:v>
                </c:pt>
                <c:pt idx="53">
                  <c:v>220.75333333333359</c:v>
                </c:pt>
                <c:pt idx="54">
                  <c:v>220.50750000000022</c:v>
                </c:pt>
                <c:pt idx="55">
                  <c:v>220.26166666666683</c:v>
                </c:pt>
                <c:pt idx="56">
                  <c:v>220.01583333333343</c:v>
                </c:pt>
                <c:pt idx="57">
                  <c:v>219.77</c:v>
                </c:pt>
                <c:pt idx="58">
                  <c:v>219.83538461538456</c:v>
                </c:pt>
                <c:pt idx="59">
                  <c:v>219.90076923076907</c:v>
                </c:pt>
                <c:pt idx="60">
                  <c:v>219.96615384615362</c:v>
                </c:pt>
                <c:pt idx="61">
                  <c:v>220.03153846153816</c:v>
                </c:pt>
                <c:pt idx="62">
                  <c:v>220.09692307692274</c:v>
                </c:pt>
                <c:pt idx="63">
                  <c:v>220.16230769230734</c:v>
                </c:pt>
                <c:pt idx="64">
                  <c:v>220.22769230769194</c:v>
                </c:pt>
                <c:pt idx="65">
                  <c:v>220.29307692307657</c:v>
                </c:pt>
                <c:pt idx="66">
                  <c:v>220.35846153846123</c:v>
                </c:pt>
                <c:pt idx="67">
                  <c:v>220.42384615384589</c:v>
                </c:pt>
                <c:pt idx="68">
                  <c:v>220.48923076923057</c:v>
                </c:pt>
                <c:pt idx="69">
                  <c:v>220.55461538461529</c:v>
                </c:pt>
                <c:pt idx="70">
                  <c:v>220.62</c:v>
                </c:pt>
                <c:pt idx="71">
                  <c:v>220.99923076923068</c:v>
                </c:pt>
                <c:pt idx="72">
                  <c:v>221.37846153846135</c:v>
                </c:pt>
                <c:pt idx="73">
                  <c:v>221.75769230769205</c:v>
                </c:pt>
                <c:pt idx="74">
                  <c:v>222.13692307692276</c:v>
                </c:pt>
                <c:pt idx="75">
                  <c:v>222.51615384615349</c:v>
                </c:pt>
                <c:pt idx="76">
                  <c:v>222.89538461538424</c:v>
                </c:pt>
                <c:pt idx="77">
                  <c:v>223.274615384615</c:v>
                </c:pt>
                <c:pt idx="78">
                  <c:v>223.65384615384579</c:v>
                </c:pt>
                <c:pt idx="79">
                  <c:v>224.03307692307661</c:v>
                </c:pt>
                <c:pt idx="80">
                  <c:v>224.41230769230742</c:v>
                </c:pt>
                <c:pt idx="81">
                  <c:v>224.79153846153827</c:v>
                </c:pt>
                <c:pt idx="82">
                  <c:v>225.17076923076914</c:v>
                </c:pt>
                <c:pt idx="83">
                  <c:v>225.55</c:v>
                </c:pt>
                <c:pt idx="84">
                  <c:v>225.35363636363644</c:v>
                </c:pt>
                <c:pt idx="85">
                  <c:v>225.15727272727287</c:v>
                </c:pt>
                <c:pt idx="86">
                  <c:v>224.96090909090927</c:v>
                </c:pt>
                <c:pt idx="87">
                  <c:v>224.76454545454567</c:v>
                </c:pt>
                <c:pt idx="88">
                  <c:v>224.56818181818204</c:v>
                </c:pt>
                <c:pt idx="89">
                  <c:v>224.37181818181841</c:v>
                </c:pt>
                <c:pt idx="90">
                  <c:v>224.17545454545476</c:v>
                </c:pt>
                <c:pt idx="91">
                  <c:v>223.9790909090911</c:v>
                </c:pt>
                <c:pt idx="92">
                  <c:v>223.78272727272741</c:v>
                </c:pt>
                <c:pt idx="93">
                  <c:v>223.5863636363637</c:v>
                </c:pt>
                <c:pt idx="94">
                  <c:v>223.39</c:v>
                </c:pt>
                <c:pt idx="95">
                  <c:v>223.80266666666654</c:v>
                </c:pt>
                <c:pt idx="96">
                  <c:v>224.21533333333309</c:v>
                </c:pt>
                <c:pt idx="97">
                  <c:v>224.62799999999967</c:v>
                </c:pt>
                <c:pt idx="98">
                  <c:v>225.04066666666625</c:v>
                </c:pt>
                <c:pt idx="99">
                  <c:v>225.45333333333286</c:v>
                </c:pt>
                <c:pt idx="100">
                  <c:v>225.8659999999995</c:v>
                </c:pt>
                <c:pt idx="101">
                  <c:v>226.27866666666614</c:v>
                </c:pt>
                <c:pt idx="102">
                  <c:v>226.69133333333281</c:v>
                </c:pt>
                <c:pt idx="103">
                  <c:v>227.1039999999995</c:v>
                </c:pt>
                <c:pt idx="104">
                  <c:v>227.5166666666662</c:v>
                </c:pt>
                <c:pt idx="105">
                  <c:v>227.92933333333292</c:v>
                </c:pt>
                <c:pt idx="106">
                  <c:v>228.34199999999967</c:v>
                </c:pt>
                <c:pt idx="107">
                  <c:v>228.75466666666642</c:v>
                </c:pt>
                <c:pt idx="108">
                  <c:v>229.1673333333332</c:v>
                </c:pt>
                <c:pt idx="109">
                  <c:v>229.58</c:v>
                </c:pt>
                <c:pt idx="110">
                  <c:v>229.52428571428584</c:v>
                </c:pt>
                <c:pt idx="111">
                  <c:v>229.46857142857164</c:v>
                </c:pt>
                <c:pt idx="112">
                  <c:v>229.41285714285743</c:v>
                </c:pt>
                <c:pt idx="113">
                  <c:v>229.3571428571432</c:v>
                </c:pt>
                <c:pt idx="114">
                  <c:v>229.30142857142897</c:v>
                </c:pt>
                <c:pt idx="115">
                  <c:v>229.24571428571471</c:v>
                </c:pt>
                <c:pt idx="116">
                  <c:v>229.19000000000042</c:v>
                </c:pt>
                <c:pt idx="117">
                  <c:v>229.13428571428614</c:v>
                </c:pt>
                <c:pt idx="118">
                  <c:v>229.07857142857182</c:v>
                </c:pt>
                <c:pt idx="119">
                  <c:v>229.02285714285748</c:v>
                </c:pt>
                <c:pt idx="120">
                  <c:v>228.96714285714313</c:v>
                </c:pt>
                <c:pt idx="121">
                  <c:v>228.91142857142876</c:v>
                </c:pt>
                <c:pt idx="122">
                  <c:v>228.85571428571438</c:v>
                </c:pt>
                <c:pt idx="123">
                  <c:v>228.8</c:v>
                </c:pt>
                <c:pt idx="124">
                  <c:v>229.08736842105247</c:v>
                </c:pt>
                <c:pt idx="125">
                  <c:v>229.37473684210497</c:v>
                </c:pt>
                <c:pt idx="126">
                  <c:v>229.66210526315746</c:v>
                </c:pt>
                <c:pt idx="127">
                  <c:v>229.94947368420998</c:v>
                </c:pt>
                <c:pt idx="128">
                  <c:v>230.23684210526253</c:v>
                </c:pt>
                <c:pt idx="129">
                  <c:v>230.52421052631507</c:v>
                </c:pt>
                <c:pt idx="130">
                  <c:v>230.81157894736765</c:v>
                </c:pt>
                <c:pt idx="131">
                  <c:v>231.09894736842026</c:v>
                </c:pt>
                <c:pt idx="132">
                  <c:v>231.38631578947286</c:v>
                </c:pt>
                <c:pt idx="133">
                  <c:v>231.67368421052549</c:v>
                </c:pt>
                <c:pt idx="134">
                  <c:v>231.96105263157816</c:v>
                </c:pt>
                <c:pt idx="135">
                  <c:v>232.24842105263082</c:v>
                </c:pt>
                <c:pt idx="136">
                  <c:v>232.53578947368351</c:v>
                </c:pt>
                <c:pt idx="137">
                  <c:v>232.82315789473623</c:v>
                </c:pt>
                <c:pt idx="138">
                  <c:v>233.11052631578895</c:v>
                </c:pt>
                <c:pt idx="139">
                  <c:v>233.39789473684169</c:v>
                </c:pt>
                <c:pt idx="140">
                  <c:v>233.68526315789444</c:v>
                </c:pt>
                <c:pt idx="141">
                  <c:v>233.97263157894722</c:v>
                </c:pt>
                <c:pt idx="142">
                  <c:v>234.26</c:v>
                </c:pt>
                <c:pt idx="143">
                  <c:v>234.07099999999991</c:v>
                </c:pt>
                <c:pt idx="144">
                  <c:v>233.88199999999986</c:v>
                </c:pt>
                <c:pt idx="145">
                  <c:v>233.69299999999981</c:v>
                </c:pt>
                <c:pt idx="146">
                  <c:v>233.50399999999979</c:v>
                </c:pt>
                <c:pt idx="147">
                  <c:v>233.3149999999998</c:v>
                </c:pt>
                <c:pt idx="148">
                  <c:v>233.12599999999981</c:v>
                </c:pt>
                <c:pt idx="149">
                  <c:v>232.93699999999984</c:v>
                </c:pt>
                <c:pt idx="150">
                  <c:v>232.74799999999988</c:v>
                </c:pt>
                <c:pt idx="151">
                  <c:v>232.55899999999994</c:v>
                </c:pt>
                <c:pt idx="152">
                  <c:v>232.37</c:v>
                </c:pt>
                <c:pt idx="153">
                  <c:v>232.11428571428567</c:v>
                </c:pt>
                <c:pt idx="154">
                  <c:v>231.85857142857134</c:v>
                </c:pt>
                <c:pt idx="155">
                  <c:v>231.60285714285703</c:v>
                </c:pt>
                <c:pt idx="156">
                  <c:v>231.34714285714276</c:v>
                </c:pt>
                <c:pt idx="157">
                  <c:v>231.09142857142848</c:v>
                </c:pt>
                <c:pt idx="158">
                  <c:v>230.83571428571423</c:v>
                </c:pt>
                <c:pt idx="159">
                  <c:v>230.58</c:v>
                </c:pt>
                <c:pt idx="160">
                  <c:v>230.755</c:v>
                </c:pt>
                <c:pt idx="161">
                  <c:v>230.92999999999998</c:v>
                </c:pt>
                <c:pt idx="162">
                  <c:v>231.10499999999996</c:v>
                </c:pt>
                <c:pt idx="163">
                  <c:v>231.27999999999997</c:v>
                </c:pt>
                <c:pt idx="164">
                  <c:v>231.45499999999998</c:v>
                </c:pt>
                <c:pt idx="165">
                  <c:v>231.63</c:v>
                </c:pt>
                <c:pt idx="166">
                  <c:v>231.96833333333319</c:v>
                </c:pt>
                <c:pt idx="167">
                  <c:v>232.30666666666639</c:v>
                </c:pt>
                <c:pt idx="168">
                  <c:v>232.64499999999961</c:v>
                </c:pt>
                <c:pt idx="169">
                  <c:v>232.98333333333284</c:v>
                </c:pt>
                <c:pt idx="170">
                  <c:v>233.32166666666609</c:v>
                </c:pt>
                <c:pt idx="171">
                  <c:v>233.65999999999937</c:v>
                </c:pt>
                <c:pt idx="172">
                  <c:v>233.99833333333265</c:v>
                </c:pt>
                <c:pt idx="173">
                  <c:v>234.33666666666596</c:v>
                </c:pt>
                <c:pt idx="174">
                  <c:v>234.6749999999993</c:v>
                </c:pt>
                <c:pt idx="175">
                  <c:v>235.01333333333264</c:v>
                </c:pt>
                <c:pt idx="176">
                  <c:v>235.35166666666601</c:v>
                </c:pt>
                <c:pt idx="177">
                  <c:v>235.6899999999994</c:v>
                </c:pt>
                <c:pt idx="178">
                  <c:v>236.0283333333328</c:v>
                </c:pt>
                <c:pt idx="179">
                  <c:v>236.36666666666622</c:v>
                </c:pt>
                <c:pt idx="180">
                  <c:v>236.70499999999964</c:v>
                </c:pt>
                <c:pt idx="181">
                  <c:v>237.04333333333309</c:v>
                </c:pt>
                <c:pt idx="182">
                  <c:v>237.38166666666655</c:v>
                </c:pt>
                <c:pt idx="183">
                  <c:v>237.72</c:v>
                </c:pt>
                <c:pt idx="205">
                  <c:v>243.39</c:v>
                </c:pt>
                <c:pt idx="206">
                  <c:v>243.49399999999986</c:v>
                </c:pt>
                <c:pt idx="207">
                  <c:v>243.59799999999976</c:v>
                </c:pt>
                <c:pt idx="208">
                  <c:v>243.70199999999966</c:v>
                </c:pt>
                <c:pt idx="209">
                  <c:v>243.80599999999959</c:v>
                </c:pt>
                <c:pt idx="210">
                  <c:v>243.90999999999954</c:v>
                </c:pt>
                <c:pt idx="211">
                  <c:v>244.0139999999995</c:v>
                </c:pt>
                <c:pt idx="212">
                  <c:v>244.11799999999948</c:v>
                </c:pt>
                <c:pt idx="213">
                  <c:v>244.2219999999995</c:v>
                </c:pt>
                <c:pt idx="214">
                  <c:v>244.32599999999951</c:v>
                </c:pt>
                <c:pt idx="215">
                  <c:v>244.42999999999955</c:v>
                </c:pt>
                <c:pt idx="216">
                  <c:v>244.53399999999962</c:v>
                </c:pt>
                <c:pt idx="217">
                  <c:v>244.63799999999969</c:v>
                </c:pt>
                <c:pt idx="218">
                  <c:v>244.74199999999979</c:v>
                </c:pt>
                <c:pt idx="219">
                  <c:v>244.84599999999989</c:v>
                </c:pt>
                <c:pt idx="220">
                  <c:v>244.95</c:v>
                </c:pt>
                <c:pt idx="278">
                  <c:v>243.59</c:v>
                </c:pt>
                <c:pt idx="279">
                  <c:v>244.40857142857135</c:v>
                </c:pt>
                <c:pt idx="280">
                  <c:v>245.2271428571427</c:v>
                </c:pt>
                <c:pt idx="281">
                  <c:v>246.04571428571404</c:v>
                </c:pt>
                <c:pt idx="282">
                  <c:v>246.86428571428542</c:v>
                </c:pt>
                <c:pt idx="283">
                  <c:v>247.68285714285679</c:v>
                </c:pt>
                <c:pt idx="284">
                  <c:v>248.50142857142819</c:v>
                </c:pt>
                <c:pt idx="285">
                  <c:v>249.3199999999996</c:v>
                </c:pt>
                <c:pt idx="286">
                  <c:v>250.13857142857103</c:v>
                </c:pt>
                <c:pt idx="287">
                  <c:v>250.95714285714249</c:v>
                </c:pt>
                <c:pt idx="288">
                  <c:v>251.77571428571395</c:v>
                </c:pt>
                <c:pt idx="289">
                  <c:v>252.59428571428543</c:v>
                </c:pt>
                <c:pt idx="290">
                  <c:v>253.41285714285695</c:v>
                </c:pt>
                <c:pt idx="291">
                  <c:v>254.23142857142847</c:v>
                </c:pt>
                <c:pt idx="292">
                  <c:v>255.05</c:v>
                </c:pt>
                <c:pt idx="293">
                  <c:v>254.66799999999989</c:v>
                </c:pt>
                <c:pt idx="294">
                  <c:v>254.2859999999998</c:v>
                </c:pt>
                <c:pt idx="295">
                  <c:v>253.90399999999971</c:v>
                </c:pt>
                <c:pt idx="296">
                  <c:v>253.52199999999965</c:v>
                </c:pt>
                <c:pt idx="297">
                  <c:v>253.13999999999959</c:v>
                </c:pt>
                <c:pt idx="298">
                  <c:v>252.75799999999956</c:v>
                </c:pt>
                <c:pt idx="299">
                  <c:v>252.37599999999952</c:v>
                </c:pt>
                <c:pt idx="300">
                  <c:v>251.99399999999952</c:v>
                </c:pt>
                <c:pt idx="301">
                  <c:v>251.61199999999954</c:v>
                </c:pt>
                <c:pt idx="302">
                  <c:v>251.22999999999956</c:v>
                </c:pt>
                <c:pt idx="303">
                  <c:v>250.84799999999962</c:v>
                </c:pt>
                <c:pt idx="304">
                  <c:v>250.4659999999997</c:v>
                </c:pt>
                <c:pt idx="305">
                  <c:v>250.08399999999978</c:v>
                </c:pt>
                <c:pt idx="306">
                  <c:v>249.70199999999988</c:v>
                </c:pt>
                <c:pt idx="307">
                  <c:v>249.32</c:v>
                </c:pt>
                <c:pt idx="308">
                  <c:v>248.70799999999997</c:v>
                </c:pt>
                <c:pt idx="309">
                  <c:v>248.09599999999995</c:v>
                </c:pt>
                <c:pt idx="310">
                  <c:v>247.48399999999995</c:v>
                </c:pt>
                <c:pt idx="311">
                  <c:v>246.87199999999996</c:v>
                </c:pt>
                <c:pt idx="312">
                  <c:v>246.26</c:v>
                </c:pt>
                <c:pt idx="313">
                  <c:v>246.61176470588219</c:v>
                </c:pt>
                <c:pt idx="314">
                  <c:v>246.96352941176443</c:v>
                </c:pt>
                <c:pt idx="315">
                  <c:v>247.31529411764666</c:v>
                </c:pt>
                <c:pt idx="316">
                  <c:v>247.66705882352892</c:v>
                </c:pt>
                <c:pt idx="317">
                  <c:v>248.01882352941121</c:v>
                </c:pt>
                <c:pt idx="318">
                  <c:v>248.3705882352935</c:v>
                </c:pt>
                <c:pt idx="319">
                  <c:v>248.72235294117581</c:v>
                </c:pt>
                <c:pt idx="320">
                  <c:v>249.07411764705816</c:v>
                </c:pt>
                <c:pt idx="321">
                  <c:v>249.4258823529405</c:v>
                </c:pt>
                <c:pt idx="322">
                  <c:v>249.77764705882288</c:v>
                </c:pt>
                <c:pt idx="323">
                  <c:v>250.12941176470528</c:v>
                </c:pt>
                <c:pt idx="324">
                  <c:v>250.48117647058768</c:v>
                </c:pt>
                <c:pt idx="325">
                  <c:v>250.83294117647011</c:v>
                </c:pt>
                <c:pt idx="326">
                  <c:v>251.18470588235257</c:v>
                </c:pt>
                <c:pt idx="327">
                  <c:v>251.53647058823503</c:v>
                </c:pt>
                <c:pt idx="328">
                  <c:v>251.88823529411752</c:v>
                </c:pt>
                <c:pt idx="329">
                  <c:v>252.24</c:v>
                </c:pt>
                <c:pt idx="330">
                  <c:v>251.95</c:v>
                </c:pt>
                <c:pt idx="331">
                  <c:v>251.65999999999997</c:v>
                </c:pt>
                <c:pt idx="332">
                  <c:v>251.36999999999995</c:v>
                </c:pt>
                <c:pt idx="333">
                  <c:v>251.07999999999996</c:v>
                </c:pt>
                <c:pt idx="334">
                  <c:v>250.78999999999996</c:v>
                </c:pt>
                <c:pt idx="335">
                  <c:v>250.5</c:v>
                </c:pt>
                <c:pt idx="336">
                  <c:v>250.99529411764692</c:v>
                </c:pt>
                <c:pt idx="337">
                  <c:v>251.49058823529384</c:v>
                </c:pt>
                <c:pt idx="338">
                  <c:v>251.98588235294079</c:v>
                </c:pt>
                <c:pt idx="339">
                  <c:v>252.48117647058774</c:v>
                </c:pt>
                <c:pt idx="340">
                  <c:v>252.97647058823472</c:v>
                </c:pt>
                <c:pt idx="341">
                  <c:v>253.4717647058817</c:v>
                </c:pt>
                <c:pt idx="342">
                  <c:v>253.9670588235287</c:v>
                </c:pt>
                <c:pt idx="343">
                  <c:v>254.46235294117574</c:v>
                </c:pt>
                <c:pt idx="344">
                  <c:v>254.95764705882277</c:v>
                </c:pt>
                <c:pt idx="345">
                  <c:v>255.45294117646984</c:v>
                </c:pt>
                <c:pt idx="346">
                  <c:v>255.94823529411693</c:v>
                </c:pt>
                <c:pt idx="347">
                  <c:v>256.44352941176402</c:v>
                </c:pt>
                <c:pt idx="348">
                  <c:v>256.93882352941114</c:v>
                </c:pt>
                <c:pt idx="349">
                  <c:v>257.43411764705832</c:v>
                </c:pt>
                <c:pt idx="350">
                  <c:v>257.92941176470555</c:v>
                </c:pt>
                <c:pt idx="351">
                  <c:v>258.42470588235278</c:v>
                </c:pt>
                <c:pt idx="352">
                  <c:v>258.92</c:v>
                </c:pt>
                <c:pt idx="398">
                  <c:v>271.14999999999998</c:v>
                </c:pt>
                <c:pt idx="399">
                  <c:v>271.25888888888875</c:v>
                </c:pt>
                <c:pt idx="400">
                  <c:v>271.36777777777752</c:v>
                </c:pt>
                <c:pt idx="401">
                  <c:v>271.47666666666635</c:v>
                </c:pt>
                <c:pt idx="402">
                  <c:v>271.58555555555523</c:v>
                </c:pt>
                <c:pt idx="403">
                  <c:v>271.69444444444412</c:v>
                </c:pt>
                <c:pt idx="404">
                  <c:v>271.80333333333306</c:v>
                </c:pt>
                <c:pt idx="405">
                  <c:v>271.912222222222</c:v>
                </c:pt>
                <c:pt idx="406">
                  <c:v>272.021111111111</c:v>
                </c:pt>
                <c:pt idx="407">
                  <c:v>272.13</c:v>
                </c:pt>
                <c:pt idx="408">
                  <c:v>272.52749999999975</c:v>
                </c:pt>
                <c:pt idx="409">
                  <c:v>272.9249999999995</c:v>
                </c:pt>
                <c:pt idx="410">
                  <c:v>273.32249999999931</c:v>
                </c:pt>
                <c:pt idx="411">
                  <c:v>273.71999999999917</c:v>
                </c:pt>
                <c:pt idx="412">
                  <c:v>274.11749999999904</c:v>
                </c:pt>
                <c:pt idx="413">
                  <c:v>274.51499999999896</c:v>
                </c:pt>
                <c:pt idx="414">
                  <c:v>274.91249999999894</c:v>
                </c:pt>
                <c:pt idx="415">
                  <c:v>275.30999999999892</c:v>
                </c:pt>
                <c:pt idx="416">
                  <c:v>275.70749999999896</c:v>
                </c:pt>
                <c:pt idx="417">
                  <c:v>276.104999999999</c:v>
                </c:pt>
                <c:pt idx="418">
                  <c:v>276.50249999999909</c:v>
                </c:pt>
                <c:pt idx="419">
                  <c:v>276.89999999999918</c:v>
                </c:pt>
                <c:pt idx="420">
                  <c:v>277.29749999999933</c:v>
                </c:pt>
                <c:pt idx="421">
                  <c:v>277.69499999999954</c:v>
                </c:pt>
                <c:pt idx="422">
                  <c:v>278.09249999999975</c:v>
                </c:pt>
                <c:pt idx="423">
                  <c:v>278.49</c:v>
                </c:pt>
                <c:pt idx="424">
                  <c:v>278.78923076923058</c:v>
                </c:pt>
                <c:pt idx="425">
                  <c:v>279.08846153846116</c:v>
                </c:pt>
                <c:pt idx="426">
                  <c:v>279.38769230769179</c:v>
                </c:pt>
                <c:pt idx="427">
                  <c:v>279.68692307692243</c:v>
                </c:pt>
                <c:pt idx="428">
                  <c:v>279.98615384615312</c:v>
                </c:pt>
                <c:pt idx="429">
                  <c:v>280.28538461538386</c:v>
                </c:pt>
                <c:pt idx="430">
                  <c:v>280.58461538461461</c:v>
                </c:pt>
                <c:pt idx="431">
                  <c:v>280.88384615384541</c:v>
                </c:pt>
                <c:pt idx="432">
                  <c:v>281.18307692307627</c:v>
                </c:pt>
                <c:pt idx="433">
                  <c:v>281.48230769230713</c:v>
                </c:pt>
                <c:pt idx="434">
                  <c:v>281.78153846153805</c:v>
                </c:pt>
                <c:pt idx="435">
                  <c:v>282.08076923076902</c:v>
                </c:pt>
                <c:pt idx="436">
                  <c:v>282.38</c:v>
                </c:pt>
                <c:pt idx="437">
                  <c:v>280.69090909090892</c:v>
                </c:pt>
                <c:pt idx="438">
                  <c:v>279.0018181818179</c:v>
                </c:pt>
                <c:pt idx="439">
                  <c:v>277.31272727272687</c:v>
                </c:pt>
                <c:pt idx="440">
                  <c:v>275.62363636363591</c:v>
                </c:pt>
                <c:pt idx="441">
                  <c:v>273.934545454545</c:v>
                </c:pt>
                <c:pt idx="442">
                  <c:v>272.24545454545409</c:v>
                </c:pt>
                <c:pt idx="443">
                  <c:v>270.55636363636324</c:v>
                </c:pt>
                <c:pt idx="444">
                  <c:v>268.86727272727239</c:v>
                </c:pt>
                <c:pt idx="445">
                  <c:v>267.1781818181816</c:v>
                </c:pt>
                <c:pt idx="446">
                  <c:v>265.48909090909081</c:v>
                </c:pt>
                <c:pt idx="447">
                  <c:v>263.8</c:v>
                </c:pt>
                <c:pt idx="448">
                  <c:v>262.94500000000016</c:v>
                </c:pt>
                <c:pt idx="449">
                  <c:v>262.09000000000026</c:v>
                </c:pt>
                <c:pt idx="450">
                  <c:v>261.23500000000035</c:v>
                </c:pt>
                <c:pt idx="451">
                  <c:v>260.38000000000045</c:v>
                </c:pt>
                <c:pt idx="452">
                  <c:v>259.52500000000049</c:v>
                </c:pt>
                <c:pt idx="453">
                  <c:v>258.67000000000053</c:v>
                </c:pt>
                <c:pt idx="454">
                  <c:v>257.81500000000051</c:v>
                </c:pt>
                <c:pt idx="455">
                  <c:v>256.96000000000043</c:v>
                </c:pt>
                <c:pt idx="456">
                  <c:v>256.10500000000036</c:v>
                </c:pt>
                <c:pt idx="457">
                  <c:v>255.25000000000023</c:v>
                </c:pt>
                <c:pt idx="458">
                  <c:v>254.3950000000001</c:v>
                </c:pt>
                <c:pt idx="459">
                  <c:v>253.54</c:v>
                </c:pt>
                <c:pt idx="460">
                  <c:v>253.71444444444455</c:v>
                </c:pt>
                <c:pt idx="461">
                  <c:v>253.88888888888914</c:v>
                </c:pt>
                <c:pt idx="462">
                  <c:v>254.0633333333337</c:v>
                </c:pt>
                <c:pt idx="463">
                  <c:v>254.23777777777826</c:v>
                </c:pt>
                <c:pt idx="464">
                  <c:v>254.41222222222279</c:v>
                </c:pt>
                <c:pt idx="465">
                  <c:v>254.5866666666673</c:v>
                </c:pt>
                <c:pt idx="466">
                  <c:v>254.7611111111118</c:v>
                </c:pt>
                <c:pt idx="467">
                  <c:v>254.93555555555628</c:v>
                </c:pt>
                <c:pt idx="468">
                  <c:v>255.11000000000072</c:v>
                </c:pt>
                <c:pt idx="469">
                  <c:v>255.28444444444517</c:v>
                </c:pt>
                <c:pt idx="470">
                  <c:v>255.45888888888959</c:v>
                </c:pt>
                <c:pt idx="471">
                  <c:v>255.63333333333398</c:v>
                </c:pt>
                <c:pt idx="472">
                  <c:v>255.80777777777837</c:v>
                </c:pt>
                <c:pt idx="473">
                  <c:v>255.98222222222273</c:v>
                </c:pt>
                <c:pt idx="474">
                  <c:v>256.15666666666709</c:v>
                </c:pt>
                <c:pt idx="475">
                  <c:v>256.3311111111114</c:v>
                </c:pt>
                <c:pt idx="476">
                  <c:v>256.5055555555557</c:v>
                </c:pt>
                <c:pt idx="477">
                  <c:v>256.68</c:v>
                </c:pt>
                <c:pt idx="478">
                  <c:v>256.24600000000009</c:v>
                </c:pt>
                <c:pt idx="479">
                  <c:v>255.81200000000013</c:v>
                </c:pt>
                <c:pt idx="480">
                  <c:v>255.37800000000016</c:v>
                </c:pt>
                <c:pt idx="481">
                  <c:v>254.94400000000019</c:v>
                </c:pt>
                <c:pt idx="482">
                  <c:v>254.51000000000019</c:v>
                </c:pt>
                <c:pt idx="483">
                  <c:v>254.07600000000019</c:v>
                </c:pt>
                <c:pt idx="484">
                  <c:v>253.64200000000017</c:v>
                </c:pt>
                <c:pt idx="485">
                  <c:v>253.20800000000011</c:v>
                </c:pt>
                <c:pt idx="486">
                  <c:v>252.77400000000006</c:v>
                </c:pt>
                <c:pt idx="487">
                  <c:v>252.34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2-4A2A-9D93-7A9A73A4E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600088"/>
        <c:axId val="611601728"/>
      </c:lineChart>
      <c:catAx>
        <c:axId val="61160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01728"/>
        <c:crosses val="autoZero"/>
        <c:auto val="1"/>
        <c:lblAlgn val="ctr"/>
        <c:lblOffset val="100"/>
        <c:noMultiLvlLbl val="0"/>
      </c:catAx>
      <c:valAx>
        <c:axId val="611601728"/>
        <c:scaling>
          <c:orientation val="minMax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0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'Pivots(4,4,20,HL)'!$F$1</c:f>
              <c:strCache>
                <c:ptCount val="1"/>
                <c:pt idx="0">
                  <c:v> close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'Pivots(4,4,20,HL)'!$F$2:$F$503</c:f>
            </c:numRef>
          </c:val>
          <c:smooth val="0"/>
          <c:extLst>
            <c:ext xmlns:c16="http://schemas.microsoft.com/office/drawing/2014/chart" uri="{C3380CC4-5D6E-409C-BE32-E72D297353CC}">
              <c16:uniqueId val="{00000012-0B8A-4499-A676-48E228A94A11}"/>
            </c:ext>
          </c:extLst>
        </c:ser>
        <c:ser>
          <c:idx val="5"/>
          <c:order val="1"/>
          <c:tx>
            <c:strRef>
              <c:f>Issue1950!$J$2</c:f>
              <c:strCache>
                <c:ptCount val="1"/>
                <c:pt idx="0">
                  <c:v> Hpoint 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Issue1950!$J$1300:$J$1432</c:f>
              <c:numCache>
                <c:formatCode>_("$"* #,##0.00_);_("$"* \(#,##0.00\);_("$"* "-"??_);_(@_)</c:formatCode>
                <c:ptCount val="133"/>
                <c:pt idx="3">
                  <c:v>78966.89</c:v>
                </c:pt>
                <c:pt idx="11">
                  <c:v>79009.5</c:v>
                </c:pt>
                <c:pt idx="17">
                  <c:v>78990.350000000006</c:v>
                </c:pt>
                <c:pt idx="21">
                  <c:v>78990.36</c:v>
                </c:pt>
                <c:pt idx="29">
                  <c:v>78830.399999999994</c:v>
                </c:pt>
                <c:pt idx="35">
                  <c:v>78853.3</c:v>
                </c:pt>
                <c:pt idx="39">
                  <c:v>78878.399999999994</c:v>
                </c:pt>
                <c:pt idx="53">
                  <c:v>78937.649999999994</c:v>
                </c:pt>
                <c:pt idx="76">
                  <c:v>78600.149999999994</c:v>
                </c:pt>
                <c:pt idx="81">
                  <c:v>78589.66</c:v>
                </c:pt>
                <c:pt idx="85">
                  <c:v>78640.399999999994</c:v>
                </c:pt>
                <c:pt idx="93">
                  <c:v>78635.98</c:v>
                </c:pt>
                <c:pt idx="97">
                  <c:v>78677.570000000007</c:v>
                </c:pt>
                <c:pt idx="100">
                  <c:v>78683.399999999994</c:v>
                </c:pt>
                <c:pt idx="106">
                  <c:v>78762.399999999994</c:v>
                </c:pt>
                <c:pt idx="110">
                  <c:v>78773.34</c:v>
                </c:pt>
                <c:pt idx="117">
                  <c:v>78748.33</c:v>
                </c:pt>
                <c:pt idx="124">
                  <c:v>78556.039999999994</c:v>
                </c:pt>
                <c:pt idx="128">
                  <c:v>78545.89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8A-4499-A676-48E228A94A11}"/>
            </c:ext>
          </c:extLst>
        </c:ser>
        <c:ser>
          <c:idx val="6"/>
          <c:order val="2"/>
          <c:tx>
            <c:strRef>
              <c:f>Issue1950!$K$2</c:f>
              <c:strCache>
                <c:ptCount val="1"/>
                <c:pt idx="0">
                  <c:v> Lpoint 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Issue1950!$K$1300:$K$1432</c:f>
              <c:numCache>
                <c:formatCode>_("$"* #,##0.00_);_("$"* \(#,##0.00\);_("$"* "-"??_);_(@_)</c:formatCode>
                <c:ptCount val="133"/>
                <c:pt idx="1">
                  <c:v>78862.98</c:v>
                </c:pt>
                <c:pt idx="14">
                  <c:v>78924.850000000006</c:v>
                </c:pt>
                <c:pt idx="27">
                  <c:v>78730.44</c:v>
                </c:pt>
                <c:pt idx="32">
                  <c:v>78690.91</c:v>
                </c:pt>
                <c:pt idx="35">
                  <c:v>78690.42</c:v>
                </c:pt>
                <c:pt idx="38">
                  <c:v>78705.64</c:v>
                </c:pt>
                <c:pt idx="41">
                  <c:v>78746.53</c:v>
                </c:pt>
                <c:pt idx="45">
                  <c:v>78677.56</c:v>
                </c:pt>
                <c:pt idx="50">
                  <c:v>78807.17</c:v>
                </c:pt>
                <c:pt idx="56">
                  <c:v>78794.100000000006</c:v>
                </c:pt>
                <c:pt idx="68">
                  <c:v>78500.820000000007</c:v>
                </c:pt>
                <c:pt idx="74">
                  <c:v>78481.33</c:v>
                </c:pt>
                <c:pt idx="82">
                  <c:v>78545.009999999995</c:v>
                </c:pt>
                <c:pt idx="88">
                  <c:v>78556.78</c:v>
                </c:pt>
                <c:pt idx="101">
                  <c:v>78656.899999999994</c:v>
                </c:pt>
                <c:pt idx="112">
                  <c:v>78641.73</c:v>
                </c:pt>
                <c:pt idx="122">
                  <c:v>78349.429999999993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B8A-4499-A676-48E228A94A11}"/>
            </c:ext>
          </c:extLst>
        </c:ser>
        <c:ser>
          <c:idx val="2"/>
          <c:order val="3"/>
          <c:tx>
            <c:strRef>
              <c:f>'Pivots(4,4,20,HL)'!$F$1</c:f>
              <c:strCache>
                <c:ptCount val="1"/>
                <c:pt idx="0">
                  <c:v> close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'Pivots(4,4,20,HL)'!$F$2:$F$503</c:f>
            </c:numRef>
          </c:val>
          <c:smooth val="0"/>
          <c:extLst>
            <c:ext xmlns:c16="http://schemas.microsoft.com/office/drawing/2014/chart" uri="{C3380CC4-5D6E-409C-BE32-E72D297353CC}">
              <c16:uniqueId val="{0000000B-0B8A-4499-A676-48E228A94A11}"/>
            </c:ext>
          </c:extLst>
        </c:ser>
        <c:ser>
          <c:idx val="0"/>
          <c:order val="4"/>
          <c:tx>
            <c:strRef>
              <c:f>Issue1950!$L$2</c:f>
              <c:strCache>
                <c:ptCount val="1"/>
                <c:pt idx="0">
                  <c:v> High Line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Issue1950!$L$1300:$L$1432</c:f>
              <c:numCache>
                <c:formatCode>_("$"* #,##0.00_);_("$"* \(#,##0.00\);_("$"* "-"??_);_(@_)</c:formatCode>
                <c:ptCount val="133"/>
                <c:pt idx="0">
                  <c:v>78966.684290000005</c:v>
                </c:pt>
                <c:pt idx="1">
                  <c:v>78966.752859999993</c:v>
                </c:pt>
                <c:pt idx="2">
                  <c:v>78966.821429999996</c:v>
                </c:pt>
                <c:pt idx="3">
                  <c:v>78966.89</c:v>
                </c:pt>
                <c:pt idx="4">
                  <c:v>78972.216249999998</c:v>
                </c:pt>
                <c:pt idx="5">
                  <c:v>78977.542499999996</c:v>
                </c:pt>
                <c:pt idx="6">
                  <c:v>78982.868749999994</c:v>
                </c:pt>
                <c:pt idx="7">
                  <c:v>78988.195000000007</c:v>
                </c:pt>
                <c:pt idx="8">
                  <c:v>78993.521250000005</c:v>
                </c:pt>
                <c:pt idx="9">
                  <c:v>78998.847500000003</c:v>
                </c:pt>
                <c:pt idx="10">
                  <c:v>79004.173750000002</c:v>
                </c:pt>
                <c:pt idx="11">
                  <c:v>79009.5</c:v>
                </c:pt>
                <c:pt idx="12">
                  <c:v>79006.30833</c:v>
                </c:pt>
                <c:pt idx="13">
                  <c:v>79003.116670000003</c:v>
                </c:pt>
                <c:pt idx="14">
                  <c:v>78999.925000000003</c:v>
                </c:pt>
                <c:pt idx="15">
                  <c:v>78996.733330000003</c:v>
                </c:pt>
                <c:pt idx="16">
                  <c:v>78993.541670000006</c:v>
                </c:pt>
                <c:pt idx="17">
                  <c:v>78990.350000000006</c:v>
                </c:pt>
                <c:pt idx="18">
                  <c:v>78990.352499999994</c:v>
                </c:pt>
                <c:pt idx="19">
                  <c:v>78990.354999999996</c:v>
                </c:pt>
                <c:pt idx="20">
                  <c:v>78990.357499999998</c:v>
                </c:pt>
                <c:pt idx="21">
                  <c:v>78990.36</c:v>
                </c:pt>
                <c:pt idx="22">
                  <c:v>78970.365000000005</c:v>
                </c:pt>
                <c:pt idx="23">
                  <c:v>78950.37</c:v>
                </c:pt>
                <c:pt idx="24">
                  <c:v>78930.375</c:v>
                </c:pt>
                <c:pt idx="25">
                  <c:v>78910.38</c:v>
                </c:pt>
                <c:pt idx="26">
                  <c:v>78890.384999999995</c:v>
                </c:pt>
                <c:pt idx="27">
                  <c:v>78870.39</c:v>
                </c:pt>
                <c:pt idx="28">
                  <c:v>78850.395000000004</c:v>
                </c:pt>
                <c:pt idx="29">
                  <c:v>78830.399999999994</c:v>
                </c:pt>
                <c:pt idx="30">
                  <c:v>78834.216669999994</c:v>
                </c:pt>
                <c:pt idx="31">
                  <c:v>78838.033330000006</c:v>
                </c:pt>
                <c:pt idx="32">
                  <c:v>78841.850000000006</c:v>
                </c:pt>
                <c:pt idx="33">
                  <c:v>78845.666670000006</c:v>
                </c:pt>
                <c:pt idx="34">
                  <c:v>78849.483330000003</c:v>
                </c:pt>
                <c:pt idx="35">
                  <c:v>78853.3</c:v>
                </c:pt>
                <c:pt idx="36">
                  <c:v>78859.574999999997</c:v>
                </c:pt>
                <c:pt idx="37">
                  <c:v>78865.850000000006</c:v>
                </c:pt>
                <c:pt idx="38">
                  <c:v>78872.125</c:v>
                </c:pt>
                <c:pt idx="39">
                  <c:v>78878.399999999994</c:v>
                </c:pt>
                <c:pt idx="40">
                  <c:v>78882.632140000002</c:v>
                </c:pt>
                <c:pt idx="41">
                  <c:v>78886.864289999998</c:v>
                </c:pt>
                <c:pt idx="42">
                  <c:v>78891.096430000005</c:v>
                </c:pt>
                <c:pt idx="43">
                  <c:v>78895.328569999998</c:v>
                </c:pt>
                <c:pt idx="44">
                  <c:v>78899.560710000005</c:v>
                </c:pt>
                <c:pt idx="45">
                  <c:v>78903.792860000001</c:v>
                </c:pt>
                <c:pt idx="46">
                  <c:v>78908.024999999994</c:v>
                </c:pt>
                <c:pt idx="47">
                  <c:v>78912.257140000002</c:v>
                </c:pt>
                <c:pt idx="48">
                  <c:v>78916.489289999998</c:v>
                </c:pt>
                <c:pt idx="49">
                  <c:v>78920.721430000005</c:v>
                </c:pt>
                <c:pt idx="50">
                  <c:v>78924.953569999998</c:v>
                </c:pt>
                <c:pt idx="51">
                  <c:v>78929.185710000005</c:v>
                </c:pt>
                <c:pt idx="52">
                  <c:v>78933.417860000001</c:v>
                </c:pt>
                <c:pt idx="53">
                  <c:v>78937.649999999994</c:v>
                </c:pt>
                <c:pt idx="54">
                  <c:v>78922.976089999996</c:v>
                </c:pt>
                <c:pt idx="55">
                  <c:v>78908.302169999995</c:v>
                </c:pt>
                <c:pt idx="56">
                  <c:v>78893.628259999998</c:v>
                </c:pt>
                <c:pt idx="57">
                  <c:v>78878.95435</c:v>
                </c:pt>
                <c:pt idx="58">
                  <c:v>78864.280429999999</c:v>
                </c:pt>
                <c:pt idx="59">
                  <c:v>78849.606520000001</c:v>
                </c:pt>
                <c:pt idx="60">
                  <c:v>78834.932610000003</c:v>
                </c:pt>
                <c:pt idx="61">
                  <c:v>78820.258700000006</c:v>
                </c:pt>
                <c:pt idx="62">
                  <c:v>78805.584780000005</c:v>
                </c:pt>
                <c:pt idx="63">
                  <c:v>78790.910870000007</c:v>
                </c:pt>
                <c:pt idx="64">
                  <c:v>78776.236959999995</c:v>
                </c:pt>
                <c:pt idx="65">
                  <c:v>78761.563039999994</c:v>
                </c:pt>
                <c:pt idx="66">
                  <c:v>78746.889129999996</c:v>
                </c:pt>
                <c:pt idx="67">
                  <c:v>78732.215219999998</c:v>
                </c:pt>
                <c:pt idx="68">
                  <c:v>78717.541299999997</c:v>
                </c:pt>
                <c:pt idx="69">
                  <c:v>78702.867389999999</c:v>
                </c:pt>
                <c:pt idx="70">
                  <c:v>78688.193480000002</c:v>
                </c:pt>
                <c:pt idx="71">
                  <c:v>78673.519570000004</c:v>
                </c:pt>
                <c:pt idx="72">
                  <c:v>78658.845650000003</c:v>
                </c:pt>
                <c:pt idx="73">
                  <c:v>78644.171740000005</c:v>
                </c:pt>
                <c:pt idx="74">
                  <c:v>78629.497829999993</c:v>
                </c:pt>
                <c:pt idx="75">
                  <c:v>78614.823910000006</c:v>
                </c:pt>
                <c:pt idx="76">
                  <c:v>78600.149999999994</c:v>
                </c:pt>
                <c:pt idx="77">
                  <c:v>78598.051999999996</c:v>
                </c:pt>
                <c:pt idx="78">
                  <c:v>78595.953999999998</c:v>
                </c:pt>
                <c:pt idx="79">
                  <c:v>78593.856</c:v>
                </c:pt>
                <c:pt idx="80">
                  <c:v>78591.758000000002</c:v>
                </c:pt>
                <c:pt idx="81">
                  <c:v>78589.66</c:v>
                </c:pt>
                <c:pt idx="82">
                  <c:v>78602.345000000001</c:v>
                </c:pt>
                <c:pt idx="83">
                  <c:v>78615.03</c:v>
                </c:pt>
                <c:pt idx="84">
                  <c:v>78627.714999999997</c:v>
                </c:pt>
                <c:pt idx="85">
                  <c:v>78640.399999999994</c:v>
                </c:pt>
                <c:pt idx="86">
                  <c:v>78639.847500000003</c:v>
                </c:pt>
                <c:pt idx="87">
                  <c:v>78639.294999999998</c:v>
                </c:pt>
                <c:pt idx="88">
                  <c:v>78638.742499999993</c:v>
                </c:pt>
                <c:pt idx="89">
                  <c:v>78638.19</c:v>
                </c:pt>
                <c:pt idx="90">
                  <c:v>78637.637499999997</c:v>
                </c:pt>
                <c:pt idx="91">
                  <c:v>78637.085000000006</c:v>
                </c:pt>
                <c:pt idx="92">
                  <c:v>78636.532500000001</c:v>
                </c:pt>
                <c:pt idx="93">
                  <c:v>78635.98</c:v>
                </c:pt>
                <c:pt idx="94">
                  <c:v>78646.377500000002</c:v>
                </c:pt>
                <c:pt idx="95">
                  <c:v>78656.774999999994</c:v>
                </c:pt>
                <c:pt idx="96">
                  <c:v>78667.172500000001</c:v>
                </c:pt>
                <c:pt idx="97">
                  <c:v>78677.570000000007</c:v>
                </c:pt>
                <c:pt idx="98">
                  <c:v>78679.513330000002</c:v>
                </c:pt>
                <c:pt idx="99">
                  <c:v>78681.45667</c:v>
                </c:pt>
                <c:pt idx="100">
                  <c:v>78683.399999999994</c:v>
                </c:pt>
                <c:pt idx="101">
                  <c:v>78696.56667</c:v>
                </c:pt>
                <c:pt idx="102">
                  <c:v>78709.733330000003</c:v>
                </c:pt>
                <c:pt idx="103">
                  <c:v>78722.899999999994</c:v>
                </c:pt>
                <c:pt idx="104">
                  <c:v>78736.06667</c:v>
                </c:pt>
                <c:pt idx="105">
                  <c:v>78749.233330000003</c:v>
                </c:pt>
                <c:pt idx="106">
                  <c:v>78762.399999999994</c:v>
                </c:pt>
                <c:pt idx="107">
                  <c:v>78765.134999999995</c:v>
                </c:pt>
                <c:pt idx="108">
                  <c:v>78767.87</c:v>
                </c:pt>
                <c:pt idx="109">
                  <c:v>78770.604999999996</c:v>
                </c:pt>
                <c:pt idx="110">
                  <c:v>78773.34</c:v>
                </c:pt>
                <c:pt idx="111">
                  <c:v>78769.767139999996</c:v>
                </c:pt>
                <c:pt idx="112">
                  <c:v>78766.194289999999</c:v>
                </c:pt>
                <c:pt idx="113">
                  <c:v>78762.621429999999</c:v>
                </c:pt>
                <c:pt idx="114">
                  <c:v>78759.048569999999</c:v>
                </c:pt>
                <c:pt idx="115">
                  <c:v>78755.475709999999</c:v>
                </c:pt>
                <c:pt idx="116">
                  <c:v>78751.902860000002</c:v>
                </c:pt>
                <c:pt idx="117">
                  <c:v>78748.33</c:v>
                </c:pt>
                <c:pt idx="118">
                  <c:v>78720.86</c:v>
                </c:pt>
                <c:pt idx="119">
                  <c:v>78693.39</c:v>
                </c:pt>
                <c:pt idx="120">
                  <c:v>78665.919999999998</c:v>
                </c:pt>
                <c:pt idx="121">
                  <c:v>78638.45</c:v>
                </c:pt>
                <c:pt idx="122">
                  <c:v>78610.98</c:v>
                </c:pt>
                <c:pt idx="123">
                  <c:v>78583.509999999995</c:v>
                </c:pt>
                <c:pt idx="124">
                  <c:v>78556.039999999994</c:v>
                </c:pt>
                <c:pt idx="125">
                  <c:v>78553.502500000002</c:v>
                </c:pt>
                <c:pt idx="126">
                  <c:v>78550.964999999997</c:v>
                </c:pt>
                <c:pt idx="127">
                  <c:v>78548.427500000005</c:v>
                </c:pt>
                <c:pt idx="128">
                  <c:v>78545.89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8A-4499-A676-48E228A94A11}"/>
            </c:ext>
          </c:extLst>
        </c:ser>
        <c:ser>
          <c:idx val="1"/>
          <c:order val="5"/>
          <c:tx>
            <c:strRef>
              <c:f>Issue1950!$M$2</c:f>
              <c:strCache>
                <c:ptCount val="1"/>
                <c:pt idx="0">
                  <c:v> Low Line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Issue1950!$M$1300:$M$1432</c:f>
              <c:numCache>
                <c:formatCode>_("$"* #,##0.00_);_("$"* \(#,##0.00\);_("$"* "-"??_);_(@_)</c:formatCode>
                <c:ptCount val="133"/>
                <c:pt idx="0">
                  <c:v>78862.97</c:v>
                </c:pt>
                <c:pt idx="1">
                  <c:v>78862.98</c:v>
                </c:pt>
                <c:pt idx="2">
                  <c:v>78867.739230000007</c:v>
                </c:pt>
                <c:pt idx="3">
                  <c:v>78872.498460000003</c:v>
                </c:pt>
                <c:pt idx="4">
                  <c:v>78877.257689999999</c:v>
                </c:pt>
                <c:pt idx="5">
                  <c:v>78882.016919999995</c:v>
                </c:pt>
                <c:pt idx="6">
                  <c:v>78886.776150000005</c:v>
                </c:pt>
                <c:pt idx="7">
                  <c:v>78891.535380000001</c:v>
                </c:pt>
                <c:pt idx="8">
                  <c:v>78896.294620000001</c:v>
                </c:pt>
                <c:pt idx="9">
                  <c:v>78901.053849999997</c:v>
                </c:pt>
                <c:pt idx="10">
                  <c:v>78905.813080000007</c:v>
                </c:pt>
                <c:pt idx="11">
                  <c:v>78910.572310000003</c:v>
                </c:pt>
                <c:pt idx="12">
                  <c:v>78915.331539999999</c:v>
                </c:pt>
                <c:pt idx="13">
                  <c:v>78920.090769999995</c:v>
                </c:pt>
                <c:pt idx="14">
                  <c:v>78924.850000000006</c:v>
                </c:pt>
                <c:pt idx="15">
                  <c:v>78909.895380000002</c:v>
                </c:pt>
                <c:pt idx="16">
                  <c:v>78894.940770000001</c:v>
                </c:pt>
                <c:pt idx="17">
                  <c:v>78879.986149999997</c:v>
                </c:pt>
                <c:pt idx="18">
                  <c:v>78865.031539999996</c:v>
                </c:pt>
                <c:pt idx="19">
                  <c:v>78850.076920000007</c:v>
                </c:pt>
                <c:pt idx="20">
                  <c:v>78835.122310000006</c:v>
                </c:pt>
                <c:pt idx="21">
                  <c:v>78820.167690000002</c:v>
                </c:pt>
                <c:pt idx="22">
                  <c:v>78805.213080000001</c:v>
                </c:pt>
                <c:pt idx="23">
                  <c:v>78790.258459999997</c:v>
                </c:pt>
                <c:pt idx="24">
                  <c:v>78775.303849999997</c:v>
                </c:pt>
                <c:pt idx="25">
                  <c:v>78760.349230000007</c:v>
                </c:pt>
                <c:pt idx="26">
                  <c:v>78745.394620000006</c:v>
                </c:pt>
                <c:pt idx="27">
                  <c:v>78730.44</c:v>
                </c:pt>
                <c:pt idx="28">
                  <c:v>78722.534</c:v>
                </c:pt>
                <c:pt idx="29">
                  <c:v>78714.627999999997</c:v>
                </c:pt>
                <c:pt idx="30">
                  <c:v>78706.721999999994</c:v>
                </c:pt>
                <c:pt idx="31">
                  <c:v>78698.816000000006</c:v>
                </c:pt>
                <c:pt idx="32">
                  <c:v>78690.91</c:v>
                </c:pt>
                <c:pt idx="33">
                  <c:v>78690.746669999993</c:v>
                </c:pt>
                <c:pt idx="34">
                  <c:v>78690.583329999994</c:v>
                </c:pt>
                <c:pt idx="35">
                  <c:v>78690.42</c:v>
                </c:pt>
                <c:pt idx="36">
                  <c:v>78695.493329999998</c:v>
                </c:pt>
                <c:pt idx="37">
                  <c:v>78700.56667</c:v>
                </c:pt>
                <c:pt idx="38">
                  <c:v>78705.64</c:v>
                </c:pt>
                <c:pt idx="39">
                  <c:v>78719.27</c:v>
                </c:pt>
                <c:pt idx="40">
                  <c:v>78732.899999999994</c:v>
                </c:pt>
                <c:pt idx="41">
                  <c:v>78746.53</c:v>
                </c:pt>
                <c:pt idx="42">
                  <c:v>78729.287500000006</c:v>
                </c:pt>
                <c:pt idx="43">
                  <c:v>78712.044999999998</c:v>
                </c:pt>
                <c:pt idx="44">
                  <c:v>78694.802500000005</c:v>
                </c:pt>
                <c:pt idx="45">
                  <c:v>78677.56</c:v>
                </c:pt>
                <c:pt idx="46">
                  <c:v>78703.482000000004</c:v>
                </c:pt>
                <c:pt idx="47">
                  <c:v>78729.403999999995</c:v>
                </c:pt>
                <c:pt idx="48">
                  <c:v>78755.326000000001</c:v>
                </c:pt>
                <c:pt idx="49">
                  <c:v>78781.248000000007</c:v>
                </c:pt>
                <c:pt idx="50">
                  <c:v>78807.17</c:v>
                </c:pt>
                <c:pt idx="51">
                  <c:v>78804.991670000003</c:v>
                </c:pt>
                <c:pt idx="52">
                  <c:v>78802.813330000004</c:v>
                </c:pt>
                <c:pt idx="53">
                  <c:v>78800.634999999995</c:v>
                </c:pt>
                <c:pt idx="54">
                  <c:v>78798.45667</c:v>
                </c:pt>
                <c:pt idx="55">
                  <c:v>78796.278330000001</c:v>
                </c:pt>
                <c:pt idx="56">
                  <c:v>78794.100000000006</c:v>
                </c:pt>
                <c:pt idx="57">
                  <c:v>78769.66</c:v>
                </c:pt>
                <c:pt idx="58">
                  <c:v>78745.22</c:v>
                </c:pt>
                <c:pt idx="59">
                  <c:v>78720.78</c:v>
                </c:pt>
                <c:pt idx="60">
                  <c:v>78696.34</c:v>
                </c:pt>
                <c:pt idx="61">
                  <c:v>78671.899999999994</c:v>
                </c:pt>
                <c:pt idx="62">
                  <c:v>78647.460000000006</c:v>
                </c:pt>
                <c:pt idx="63">
                  <c:v>78623.02</c:v>
                </c:pt>
                <c:pt idx="64">
                  <c:v>78598.58</c:v>
                </c:pt>
                <c:pt idx="65">
                  <c:v>78574.14</c:v>
                </c:pt>
                <c:pt idx="66">
                  <c:v>78549.7</c:v>
                </c:pt>
                <c:pt idx="67">
                  <c:v>78525.259999999995</c:v>
                </c:pt>
                <c:pt idx="68">
                  <c:v>78500.820000000007</c:v>
                </c:pt>
                <c:pt idx="69">
                  <c:v>78497.571670000005</c:v>
                </c:pt>
                <c:pt idx="70">
                  <c:v>78494.323329999999</c:v>
                </c:pt>
                <c:pt idx="71">
                  <c:v>78491.074999999997</c:v>
                </c:pt>
                <c:pt idx="72">
                  <c:v>78487.826669999995</c:v>
                </c:pt>
                <c:pt idx="73">
                  <c:v>78484.578330000004</c:v>
                </c:pt>
                <c:pt idx="74">
                  <c:v>78481.33</c:v>
                </c:pt>
                <c:pt idx="75">
                  <c:v>78489.289999999994</c:v>
                </c:pt>
                <c:pt idx="76">
                  <c:v>78497.25</c:v>
                </c:pt>
                <c:pt idx="77">
                  <c:v>78505.210000000006</c:v>
                </c:pt>
                <c:pt idx="78">
                  <c:v>78513.17</c:v>
                </c:pt>
                <c:pt idx="79">
                  <c:v>78521.13</c:v>
                </c:pt>
                <c:pt idx="80">
                  <c:v>78529.09</c:v>
                </c:pt>
                <c:pt idx="81">
                  <c:v>78537.05</c:v>
                </c:pt>
                <c:pt idx="82">
                  <c:v>78545.009999999995</c:v>
                </c:pt>
                <c:pt idx="83">
                  <c:v>78546.971669999999</c:v>
                </c:pt>
                <c:pt idx="84">
                  <c:v>78548.93333</c:v>
                </c:pt>
                <c:pt idx="85">
                  <c:v>78550.895000000004</c:v>
                </c:pt>
                <c:pt idx="86">
                  <c:v>78552.856669999994</c:v>
                </c:pt>
                <c:pt idx="87">
                  <c:v>78554.818329999995</c:v>
                </c:pt>
                <c:pt idx="88">
                  <c:v>78556.78</c:v>
                </c:pt>
                <c:pt idx="89">
                  <c:v>78564.481539999993</c:v>
                </c:pt>
                <c:pt idx="90">
                  <c:v>78572.183080000003</c:v>
                </c:pt>
                <c:pt idx="91">
                  <c:v>78579.884619999997</c:v>
                </c:pt>
                <c:pt idx="92">
                  <c:v>78587.586150000003</c:v>
                </c:pt>
                <c:pt idx="93">
                  <c:v>78595.287689999997</c:v>
                </c:pt>
                <c:pt idx="94">
                  <c:v>78602.989230000007</c:v>
                </c:pt>
                <c:pt idx="95">
                  <c:v>78610.690770000001</c:v>
                </c:pt>
                <c:pt idx="96">
                  <c:v>78618.392309999996</c:v>
                </c:pt>
                <c:pt idx="97">
                  <c:v>78626.093850000005</c:v>
                </c:pt>
                <c:pt idx="98">
                  <c:v>78633.795379999996</c:v>
                </c:pt>
                <c:pt idx="99">
                  <c:v>78641.496920000005</c:v>
                </c:pt>
                <c:pt idx="100">
                  <c:v>78649.19846</c:v>
                </c:pt>
                <c:pt idx="101">
                  <c:v>78656.899999999994</c:v>
                </c:pt>
                <c:pt idx="102">
                  <c:v>78655.520910000007</c:v>
                </c:pt>
                <c:pt idx="103">
                  <c:v>78654.141820000004</c:v>
                </c:pt>
                <c:pt idx="104">
                  <c:v>78652.762730000002</c:v>
                </c:pt>
                <c:pt idx="105">
                  <c:v>78651.38364</c:v>
                </c:pt>
                <c:pt idx="106">
                  <c:v>78650.004549999998</c:v>
                </c:pt>
                <c:pt idx="107">
                  <c:v>78648.625450000007</c:v>
                </c:pt>
                <c:pt idx="108">
                  <c:v>78647.246360000005</c:v>
                </c:pt>
                <c:pt idx="109">
                  <c:v>78645.867270000002</c:v>
                </c:pt>
                <c:pt idx="110">
                  <c:v>78644.48818</c:v>
                </c:pt>
                <c:pt idx="111">
                  <c:v>78643.109089999998</c:v>
                </c:pt>
                <c:pt idx="112">
                  <c:v>78641.73</c:v>
                </c:pt>
                <c:pt idx="113">
                  <c:v>78612.5</c:v>
                </c:pt>
                <c:pt idx="114">
                  <c:v>78583.27</c:v>
                </c:pt>
                <c:pt idx="115">
                  <c:v>78554.039999999994</c:v>
                </c:pt>
                <c:pt idx="116">
                  <c:v>78524.81</c:v>
                </c:pt>
                <c:pt idx="117">
                  <c:v>78495.58</c:v>
                </c:pt>
                <c:pt idx="118">
                  <c:v>78466.350000000006</c:v>
                </c:pt>
                <c:pt idx="119">
                  <c:v>78437.119999999995</c:v>
                </c:pt>
                <c:pt idx="120">
                  <c:v>78407.89</c:v>
                </c:pt>
                <c:pt idx="121">
                  <c:v>78378.66</c:v>
                </c:pt>
                <c:pt idx="122">
                  <c:v>78349.429999999993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B8A-4499-A676-48E228A94A11}"/>
            </c:ext>
          </c:extLst>
        </c:ser>
        <c:ser>
          <c:idx val="3"/>
          <c:order val="6"/>
          <c:tx>
            <c:strRef>
              <c:f>Issue1950!$F$2</c:f>
              <c:strCache>
                <c:ptCount val="1"/>
                <c:pt idx="0">
                  <c:v> close 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Issue1950!$A$1300:$A$1432</c:f>
              <c:numCache>
                <c:formatCode>General</c:formatCode>
                <c:ptCount val="133"/>
                <c:pt idx="0">
                  <c:v>1297</c:v>
                </c:pt>
                <c:pt idx="1">
                  <c:v>1298</c:v>
                </c:pt>
                <c:pt idx="2">
                  <c:v>1299</c:v>
                </c:pt>
                <c:pt idx="3">
                  <c:v>1300</c:v>
                </c:pt>
                <c:pt idx="4">
                  <c:v>1301</c:v>
                </c:pt>
                <c:pt idx="5">
                  <c:v>1302</c:v>
                </c:pt>
                <c:pt idx="6">
                  <c:v>1303</c:v>
                </c:pt>
                <c:pt idx="7">
                  <c:v>1304</c:v>
                </c:pt>
                <c:pt idx="8">
                  <c:v>1305</c:v>
                </c:pt>
                <c:pt idx="9">
                  <c:v>1306</c:v>
                </c:pt>
                <c:pt idx="10">
                  <c:v>1307</c:v>
                </c:pt>
                <c:pt idx="11">
                  <c:v>1308</c:v>
                </c:pt>
                <c:pt idx="12">
                  <c:v>1309</c:v>
                </c:pt>
                <c:pt idx="13">
                  <c:v>1310</c:v>
                </c:pt>
                <c:pt idx="14">
                  <c:v>1311</c:v>
                </c:pt>
                <c:pt idx="15">
                  <c:v>1312</c:v>
                </c:pt>
                <c:pt idx="16">
                  <c:v>1313</c:v>
                </c:pt>
                <c:pt idx="17">
                  <c:v>1314</c:v>
                </c:pt>
                <c:pt idx="18">
                  <c:v>1315</c:v>
                </c:pt>
                <c:pt idx="19">
                  <c:v>1316</c:v>
                </c:pt>
                <c:pt idx="20">
                  <c:v>1317</c:v>
                </c:pt>
                <c:pt idx="21">
                  <c:v>1318</c:v>
                </c:pt>
                <c:pt idx="22">
                  <c:v>1319</c:v>
                </c:pt>
                <c:pt idx="23">
                  <c:v>1320</c:v>
                </c:pt>
                <c:pt idx="24">
                  <c:v>1321</c:v>
                </c:pt>
                <c:pt idx="25">
                  <c:v>1322</c:v>
                </c:pt>
                <c:pt idx="26">
                  <c:v>1323</c:v>
                </c:pt>
                <c:pt idx="27">
                  <c:v>1324</c:v>
                </c:pt>
                <c:pt idx="28">
                  <c:v>1325</c:v>
                </c:pt>
                <c:pt idx="29">
                  <c:v>1326</c:v>
                </c:pt>
                <c:pt idx="30">
                  <c:v>1327</c:v>
                </c:pt>
                <c:pt idx="31">
                  <c:v>1328</c:v>
                </c:pt>
                <c:pt idx="32">
                  <c:v>1329</c:v>
                </c:pt>
                <c:pt idx="33">
                  <c:v>1330</c:v>
                </c:pt>
                <c:pt idx="34">
                  <c:v>1331</c:v>
                </c:pt>
                <c:pt idx="35">
                  <c:v>1332</c:v>
                </c:pt>
                <c:pt idx="36">
                  <c:v>1333</c:v>
                </c:pt>
                <c:pt idx="37">
                  <c:v>1334</c:v>
                </c:pt>
                <c:pt idx="38">
                  <c:v>1335</c:v>
                </c:pt>
                <c:pt idx="39">
                  <c:v>1336</c:v>
                </c:pt>
                <c:pt idx="40">
                  <c:v>1337</c:v>
                </c:pt>
                <c:pt idx="41">
                  <c:v>1338</c:v>
                </c:pt>
                <c:pt idx="42">
                  <c:v>1339</c:v>
                </c:pt>
                <c:pt idx="43">
                  <c:v>1340</c:v>
                </c:pt>
                <c:pt idx="44">
                  <c:v>1341</c:v>
                </c:pt>
                <c:pt idx="45">
                  <c:v>1342</c:v>
                </c:pt>
                <c:pt idx="46">
                  <c:v>1343</c:v>
                </c:pt>
                <c:pt idx="47">
                  <c:v>1344</c:v>
                </c:pt>
                <c:pt idx="48">
                  <c:v>1345</c:v>
                </c:pt>
                <c:pt idx="49">
                  <c:v>1346</c:v>
                </c:pt>
                <c:pt idx="50">
                  <c:v>1347</c:v>
                </c:pt>
                <c:pt idx="51">
                  <c:v>1348</c:v>
                </c:pt>
                <c:pt idx="52">
                  <c:v>1349</c:v>
                </c:pt>
                <c:pt idx="53">
                  <c:v>1350</c:v>
                </c:pt>
                <c:pt idx="54">
                  <c:v>1351</c:v>
                </c:pt>
                <c:pt idx="55">
                  <c:v>1352</c:v>
                </c:pt>
                <c:pt idx="56">
                  <c:v>1353</c:v>
                </c:pt>
                <c:pt idx="57">
                  <c:v>1354</c:v>
                </c:pt>
                <c:pt idx="58">
                  <c:v>1355</c:v>
                </c:pt>
                <c:pt idx="59">
                  <c:v>1356</c:v>
                </c:pt>
                <c:pt idx="60">
                  <c:v>1357</c:v>
                </c:pt>
                <c:pt idx="61">
                  <c:v>1358</c:v>
                </c:pt>
                <c:pt idx="62">
                  <c:v>1359</c:v>
                </c:pt>
                <c:pt idx="63">
                  <c:v>1360</c:v>
                </c:pt>
                <c:pt idx="64">
                  <c:v>1361</c:v>
                </c:pt>
                <c:pt idx="65">
                  <c:v>1362</c:v>
                </c:pt>
                <c:pt idx="66">
                  <c:v>1363</c:v>
                </c:pt>
                <c:pt idx="67">
                  <c:v>1364</c:v>
                </c:pt>
                <c:pt idx="68">
                  <c:v>1365</c:v>
                </c:pt>
                <c:pt idx="69">
                  <c:v>1366</c:v>
                </c:pt>
                <c:pt idx="70">
                  <c:v>1367</c:v>
                </c:pt>
                <c:pt idx="71">
                  <c:v>1368</c:v>
                </c:pt>
                <c:pt idx="72">
                  <c:v>1369</c:v>
                </c:pt>
                <c:pt idx="73">
                  <c:v>1370</c:v>
                </c:pt>
                <c:pt idx="74">
                  <c:v>1371</c:v>
                </c:pt>
                <c:pt idx="75">
                  <c:v>1372</c:v>
                </c:pt>
                <c:pt idx="76">
                  <c:v>1373</c:v>
                </c:pt>
                <c:pt idx="77">
                  <c:v>1374</c:v>
                </c:pt>
                <c:pt idx="78">
                  <c:v>1375</c:v>
                </c:pt>
                <c:pt idx="79">
                  <c:v>1376</c:v>
                </c:pt>
                <c:pt idx="80">
                  <c:v>1377</c:v>
                </c:pt>
                <c:pt idx="81">
                  <c:v>1378</c:v>
                </c:pt>
                <c:pt idx="82">
                  <c:v>1379</c:v>
                </c:pt>
                <c:pt idx="83">
                  <c:v>1380</c:v>
                </c:pt>
                <c:pt idx="84">
                  <c:v>1381</c:v>
                </c:pt>
                <c:pt idx="85">
                  <c:v>1382</c:v>
                </c:pt>
                <c:pt idx="86">
                  <c:v>1383</c:v>
                </c:pt>
                <c:pt idx="87">
                  <c:v>1384</c:v>
                </c:pt>
                <c:pt idx="88">
                  <c:v>1385</c:v>
                </c:pt>
                <c:pt idx="89">
                  <c:v>1386</c:v>
                </c:pt>
                <c:pt idx="90">
                  <c:v>1387</c:v>
                </c:pt>
                <c:pt idx="91">
                  <c:v>1388</c:v>
                </c:pt>
                <c:pt idx="92">
                  <c:v>1389</c:v>
                </c:pt>
                <c:pt idx="93">
                  <c:v>1390</c:v>
                </c:pt>
                <c:pt idx="94">
                  <c:v>1391</c:v>
                </c:pt>
                <c:pt idx="95">
                  <c:v>1392</c:v>
                </c:pt>
                <c:pt idx="96">
                  <c:v>1393</c:v>
                </c:pt>
                <c:pt idx="97">
                  <c:v>1394</c:v>
                </c:pt>
                <c:pt idx="98">
                  <c:v>1395</c:v>
                </c:pt>
                <c:pt idx="99">
                  <c:v>1396</c:v>
                </c:pt>
                <c:pt idx="100">
                  <c:v>1397</c:v>
                </c:pt>
                <c:pt idx="101">
                  <c:v>1398</c:v>
                </c:pt>
                <c:pt idx="102">
                  <c:v>1399</c:v>
                </c:pt>
                <c:pt idx="103">
                  <c:v>1400</c:v>
                </c:pt>
                <c:pt idx="104">
                  <c:v>1401</c:v>
                </c:pt>
                <c:pt idx="105">
                  <c:v>1402</c:v>
                </c:pt>
                <c:pt idx="106">
                  <c:v>1403</c:v>
                </c:pt>
                <c:pt idx="107">
                  <c:v>1404</c:v>
                </c:pt>
                <c:pt idx="108">
                  <c:v>1405</c:v>
                </c:pt>
                <c:pt idx="109">
                  <c:v>1406</c:v>
                </c:pt>
                <c:pt idx="110">
                  <c:v>1407</c:v>
                </c:pt>
                <c:pt idx="111">
                  <c:v>1408</c:v>
                </c:pt>
                <c:pt idx="112">
                  <c:v>1409</c:v>
                </c:pt>
                <c:pt idx="113">
                  <c:v>1410</c:v>
                </c:pt>
                <c:pt idx="114">
                  <c:v>1411</c:v>
                </c:pt>
                <c:pt idx="115">
                  <c:v>1412</c:v>
                </c:pt>
                <c:pt idx="116">
                  <c:v>1413</c:v>
                </c:pt>
                <c:pt idx="117">
                  <c:v>1414</c:v>
                </c:pt>
                <c:pt idx="118">
                  <c:v>1415</c:v>
                </c:pt>
                <c:pt idx="119">
                  <c:v>1416</c:v>
                </c:pt>
                <c:pt idx="120">
                  <c:v>1417</c:v>
                </c:pt>
                <c:pt idx="121">
                  <c:v>1418</c:v>
                </c:pt>
                <c:pt idx="122">
                  <c:v>1419</c:v>
                </c:pt>
                <c:pt idx="123">
                  <c:v>1420</c:v>
                </c:pt>
                <c:pt idx="124">
                  <c:v>1421</c:v>
                </c:pt>
                <c:pt idx="125">
                  <c:v>1422</c:v>
                </c:pt>
                <c:pt idx="126">
                  <c:v>1423</c:v>
                </c:pt>
                <c:pt idx="127">
                  <c:v>1424</c:v>
                </c:pt>
                <c:pt idx="128">
                  <c:v>1425</c:v>
                </c:pt>
                <c:pt idx="129">
                  <c:v>1426</c:v>
                </c:pt>
                <c:pt idx="130">
                  <c:v>1427</c:v>
                </c:pt>
                <c:pt idx="131">
                  <c:v>1428</c:v>
                </c:pt>
                <c:pt idx="132">
                  <c:v>1429</c:v>
                </c:pt>
              </c:numCache>
            </c:numRef>
          </c:cat>
          <c:val>
            <c:numRef>
              <c:f>Issue1950!$F$1300:$F$1432</c:f>
              <c:numCache>
                <c:formatCode>_("$"* #,##0.00_);_("$"* \(#,##0.00\);_("$"* "-"??_);_(@_)</c:formatCode>
                <c:ptCount val="133"/>
                <c:pt idx="0">
                  <c:v>78889.850000000006</c:v>
                </c:pt>
                <c:pt idx="1">
                  <c:v>78864.02</c:v>
                </c:pt>
                <c:pt idx="2">
                  <c:v>78925.03</c:v>
                </c:pt>
                <c:pt idx="3">
                  <c:v>78935.11</c:v>
                </c:pt>
                <c:pt idx="4">
                  <c:v>78942.25</c:v>
                </c:pt>
                <c:pt idx="5">
                  <c:v>78925.63</c:v>
                </c:pt>
                <c:pt idx="6">
                  <c:v>78944.19</c:v>
                </c:pt>
                <c:pt idx="7">
                  <c:v>78933.710000000006</c:v>
                </c:pt>
                <c:pt idx="8">
                  <c:v>78958.320000000007</c:v>
                </c:pt>
                <c:pt idx="9">
                  <c:v>78952.11</c:v>
                </c:pt>
                <c:pt idx="10">
                  <c:v>78989.14</c:v>
                </c:pt>
                <c:pt idx="11">
                  <c:v>78992.45</c:v>
                </c:pt>
                <c:pt idx="12">
                  <c:v>78939.53</c:v>
                </c:pt>
                <c:pt idx="13">
                  <c:v>78958.55</c:v>
                </c:pt>
                <c:pt idx="14">
                  <c:v>78935.31</c:v>
                </c:pt>
                <c:pt idx="15">
                  <c:v>78949.88</c:v>
                </c:pt>
                <c:pt idx="16">
                  <c:v>78972.55</c:v>
                </c:pt>
                <c:pt idx="17">
                  <c:v>78967.55</c:v>
                </c:pt>
                <c:pt idx="18">
                  <c:v>78984.75</c:v>
                </c:pt>
                <c:pt idx="19">
                  <c:v>78983.42</c:v>
                </c:pt>
                <c:pt idx="20">
                  <c:v>78976.63</c:v>
                </c:pt>
                <c:pt idx="21">
                  <c:v>78982.320000000007</c:v>
                </c:pt>
                <c:pt idx="22">
                  <c:v>78982.27</c:v>
                </c:pt>
                <c:pt idx="23">
                  <c:v>78922.350000000006</c:v>
                </c:pt>
                <c:pt idx="24">
                  <c:v>78942.570000000007</c:v>
                </c:pt>
                <c:pt idx="25">
                  <c:v>78868.86</c:v>
                </c:pt>
                <c:pt idx="26">
                  <c:v>78736.100000000006</c:v>
                </c:pt>
                <c:pt idx="27">
                  <c:v>78781.100000000006</c:v>
                </c:pt>
                <c:pt idx="28">
                  <c:v>78757.899999999994</c:v>
                </c:pt>
                <c:pt idx="29">
                  <c:v>78830.33</c:v>
                </c:pt>
                <c:pt idx="30">
                  <c:v>78734.02</c:v>
                </c:pt>
                <c:pt idx="31">
                  <c:v>78716.61</c:v>
                </c:pt>
                <c:pt idx="32">
                  <c:v>78717.850000000006</c:v>
                </c:pt>
                <c:pt idx="33">
                  <c:v>78709.990000000005</c:v>
                </c:pt>
                <c:pt idx="34">
                  <c:v>78739.850000000006</c:v>
                </c:pt>
                <c:pt idx="35">
                  <c:v>78711.12</c:v>
                </c:pt>
                <c:pt idx="36">
                  <c:v>78735.61</c:v>
                </c:pt>
                <c:pt idx="37">
                  <c:v>78727.53</c:v>
                </c:pt>
                <c:pt idx="38">
                  <c:v>78798.3</c:v>
                </c:pt>
                <c:pt idx="39">
                  <c:v>78807.62</c:v>
                </c:pt>
                <c:pt idx="40">
                  <c:v>78746.600000000006</c:v>
                </c:pt>
                <c:pt idx="41">
                  <c:v>78748.55</c:v>
                </c:pt>
                <c:pt idx="42">
                  <c:v>78748.820000000007</c:v>
                </c:pt>
                <c:pt idx="43">
                  <c:v>78749.350000000006</c:v>
                </c:pt>
                <c:pt idx="44">
                  <c:v>78688.97</c:v>
                </c:pt>
                <c:pt idx="45">
                  <c:v>78688.72</c:v>
                </c:pt>
                <c:pt idx="46">
                  <c:v>78720.820000000007</c:v>
                </c:pt>
                <c:pt idx="47">
                  <c:v>78829.39</c:v>
                </c:pt>
                <c:pt idx="48">
                  <c:v>78852.83</c:v>
                </c:pt>
                <c:pt idx="49">
                  <c:v>78808.59</c:v>
                </c:pt>
                <c:pt idx="50">
                  <c:v>78878.3</c:v>
                </c:pt>
                <c:pt idx="51">
                  <c:v>78901.3</c:v>
                </c:pt>
                <c:pt idx="52">
                  <c:v>78921.55</c:v>
                </c:pt>
                <c:pt idx="53">
                  <c:v>78895.600000000006</c:v>
                </c:pt>
                <c:pt idx="54">
                  <c:v>78862.3</c:v>
                </c:pt>
                <c:pt idx="55">
                  <c:v>78846.5</c:v>
                </c:pt>
                <c:pt idx="56">
                  <c:v>78794.2</c:v>
                </c:pt>
                <c:pt idx="57">
                  <c:v>78801.53</c:v>
                </c:pt>
                <c:pt idx="58">
                  <c:v>78805.53</c:v>
                </c:pt>
                <c:pt idx="59">
                  <c:v>78790.5</c:v>
                </c:pt>
                <c:pt idx="60">
                  <c:v>78722</c:v>
                </c:pt>
                <c:pt idx="61">
                  <c:v>78711.600000000006</c:v>
                </c:pt>
                <c:pt idx="62">
                  <c:v>78701.5</c:v>
                </c:pt>
                <c:pt idx="63">
                  <c:v>78662.039999999994</c:v>
                </c:pt>
                <c:pt idx="64">
                  <c:v>78673.210000000006</c:v>
                </c:pt>
                <c:pt idx="65">
                  <c:v>78653.100000000006</c:v>
                </c:pt>
                <c:pt idx="66">
                  <c:v>78646.5</c:v>
                </c:pt>
                <c:pt idx="67">
                  <c:v>78620.36</c:v>
                </c:pt>
                <c:pt idx="68">
                  <c:v>78532.94</c:v>
                </c:pt>
                <c:pt idx="69">
                  <c:v>78555.73</c:v>
                </c:pt>
                <c:pt idx="70">
                  <c:v>78591.37</c:v>
                </c:pt>
                <c:pt idx="71">
                  <c:v>78587.11</c:v>
                </c:pt>
                <c:pt idx="72">
                  <c:v>78558.240000000005</c:v>
                </c:pt>
                <c:pt idx="73">
                  <c:v>78511.520000000004</c:v>
                </c:pt>
                <c:pt idx="74">
                  <c:v>78575.850000000006</c:v>
                </c:pt>
                <c:pt idx="75">
                  <c:v>78541.09</c:v>
                </c:pt>
                <c:pt idx="76">
                  <c:v>78594.73</c:v>
                </c:pt>
                <c:pt idx="77">
                  <c:v>78537.7</c:v>
                </c:pt>
                <c:pt idx="78">
                  <c:v>78523.350000000006</c:v>
                </c:pt>
                <c:pt idx="79">
                  <c:v>78563.67</c:v>
                </c:pt>
                <c:pt idx="80">
                  <c:v>78547.460000000006</c:v>
                </c:pt>
                <c:pt idx="81">
                  <c:v>78546.7</c:v>
                </c:pt>
                <c:pt idx="82">
                  <c:v>78545.05</c:v>
                </c:pt>
                <c:pt idx="83">
                  <c:v>78573.789999999994</c:v>
                </c:pt>
                <c:pt idx="84">
                  <c:v>78626.02</c:v>
                </c:pt>
                <c:pt idx="85">
                  <c:v>78592.2</c:v>
                </c:pt>
                <c:pt idx="86">
                  <c:v>78623.02</c:v>
                </c:pt>
                <c:pt idx="87">
                  <c:v>78590.039999999994</c:v>
                </c:pt>
                <c:pt idx="88">
                  <c:v>78572.91</c:v>
                </c:pt>
                <c:pt idx="89">
                  <c:v>78581.25</c:v>
                </c:pt>
                <c:pt idx="90">
                  <c:v>78600.62</c:v>
                </c:pt>
                <c:pt idx="91">
                  <c:v>78587.8</c:v>
                </c:pt>
                <c:pt idx="92">
                  <c:v>78578.27</c:v>
                </c:pt>
                <c:pt idx="93">
                  <c:v>78610.33</c:v>
                </c:pt>
                <c:pt idx="94">
                  <c:v>78600.77</c:v>
                </c:pt>
                <c:pt idx="95">
                  <c:v>78600.23</c:v>
                </c:pt>
                <c:pt idx="96">
                  <c:v>78636.990000000005</c:v>
                </c:pt>
                <c:pt idx="97">
                  <c:v>78640.81</c:v>
                </c:pt>
                <c:pt idx="98">
                  <c:v>78668.56</c:v>
                </c:pt>
                <c:pt idx="99">
                  <c:v>78675.83</c:v>
                </c:pt>
                <c:pt idx="100">
                  <c:v>78668.62</c:v>
                </c:pt>
                <c:pt idx="101">
                  <c:v>78675.13</c:v>
                </c:pt>
                <c:pt idx="102">
                  <c:v>78658.429999999993</c:v>
                </c:pt>
                <c:pt idx="103">
                  <c:v>78676.36</c:v>
                </c:pt>
                <c:pt idx="104">
                  <c:v>78688.31</c:v>
                </c:pt>
                <c:pt idx="105">
                  <c:v>78693.820000000007</c:v>
                </c:pt>
                <c:pt idx="106">
                  <c:v>78694.13</c:v>
                </c:pt>
                <c:pt idx="107">
                  <c:v>78716.52</c:v>
                </c:pt>
                <c:pt idx="108">
                  <c:v>78698.83</c:v>
                </c:pt>
                <c:pt idx="109">
                  <c:v>78756.33</c:v>
                </c:pt>
                <c:pt idx="110">
                  <c:v>78700.23</c:v>
                </c:pt>
                <c:pt idx="111">
                  <c:v>78689.399999999994</c:v>
                </c:pt>
                <c:pt idx="112">
                  <c:v>78642.42</c:v>
                </c:pt>
                <c:pt idx="113">
                  <c:v>78670.13</c:v>
                </c:pt>
                <c:pt idx="114">
                  <c:v>78726.36</c:v>
                </c:pt>
                <c:pt idx="115">
                  <c:v>78729.63</c:v>
                </c:pt>
                <c:pt idx="116">
                  <c:v>78719.81</c:v>
                </c:pt>
                <c:pt idx="117">
                  <c:v>78680.83</c:v>
                </c:pt>
                <c:pt idx="118">
                  <c:v>78654.960000000006</c:v>
                </c:pt>
                <c:pt idx="119">
                  <c:v>78653.100000000006</c:v>
                </c:pt>
                <c:pt idx="120">
                  <c:v>78557.649999999994</c:v>
                </c:pt>
                <c:pt idx="121">
                  <c:v>78458.740000000005</c:v>
                </c:pt>
                <c:pt idx="122">
                  <c:v>78392.63</c:v>
                </c:pt>
                <c:pt idx="123">
                  <c:v>78474.61</c:v>
                </c:pt>
                <c:pt idx="124">
                  <c:v>78493.45</c:v>
                </c:pt>
                <c:pt idx="125">
                  <c:v>78484.820000000007</c:v>
                </c:pt>
                <c:pt idx="126">
                  <c:v>78498.62</c:v>
                </c:pt>
                <c:pt idx="127">
                  <c:v>78531.520000000004</c:v>
                </c:pt>
                <c:pt idx="128">
                  <c:v>78475.34</c:v>
                </c:pt>
                <c:pt idx="129">
                  <c:v>78437.539999999994</c:v>
                </c:pt>
                <c:pt idx="130">
                  <c:v>78420.350000000006</c:v>
                </c:pt>
                <c:pt idx="131">
                  <c:v>78333.81</c:v>
                </c:pt>
                <c:pt idx="132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8A-4499-A676-48E228A9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600088"/>
        <c:axId val="611601728"/>
      </c:lineChart>
      <c:catAx>
        <c:axId val="61160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01728"/>
        <c:crosses val="autoZero"/>
        <c:auto val="1"/>
        <c:lblAlgn val="ctr"/>
        <c:lblOffset val="100"/>
        <c:noMultiLvlLbl val="0"/>
      </c:catAx>
      <c:valAx>
        <c:axId val="611601728"/>
        <c:scaling>
          <c:orientation val="minMax"/>
          <c:max val="79050"/>
          <c:min val="783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0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333376</xdr:colOff>
      <xdr:row>1</xdr:row>
      <xdr:rowOff>95250</xdr:rowOff>
    </xdr:from>
    <xdr:to>
      <xdr:col>35</xdr:col>
      <xdr:colOff>247650</xdr:colOff>
      <xdr:row>27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0ECBB-D0E8-48CD-B4A8-3B6C388A0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276226</xdr:colOff>
      <xdr:row>2</xdr:row>
      <xdr:rowOff>95250</xdr:rowOff>
    </xdr:from>
    <xdr:to>
      <xdr:col>29</xdr:col>
      <xdr:colOff>269876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45CE8-0685-49D5-B4CB-4133F517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AA4281-1251-4612-A504-F213986C6137}" name="testdata" displayName="testdata" ref="A1:L503" totalsRowShown="0" headerRowDxfId="38" dataDxfId="37" headerRowCellStyle="Currency" dataCellStyle="Currency">
  <sortState xmlns:xlrd2="http://schemas.microsoft.com/office/spreadsheetml/2017/richdata2" ref="A2:E503">
    <sortCondition ref="A2"/>
  </sortState>
  <tableColumns count="12">
    <tableColumn id="9" xr3:uid="{FEB24622-3196-46D9-AA3D-A0705CAADD86}" name="i" dataDxfId="36" dataCellStyle="Currency"/>
    <tableColumn id="2" xr3:uid="{60A4AD5F-903E-4E12-8069-678AECBB0353}" name="date" dataDxfId="35"/>
    <tableColumn id="3" xr3:uid="{8B1752A2-2BD8-4CD7-B020-753513B4EE58}" name="open" dataDxfId="34" dataCellStyle="Currency"/>
    <tableColumn id="4" xr3:uid="{FD714714-5A0C-4300-A9B0-90DD5C8418B0}" name="high" dataDxfId="33" dataCellStyle="Currency"/>
    <tableColumn id="5" xr3:uid="{6BB58746-DF40-451A-9D36-616D37F7FDC1}" name="low" dataDxfId="32" dataCellStyle="Currency"/>
    <tableColumn id="6" xr3:uid="{66AA08EE-1387-4FDD-8049-34B0D13FC3B0}" name="close" dataDxfId="31" dataCellStyle="Currency"/>
    <tableColumn id="11" xr3:uid="{B1CC032F-90A5-4188-88FF-C527494CFDA6}" name="Hpoint" dataDxfId="30" dataCellStyle="Currency"/>
    <tableColumn id="13" xr3:uid="{7606A55B-24DC-4FE0-BED0-E600593FB927}" name="Htrend" dataDxfId="29" dataCellStyle="Currency"/>
    <tableColumn id="14" xr3:uid="{E63A47B0-54AC-4B3C-8E07-8E152FC26E0A}" name="High Line" dataDxfId="28" dataCellStyle="Currency"/>
    <tableColumn id="12" xr3:uid="{9BE38337-A0A6-4841-9361-290FB124D78D}" name="Lpoint" dataDxfId="27" dataCellStyle="Currency"/>
    <tableColumn id="7" xr3:uid="{21047025-BFCD-46DF-8191-E6B29921C49B}" name="Ltrend" dataDxfId="26" dataCellStyle="Currency"/>
    <tableColumn id="10" xr3:uid="{A13C6DBE-20EF-4A94-9F9C-FB97F19326FD}" name="Low Line" dataDxfId="25" dataCellStyle="Currency">
      <calculatedColumnFormula>testdata[[#This Row],[Lpoint]]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2ED7C7-587A-4225-A53B-AA51E910C66C}" name="Table25" displayName="Table25" ref="N1:T503" totalsRowShown="0">
  <tableColumns count="7">
    <tableColumn id="1" xr3:uid="{6E4BF026-7C7B-4F35-9E90-173C1B6F83A7}" name="Date" dataDxfId="24"/>
    <tableColumn id="2" xr3:uid="{93C58D63-676A-4260-86AF-970F0003F586}" name="Hpoint" dataDxfId="23" dataCellStyle="Accent3"/>
    <tableColumn id="3" xr3:uid="{CF3DBD47-1B64-4FCC-8E4F-D1D868825A3D}" name="Htrend" dataDxfId="22" dataCellStyle="Currency"/>
    <tableColumn id="4" xr3:uid="{70661312-D81B-4840-8959-4F1950B7DD95}" name="High Line" dataDxfId="21" dataCellStyle="Currency"/>
    <tableColumn id="5" xr3:uid="{BDBFD605-03B0-4D4E-AC37-BE1C03566D5B}" name="Lpoint" dataDxfId="20" dataCellStyle="Accent3"/>
    <tableColumn id="6" xr3:uid="{0E7BA88B-AB07-4FD0-B528-977183C7A0BA}" name="Ltrend" dataDxfId="19" dataCellStyle="Currency"/>
    <tableColumn id="7" xr3:uid="{E801B91D-39D7-4534-AF2D-4313379DBAF2}" name="Low Line" dataDxfId="18" dataCellStyle="Currency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56F7D-DB42-4096-AC5C-B47CA1E28A35}" name="testdata2" displayName="testdata2" ref="A2:G1432" totalsRowShown="0" headerRowDxfId="17" dataDxfId="16" headerRowCellStyle="Currency" dataCellStyle="Currency">
  <sortState xmlns:xlrd2="http://schemas.microsoft.com/office/spreadsheetml/2017/richdata2" ref="A3:E504">
    <sortCondition ref="A3"/>
  </sortState>
  <tableColumns count="7">
    <tableColumn id="9" xr3:uid="{159123CC-C8AB-46A8-B70B-2B99E9057068}" name="i" dataDxfId="15" dataCellStyle="Currency"/>
    <tableColumn id="2" xr3:uid="{3B9DF01C-4F02-4177-A4AD-ECAAF17CF3FF}" name="date" dataDxfId="9"/>
    <tableColumn id="3" xr3:uid="{07414369-FAF4-43E3-8552-4469B7F3E6D6}" name="open" dataDxfId="14" dataCellStyle="Currency"/>
    <tableColumn id="4" xr3:uid="{2C702D2E-E01F-406C-955B-9969CFB13C4C}" name="high" dataDxfId="13" dataCellStyle="Currency"/>
    <tableColumn id="5" xr3:uid="{518C000E-1716-4F8E-BCF4-4DEB406B53F7}" name="low" dataDxfId="12" dataCellStyle="Currency"/>
    <tableColumn id="6" xr3:uid="{FCC41789-CEB2-4C04-876F-8D3374761732}" name="close" dataDxfId="11" dataCellStyle="Currency"/>
    <tableColumn id="1" xr3:uid="{DF5DF856-2731-475E-88EF-AA3808C97DFC}" name="volume" dataDxfId="10" dataCellStyle="Comm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96A6F-1331-4AD0-A1E0-7809399726DF}" name="Table253" displayName="Table253" ref="I2:O1432" totalsRowShown="0" headerRowDxfId="1" dataDxfId="0">
  <tableColumns count="7">
    <tableColumn id="1" xr3:uid="{8F09E3A8-4AF6-4D54-BB6A-F3B43CCA6629}" name="Date" dataDxfId="8"/>
    <tableColumn id="2" xr3:uid="{00F0FB28-A686-4CBC-A8B0-753680ACBE73}" name="Hpoint" dataDxfId="7" dataCellStyle="Currency"/>
    <tableColumn id="5" xr3:uid="{B6356D90-6373-4B31-8752-CA8A0457693D}" name="Lpoint" dataDxfId="6" dataCellStyle="Currency"/>
    <tableColumn id="4" xr3:uid="{7C0F0034-668E-4BA8-BF1D-951D92ACF3D3}" name="High Line" dataDxfId="5" dataCellStyle="Currency"/>
    <tableColumn id="7" xr3:uid="{33B6886C-A13C-40CB-935C-FF9D1A6B0B5A}" name="Low Line" dataDxfId="4" dataCellStyle="Currency"/>
    <tableColumn id="3" xr3:uid="{2B87E7B5-8629-444C-A5F9-4A77D792DCB1}" name="Htrend" dataDxfId="3" dataCellStyle="Currency"/>
    <tableColumn id="6" xr3:uid="{B12EE172-C3FC-4FDF-9697-FC27FE6FCBFE}" name="Ltrend" dataDxfId="2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702C-5189-4109-926F-FDFB441CD736}">
  <dimension ref="A1:U503"/>
  <sheetViews>
    <sheetView workbookViewId="0">
      <selection activeCell="D1" sqref="D1"/>
    </sheetView>
  </sheetViews>
  <sheetFormatPr defaultRowHeight="14.5" x14ac:dyDescent="0.35"/>
  <cols>
    <col min="1" max="1" width="6" style="5" bestFit="1" customWidth="1"/>
    <col min="2" max="2" width="8.7265625" style="2" bestFit="1" customWidth="1"/>
    <col min="3" max="3" width="9" style="1" hidden="1" customWidth="1"/>
    <col min="4" max="5" width="9" style="1" bestFit="1" customWidth="1"/>
    <col min="6" max="6" width="9" style="1" hidden="1" customWidth="1"/>
    <col min="7" max="7" width="9" bestFit="1" customWidth="1"/>
    <col min="8" max="8" width="8.54296875" style="5" bestFit="1" customWidth="1"/>
    <col min="9" max="9" width="11" bestFit="1" customWidth="1"/>
    <col min="10" max="10" width="9" bestFit="1" customWidth="1"/>
    <col min="11" max="11" width="8.1796875" style="5" bestFit="1" customWidth="1"/>
    <col min="12" max="12" width="11" style="12" bestFit="1" customWidth="1"/>
    <col min="13" max="13" width="3.7265625" style="5" customWidth="1"/>
    <col min="14" max="14" width="8.7265625" style="2" bestFit="1" customWidth="1"/>
    <col min="15" max="15" width="9" bestFit="1" customWidth="1"/>
    <col min="16" max="16" width="8.54296875" style="5" bestFit="1" customWidth="1"/>
    <col min="17" max="17" width="11" bestFit="1" customWidth="1"/>
    <col min="18" max="18" width="9" bestFit="1" customWidth="1"/>
    <col min="19" max="19" width="8.1796875" style="5" bestFit="1" customWidth="1"/>
    <col min="20" max="20" width="11" style="12" bestFit="1" customWidth="1"/>
  </cols>
  <sheetData>
    <row r="1" spans="1:21" x14ac:dyDescent="0.35">
      <c r="A1" s="4" t="s">
        <v>16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11</v>
      </c>
      <c r="H1" s="3" t="s">
        <v>10</v>
      </c>
      <c r="I1" s="11" t="s">
        <v>14</v>
      </c>
      <c r="J1" s="3" t="s">
        <v>12</v>
      </c>
      <c r="K1" s="3" t="s">
        <v>9</v>
      </c>
      <c r="L1" s="11" t="s">
        <v>15</v>
      </c>
      <c r="N1" s="2" t="s">
        <v>5</v>
      </c>
      <c r="O1" s="3" t="s">
        <v>11</v>
      </c>
      <c r="P1" s="3" t="s">
        <v>10</v>
      </c>
      <c r="Q1" s="11" t="s">
        <v>14</v>
      </c>
      <c r="R1" s="3" t="s">
        <v>12</v>
      </c>
      <c r="S1" s="3" t="s">
        <v>9</v>
      </c>
      <c r="T1" s="11" t="s">
        <v>15</v>
      </c>
      <c r="U1" t="s">
        <v>17</v>
      </c>
    </row>
    <row r="2" spans="1:21" x14ac:dyDescent="0.35">
      <c r="A2" s="4">
        <v>0</v>
      </c>
      <c r="B2" s="2">
        <v>42738</v>
      </c>
      <c r="C2" s="1">
        <v>212.61</v>
      </c>
      <c r="D2" s="1">
        <v>213.35</v>
      </c>
      <c r="E2" s="1">
        <v>211.52</v>
      </c>
      <c r="F2" s="1">
        <v>212.8</v>
      </c>
      <c r="G2" s="6"/>
      <c r="H2" s="13"/>
      <c r="I2" s="8"/>
      <c r="J2" s="6"/>
      <c r="K2" s="13"/>
      <c r="L2" s="8"/>
      <c r="N2" s="2">
        <v>42738</v>
      </c>
      <c r="O2" s="6"/>
      <c r="P2" s="13"/>
      <c r="Q2" s="8"/>
      <c r="R2" s="6"/>
      <c r="S2" s="13"/>
      <c r="T2" s="8"/>
    </row>
    <row r="3" spans="1:21" x14ac:dyDescent="0.35">
      <c r="A3" s="4">
        <v>1</v>
      </c>
      <c r="B3" s="2">
        <v>42739</v>
      </c>
      <c r="C3" s="1">
        <v>213.16</v>
      </c>
      <c r="D3" s="1">
        <v>214.22</v>
      </c>
      <c r="E3" s="1">
        <v>213.15</v>
      </c>
      <c r="F3" s="1">
        <v>214.06</v>
      </c>
      <c r="G3" s="6"/>
      <c r="H3" s="13"/>
      <c r="I3" s="8"/>
      <c r="J3" s="6"/>
      <c r="K3" s="13"/>
      <c r="L3" s="8"/>
      <c r="N3" s="2">
        <v>42739</v>
      </c>
      <c r="O3" s="6"/>
      <c r="P3" s="13"/>
      <c r="Q3" s="8"/>
      <c r="R3" s="6"/>
      <c r="S3" s="13"/>
      <c r="T3" s="8"/>
    </row>
    <row r="4" spans="1:21" x14ac:dyDescent="0.35">
      <c r="A4" s="4">
        <v>2</v>
      </c>
      <c r="B4" s="2">
        <v>42740</v>
      </c>
      <c r="C4" s="1">
        <v>213.77</v>
      </c>
      <c r="D4" s="1">
        <v>214.06</v>
      </c>
      <c r="E4" s="1">
        <v>213.02</v>
      </c>
      <c r="F4" s="1">
        <v>213.89</v>
      </c>
      <c r="G4" s="6"/>
      <c r="H4" s="13"/>
      <c r="I4" s="8"/>
      <c r="J4" s="6"/>
      <c r="K4" s="13"/>
      <c r="L4" s="8"/>
      <c r="N4" s="2">
        <v>42740</v>
      </c>
      <c r="O4" s="6"/>
      <c r="P4" s="13"/>
      <c r="Q4" s="8"/>
      <c r="R4" s="6"/>
      <c r="S4" s="13"/>
      <c r="T4" s="8"/>
    </row>
    <row r="5" spans="1:21" x14ac:dyDescent="0.35">
      <c r="A5" s="4">
        <v>3</v>
      </c>
      <c r="B5" s="2">
        <v>42741</v>
      </c>
      <c r="C5" s="1">
        <v>214.02</v>
      </c>
      <c r="D5" s="1">
        <v>215.17</v>
      </c>
      <c r="E5" s="1">
        <v>213.42</v>
      </c>
      <c r="F5" s="1">
        <v>214.66</v>
      </c>
      <c r="G5" s="6"/>
      <c r="H5" s="13"/>
      <c r="I5" s="8"/>
      <c r="J5" s="6"/>
      <c r="K5" s="13"/>
      <c r="L5" s="8"/>
      <c r="N5" s="2">
        <v>42741</v>
      </c>
      <c r="O5" s="6"/>
      <c r="P5" s="13"/>
      <c r="Q5" s="8"/>
      <c r="R5" s="6"/>
      <c r="S5" s="13"/>
      <c r="T5" s="8"/>
    </row>
    <row r="6" spans="1:21" x14ac:dyDescent="0.35">
      <c r="A6" s="4">
        <v>4</v>
      </c>
      <c r="B6" s="2">
        <v>42744</v>
      </c>
      <c r="C6" s="1">
        <v>214.38</v>
      </c>
      <c r="D6" s="1">
        <v>214.53</v>
      </c>
      <c r="E6" s="1">
        <v>213.91</v>
      </c>
      <c r="F6" s="1">
        <v>213.95</v>
      </c>
      <c r="G6" s="1" t="str">
        <f>IF(testdata[[#This Row],[high]]&gt;MAX(D2:D5,D7:D10),testdata[[#This Row],[high]],"")</f>
        <v/>
      </c>
      <c r="H6" s="14"/>
      <c r="I6" s="9"/>
      <c r="J6" s="1" t="str">
        <f>IF(testdata[[#This Row],[low]]&lt;MIN(E2:E5,E7:E10),testdata[[#This Row],[low]],"")</f>
        <v/>
      </c>
      <c r="K6" s="14"/>
      <c r="L6" s="9"/>
      <c r="N6" s="2">
        <v>42744</v>
      </c>
      <c r="O6" s="1"/>
      <c r="P6" s="14"/>
      <c r="Q6" s="9"/>
      <c r="R6" s="1"/>
      <c r="S6" s="14"/>
      <c r="T6" s="9"/>
    </row>
    <row r="7" spans="1:21" x14ac:dyDescent="0.35">
      <c r="A7" s="4">
        <v>5</v>
      </c>
      <c r="B7" s="2">
        <v>42745</v>
      </c>
      <c r="C7" s="1">
        <v>213.97</v>
      </c>
      <c r="D7" s="1">
        <v>214.89</v>
      </c>
      <c r="E7" s="1">
        <v>213.52</v>
      </c>
      <c r="F7" s="1">
        <v>213.95</v>
      </c>
      <c r="G7" s="1" t="str">
        <f>IF(testdata[[#This Row],[high]]&gt;MAX(D3:D6,D8:D11),testdata[[#This Row],[high]],"")</f>
        <v/>
      </c>
      <c r="H7" s="14"/>
      <c r="I7" s="9"/>
      <c r="J7" s="1" t="str">
        <f>IF(testdata[[#This Row],[low]]&lt;MIN(E3:E6,E8:E11),testdata[[#This Row],[low]],"")</f>
        <v/>
      </c>
      <c r="K7" s="14"/>
      <c r="L7" s="9"/>
      <c r="N7" s="2">
        <v>42745</v>
      </c>
      <c r="O7" s="1"/>
      <c r="P7" s="14"/>
      <c r="Q7" s="9"/>
      <c r="R7" s="1"/>
      <c r="S7" s="14"/>
      <c r="T7" s="9"/>
    </row>
    <row r="8" spans="1:21" x14ac:dyDescent="0.35">
      <c r="A8" s="4">
        <v>6</v>
      </c>
      <c r="B8" s="2">
        <v>42746</v>
      </c>
      <c r="C8" s="1">
        <v>213.86</v>
      </c>
      <c r="D8" s="1">
        <v>214.55</v>
      </c>
      <c r="E8" s="1">
        <v>213.13</v>
      </c>
      <c r="F8" s="1">
        <v>214.55</v>
      </c>
      <c r="G8" s="1" t="str">
        <f>IF(testdata[[#This Row],[high]]&gt;MAX(D4:D7,D9:D12),testdata[[#This Row],[high]],"")</f>
        <v/>
      </c>
      <c r="H8" s="14"/>
      <c r="I8" s="9"/>
      <c r="J8" s="1" t="str">
        <f>IF(testdata[[#This Row],[low]]&lt;MIN(E4:E7,E9:E12),testdata[[#This Row],[low]],"")</f>
        <v/>
      </c>
      <c r="K8" s="14"/>
      <c r="L8" s="9"/>
      <c r="N8" s="2">
        <v>42746</v>
      </c>
      <c r="O8" s="1"/>
      <c r="P8" s="14"/>
      <c r="Q8" s="9"/>
      <c r="R8" s="1"/>
      <c r="S8" s="14"/>
      <c r="T8" s="9"/>
    </row>
    <row r="9" spans="1:21" x14ac:dyDescent="0.35">
      <c r="A9" s="4">
        <v>7</v>
      </c>
      <c r="B9" s="2">
        <v>42747</v>
      </c>
      <c r="C9" s="1">
        <v>213.99</v>
      </c>
      <c r="D9" s="1">
        <v>214.22</v>
      </c>
      <c r="E9" s="1">
        <v>212.53</v>
      </c>
      <c r="F9" s="1">
        <v>214.02</v>
      </c>
      <c r="G9" s="7" t="str">
        <f>IF(testdata[[#This Row],[high]]&gt;MAX(D5:D8,D10:D13),testdata[[#This Row],[high]],"")</f>
        <v/>
      </c>
      <c r="H9" s="15"/>
      <c r="I9" s="16"/>
      <c r="J9" s="7">
        <f>IF(testdata[[#This Row],[low]]&lt;MIN(E5:E8,E10:E13),testdata[[#This Row],[low]],"")</f>
        <v>212.53</v>
      </c>
      <c r="K9" s="15"/>
      <c r="L9" s="16">
        <f>testdata[[#This Row],[Lpoint]]</f>
        <v>212.53</v>
      </c>
      <c r="N9" s="2">
        <v>42747</v>
      </c>
      <c r="O9" s="1"/>
      <c r="P9" s="14"/>
      <c r="Q9" s="9"/>
      <c r="R9" s="1">
        <v>212.53</v>
      </c>
      <c r="S9" s="14"/>
      <c r="T9" s="9">
        <v>212.53</v>
      </c>
    </row>
    <row r="10" spans="1:21" x14ac:dyDescent="0.35">
      <c r="A10" s="4">
        <v>8</v>
      </c>
      <c r="B10" s="2">
        <v>42748</v>
      </c>
      <c r="C10" s="1">
        <v>214.21</v>
      </c>
      <c r="D10" s="1">
        <v>214.84</v>
      </c>
      <c r="E10" s="1">
        <v>214.17</v>
      </c>
      <c r="F10" s="1">
        <v>214.51</v>
      </c>
      <c r="G10" s="1" t="str">
        <f>IF(testdata[[#This Row],[high]]&gt;MAX(D6:D9,D11:D14),testdata[[#This Row],[high]],"")</f>
        <v/>
      </c>
      <c r="H10" s="14"/>
      <c r="I10" s="9"/>
      <c r="J10" s="1" t="str">
        <f>IF(testdata[[#This Row],[low]]&lt;MIN(E6:E9,E11:E14),testdata[[#This Row],[low]],"")</f>
        <v/>
      </c>
      <c r="K10" s="14" t="s">
        <v>8</v>
      </c>
      <c r="L10" s="10">
        <f t="shared" ref="L10:L20" ca="1" si="0">AVERAGE(L9,L11)</f>
        <v>212.58000000000004</v>
      </c>
      <c r="N10" s="2">
        <v>42748</v>
      </c>
      <c r="O10" s="1"/>
      <c r="P10" s="14"/>
      <c r="Q10" s="9"/>
      <c r="R10" s="1"/>
      <c r="S10" s="14" t="s">
        <v>8</v>
      </c>
      <c r="T10" s="10">
        <v>212.58</v>
      </c>
    </row>
    <row r="11" spans="1:21" x14ac:dyDescent="0.35">
      <c r="A11" s="4">
        <v>9</v>
      </c>
      <c r="B11" s="2">
        <v>42752</v>
      </c>
      <c r="C11" s="1">
        <v>213.81</v>
      </c>
      <c r="D11" s="1">
        <v>214.25</v>
      </c>
      <c r="E11" s="1">
        <v>213.33</v>
      </c>
      <c r="F11" s="1">
        <v>213.75</v>
      </c>
      <c r="G11" s="1" t="str">
        <f>IF(testdata[[#This Row],[high]]&gt;MAX(D7:D10,D12:D15),testdata[[#This Row],[high]],"")</f>
        <v/>
      </c>
      <c r="H11" s="14"/>
      <c r="I11" s="9"/>
      <c r="J11" s="1" t="str">
        <f>IF(testdata[[#This Row],[low]]&lt;MIN(E7:E10,E12:E15),testdata[[#This Row],[low]],"")</f>
        <v/>
      </c>
      <c r="K11" s="14" t="s">
        <v>8</v>
      </c>
      <c r="L11" s="10">
        <f t="shared" ca="1" si="0"/>
        <v>212.63000000000005</v>
      </c>
      <c r="N11" s="2">
        <v>42752</v>
      </c>
      <c r="O11" s="1"/>
      <c r="P11" s="14"/>
      <c r="Q11" s="9"/>
      <c r="R11" s="1"/>
      <c r="S11" s="14" t="s">
        <v>8</v>
      </c>
      <c r="T11" s="10">
        <v>212.63</v>
      </c>
    </row>
    <row r="12" spans="1:21" x14ac:dyDescent="0.35">
      <c r="A12" s="4">
        <v>10</v>
      </c>
      <c r="B12" s="2">
        <v>42753</v>
      </c>
      <c r="C12" s="1">
        <v>214.02</v>
      </c>
      <c r="D12" s="1">
        <v>214.27</v>
      </c>
      <c r="E12" s="1">
        <v>213.42</v>
      </c>
      <c r="F12" s="1">
        <v>214.22</v>
      </c>
      <c r="G12" s="1" t="str">
        <f>IF(testdata[[#This Row],[high]]&gt;MAX(D8:D11,D13:D16),testdata[[#This Row],[high]],"")</f>
        <v/>
      </c>
      <c r="H12" s="14"/>
      <c r="I12" s="9"/>
      <c r="J12" s="1" t="str">
        <f>IF(testdata[[#This Row],[low]]&lt;MIN(E8:E11,E13:E16),testdata[[#This Row],[low]],"")</f>
        <v/>
      </c>
      <c r="K12" s="14" t="s">
        <v>8</v>
      </c>
      <c r="L12" s="10">
        <f t="shared" ca="1" si="0"/>
        <v>212.68000000000006</v>
      </c>
      <c r="N12" s="2">
        <v>42753</v>
      </c>
      <c r="O12" s="1"/>
      <c r="P12" s="14"/>
      <c r="Q12" s="9"/>
      <c r="R12" s="1"/>
      <c r="S12" s="14" t="s">
        <v>8</v>
      </c>
      <c r="T12" s="10">
        <v>212.68</v>
      </c>
    </row>
    <row r="13" spans="1:21" x14ac:dyDescent="0.35">
      <c r="A13" s="4">
        <v>11</v>
      </c>
      <c r="B13" s="2">
        <v>42754</v>
      </c>
      <c r="C13" s="1">
        <v>214.31</v>
      </c>
      <c r="D13" s="1">
        <v>214.46</v>
      </c>
      <c r="E13" s="1">
        <v>212.96</v>
      </c>
      <c r="F13" s="1">
        <v>213.43</v>
      </c>
      <c r="G13" s="1" t="str">
        <f>IF(testdata[[#This Row],[high]]&gt;MAX(D9:D12,D14:D17),testdata[[#This Row],[high]],"")</f>
        <v/>
      </c>
      <c r="H13" s="14"/>
      <c r="I13" s="9"/>
      <c r="J13" s="1" t="str">
        <f>IF(testdata[[#This Row],[low]]&lt;MIN(E9:E12,E14:E17),testdata[[#This Row],[low]],"")</f>
        <v/>
      </c>
      <c r="K13" s="14" t="s">
        <v>8</v>
      </c>
      <c r="L13" s="10">
        <f t="shared" ca="1" si="0"/>
        <v>212.73000000000005</v>
      </c>
      <c r="N13" s="2">
        <v>42754</v>
      </c>
      <c r="O13" s="1"/>
      <c r="P13" s="14"/>
      <c r="Q13" s="9"/>
      <c r="R13" s="1"/>
      <c r="S13" s="14" t="s">
        <v>8</v>
      </c>
      <c r="T13" s="10">
        <v>212.73</v>
      </c>
    </row>
    <row r="14" spans="1:21" x14ac:dyDescent="0.35">
      <c r="A14" s="4">
        <v>12</v>
      </c>
      <c r="B14" s="2">
        <v>42755</v>
      </c>
      <c r="C14" s="1">
        <v>214.18</v>
      </c>
      <c r="D14" s="1">
        <v>214.75</v>
      </c>
      <c r="E14" s="1">
        <v>213.49</v>
      </c>
      <c r="F14" s="1">
        <v>214.21</v>
      </c>
      <c r="G14" s="1" t="str">
        <f>IF(testdata[[#This Row],[high]]&gt;MAX(D10:D13,D15:D18),testdata[[#This Row],[high]],"")</f>
        <v/>
      </c>
      <c r="H14" s="14"/>
      <c r="I14" s="9"/>
      <c r="J14" s="1" t="str">
        <f>IF(testdata[[#This Row],[low]]&lt;MIN(E10:E13,E15:E18),testdata[[#This Row],[low]],"")</f>
        <v/>
      </c>
      <c r="K14" s="14" t="s">
        <v>8</v>
      </c>
      <c r="L14" s="10">
        <f t="shared" ca="1" si="0"/>
        <v>212.78000000000003</v>
      </c>
      <c r="N14" s="2">
        <v>42755</v>
      </c>
      <c r="O14" s="1"/>
      <c r="P14" s="14"/>
      <c r="Q14" s="9"/>
      <c r="R14" s="1"/>
      <c r="S14" s="14" t="s">
        <v>8</v>
      </c>
      <c r="T14" s="10">
        <v>212.78</v>
      </c>
    </row>
    <row r="15" spans="1:21" x14ac:dyDescent="0.35">
      <c r="A15" s="4">
        <v>13</v>
      </c>
      <c r="B15" s="2">
        <v>42758</v>
      </c>
      <c r="C15" s="1">
        <v>213.85</v>
      </c>
      <c r="D15" s="1">
        <v>214.28</v>
      </c>
      <c r="E15" s="1">
        <v>212.83</v>
      </c>
      <c r="F15" s="1">
        <v>213.66</v>
      </c>
      <c r="G15" s="1" t="str">
        <f>IF(testdata[[#This Row],[high]]&gt;MAX(D11:D14,D16:D19),testdata[[#This Row],[high]],"")</f>
        <v/>
      </c>
      <c r="H15" s="14"/>
      <c r="I15" s="9"/>
      <c r="J15" s="1">
        <f>IF(testdata[[#This Row],[low]]&lt;MIN(E11:E14,E16:E19),testdata[[#This Row],[low]],"")</f>
        <v>212.83</v>
      </c>
      <c r="K15" s="14" t="s">
        <v>8</v>
      </c>
      <c r="L15" s="9">
        <f>testdata[[#This Row],[Lpoint]]</f>
        <v>212.83</v>
      </c>
      <c r="N15" s="2">
        <v>42758</v>
      </c>
      <c r="O15" s="1"/>
      <c r="P15" s="14"/>
      <c r="Q15" s="9"/>
      <c r="R15" s="1">
        <v>212.83</v>
      </c>
      <c r="S15" s="14" t="s">
        <v>8</v>
      </c>
      <c r="T15" s="9">
        <v>212.83</v>
      </c>
    </row>
    <row r="16" spans="1:21" x14ac:dyDescent="0.35">
      <c r="A16" s="4">
        <v>14</v>
      </c>
      <c r="B16" s="2">
        <v>42759</v>
      </c>
      <c r="C16" s="1">
        <v>213.89</v>
      </c>
      <c r="D16" s="1">
        <v>215.48</v>
      </c>
      <c r="E16" s="1">
        <v>213.77</v>
      </c>
      <c r="F16" s="1">
        <v>215.03</v>
      </c>
      <c r="G16" s="1" t="str">
        <f>IF(testdata[[#This Row],[high]]&gt;MAX(D12:D15,D17:D20),testdata[[#This Row],[high]],"")</f>
        <v/>
      </c>
      <c r="H16" s="14"/>
      <c r="I16" s="9"/>
      <c r="J16" s="1" t="str">
        <f>IF(testdata[[#This Row],[low]]&lt;MIN(E12:E15,E17:E20),testdata[[#This Row],[low]],"")</f>
        <v/>
      </c>
      <c r="K16" s="14" t="s">
        <v>8</v>
      </c>
      <c r="L16" s="10">
        <f t="shared" ca="1" si="0"/>
        <v>212.995</v>
      </c>
      <c r="N16" s="2">
        <v>42759</v>
      </c>
      <c r="O16" s="1"/>
      <c r="P16" s="14"/>
      <c r="Q16" s="9"/>
      <c r="R16" s="1"/>
      <c r="S16" s="14" t="s">
        <v>8</v>
      </c>
      <c r="T16" s="10">
        <v>212.995</v>
      </c>
    </row>
    <row r="17" spans="1:20" x14ac:dyDescent="0.35">
      <c r="A17" s="4">
        <v>15</v>
      </c>
      <c r="B17" s="2">
        <v>42760</v>
      </c>
      <c r="C17" s="1">
        <v>216.07</v>
      </c>
      <c r="D17" s="1">
        <v>216.89</v>
      </c>
      <c r="E17" s="1">
        <v>215.89</v>
      </c>
      <c r="F17" s="1">
        <v>216.89</v>
      </c>
      <c r="G17" s="1" t="str">
        <f>IF(testdata[[#This Row],[high]]&gt;MAX(D13:D16,D18:D21),testdata[[#This Row],[high]],"")</f>
        <v/>
      </c>
      <c r="H17" s="14"/>
      <c r="I17" s="9"/>
      <c r="J17" s="1" t="str">
        <f>IF(testdata[[#This Row],[low]]&lt;MIN(E13:E16,E18:E21),testdata[[#This Row],[low]],"")</f>
        <v/>
      </c>
      <c r="K17" s="14" t="s">
        <v>8</v>
      </c>
      <c r="L17" s="10">
        <f t="shared" ca="1" si="0"/>
        <v>213.15999999999997</v>
      </c>
      <c r="N17" s="2">
        <v>42760</v>
      </c>
      <c r="O17" s="1"/>
      <c r="P17" s="14"/>
      <c r="Q17" s="9"/>
      <c r="R17" s="1"/>
      <c r="S17" s="14" t="s">
        <v>8</v>
      </c>
      <c r="T17" s="10">
        <v>213.16</v>
      </c>
    </row>
    <row r="18" spans="1:20" x14ac:dyDescent="0.35">
      <c r="A18" s="4">
        <v>16</v>
      </c>
      <c r="B18" s="2">
        <v>42761</v>
      </c>
      <c r="C18" s="1">
        <v>216.73</v>
      </c>
      <c r="D18" s="1">
        <v>217.02</v>
      </c>
      <c r="E18" s="1">
        <v>216.36</v>
      </c>
      <c r="F18" s="1">
        <v>216.66</v>
      </c>
      <c r="G18" s="1">
        <f>IF(testdata[[#This Row],[high]]&gt;MAX(D14:D17,D19:D22),testdata[[#This Row],[high]],"")</f>
        <v>217.02</v>
      </c>
      <c r="H18" s="14"/>
      <c r="I18" s="9"/>
      <c r="J18" s="1" t="str">
        <f>IF(testdata[[#This Row],[low]]&lt;MIN(E14:E17,E19:E22),testdata[[#This Row],[low]],"")</f>
        <v/>
      </c>
      <c r="K18" s="14" t="s">
        <v>8</v>
      </c>
      <c r="L18" s="10">
        <f t="shared" ca="1" si="0"/>
        <v>213.32499999999996</v>
      </c>
      <c r="N18" s="2">
        <v>42761</v>
      </c>
      <c r="O18" s="1">
        <v>217.02</v>
      </c>
      <c r="P18" s="14"/>
      <c r="Q18" s="9"/>
      <c r="R18" s="1"/>
      <c r="S18" s="14" t="s">
        <v>8</v>
      </c>
      <c r="T18" s="10">
        <v>213.32499999999999</v>
      </c>
    </row>
    <row r="19" spans="1:20" x14ac:dyDescent="0.35">
      <c r="A19" s="4">
        <v>17</v>
      </c>
      <c r="B19" s="2">
        <v>42762</v>
      </c>
      <c r="C19" s="1">
        <v>216.75</v>
      </c>
      <c r="D19" s="1">
        <v>216.91</v>
      </c>
      <c r="E19" s="1">
        <v>216.12</v>
      </c>
      <c r="F19" s="1">
        <v>216.32</v>
      </c>
      <c r="G19" s="1" t="str">
        <f>IF(testdata[[#This Row],[high]]&gt;MAX(D15:D18,D20:D23),testdata[[#This Row],[high]],"")</f>
        <v/>
      </c>
      <c r="H19" s="14"/>
      <c r="I19" s="9"/>
      <c r="J19" s="1" t="str">
        <f>IF(testdata[[#This Row],[low]]&lt;MIN(E15:E18,E20:E23),testdata[[#This Row],[low]],"")</f>
        <v/>
      </c>
      <c r="K19" s="14" t="s">
        <v>8</v>
      </c>
      <c r="L19" s="10">
        <f t="shared" ca="1" si="0"/>
        <v>213.48999999999995</v>
      </c>
      <c r="N19" s="2">
        <v>42762</v>
      </c>
      <c r="O19" s="1"/>
      <c r="P19" s="14"/>
      <c r="Q19" s="9"/>
      <c r="R19" s="1"/>
      <c r="S19" s="14" t="s">
        <v>8</v>
      </c>
      <c r="T19" s="10">
        <v>213.49</v>
      </c>
    </row>
    <row r="20" spans="1:20" x14ac:dyDescent="0.35">
      <c r="A20" s="4">
        <v>18</v>
      </c>
      <c r="B20" s="2">
        <v>42765</v>
      </c>
      <c r="C20" s="1">
        <v>215.57</v>
      </c>
      <c r="D20" s="1">
        <v>215.59</v>
      </c>
      <c r="E20" s="1">
        <v>213.9</v>
      </c>
      <c r="F20" s="1">
        <v>214.98</v>
      </c>
      <c r="G20" s="1" t="str">
        <f>IF(testdata[[#This Row],[high]]&gt;MAX(D16:D19,D21:D24),testdata[[#This Row],[high]],"")</f>
        <v/>
      </c>
      <c r="H20" s="14"/>
      <c r="I20" s="9"/>
      <c r="J20" s="1" t="str">
        <f>IF(testdata[[#This Row],[low]]&lt;MIN(E16:E19,E21:E24),testdata[[#This Row],[low]],"")</f>
        <v/>
      </c>
      <c r="K20" s="14" t="s">
        <v>8</v>
      </c>
      <c r="L20" s="10">
        <f t="shared" ca="1" si="0"/>
        <v>213.65499999999997</v>
      </c>
      <c r="N20" s="2">
        <v>42765</v>
      </c>
      <c r="O20" s="1"/>
      <c r="P20" s="14"/>
      <c r="Q20" s="9"/>
      <c r="R20" s="1"/>
      <c r="S20" s="14" t="s">
        <v>8</v>
      </c>
      <c r="T20" s="10">
        <v>213.655</v>
      </c>
    </row>
    <row r="21" spans="1:20" x14ac:dyDescent="0.35">
      <c r="A21" s="4">
        <v>19</v>
      </c>
      <c r="B21" s="2">
        <v>42766</v>
      </c>
      <c r="C21" s="1">
        <v>214.44</v>
      </c>
      <c r="D21" s="1">
        <v>215.03</v>
      </c>
      <c r="E21" s="1">
        <v>213.82</v>
      </c>
      <c r="F21" s="1">
        <v>214.96</v>
      </c>
      <c r="G21" s="1" t="str">
        <f>IF(testdata[[#This Row],[high]]&gt;MAX(D17:D20,D22:D25),testdata[[#This Row],[high]],"")</f>
        <v/>
      </c>
      <c r="H21" s="14"/>
      <c r="I21" s="9"/>
      <c r="J21" s="1">
        <f>IF(testdata[[#This Row],[low]]&lt;MIN(E17:E20,E22:E25),testdata[[#This Row],[low]],"")</f>
        <v>213.82</v>
      </c>
      <c r="K21" s="14" t="s">
        <v>8</v>
      </c>
      <c r="L21" s="9">
        <f>testdata[[#This Row],[Lpoint]]</f>
        <v>213.82</v>
      </c>
      <c r="N21" s="2">
        <v>42766</v>
      </c>
      <c r="O21" s="1"/>
      <c r="P21" s="14"/>
      <c r="Q21" s="9"/>
      <c r="R21" s="1">
        <v>213.82</v>
      </c>
      <c r="S21" s="14" t="s">
        <v>8</v>
      </c>
      <c r="T21" s="9">
        <v>213.82</v>
      </c>
    </row>
    <row r="22" spans="1:20" x14ac:dyDescent="0.35">
      <c r="A22" s="4">
        <v>20</v>
      </c>
      <c r="B22" s="2">
        <v>42767</v>
      </c>
      <c r="C22" s="1">
        <v>215.65</v>
      </c>
      <c r="D22" s="1">
        <v>215.96</v>
      </c>
      <c r="E22" s="1">
        <v>214.4</v>
      </c>
      <c r="F22" s="1">
        <v>215.05</v>
      </c>
      <c r="G22" s="1" t="str">
        <f>IF(testdata[[#This Row],[high]]&gt;MAX(D18:D21,D23:D26),testdata[[#This Row],[high]],"")</f>
        <v/>
      </c>
      <c r="H22" s="14"/>
      <c r="I22" s="9"/>
      <c r="J22" s="1" t="str">
        <f>IF(testdata[[#This Row],[low]]&lt;MIN(E18:E21,E23:E26),testdata[[#This Row],[low]],"")</f>
        <v/>
      </c>
      <c r="K22" s="14"/>
      <c r="L22" s="9"/>
      <c r="N22" s="2">
        <v>42767</v>
      </c>
      <c r="O22" s="1"/>
      <c r="P22" s="14"/>
      <c r="Q22" s="9"/>
      <c r="R22" s="1"/>
      <c r="S22" s="14"/>
      <c r="T22" s="9"/>
    </row>
    <row r="23" spans="1:20" x14ac:dyDescent="0.35">
      <c r="A23" s="4">
        <v>21</v>
      </c>
      <c r="B23" s="2">
        <v>42768</v>
      </c>
      <c r="C23" s="1">
        <v>214.65</v>
      </c>
      <c r="D23" s="1">
        <v>215.5</v>
      </c>
      <c r="E23" s="1">
        <v>214.29</v>
      </c>
      <c r="F23" s="1">
        <v>215.19</v>
      </c>
      <c r="G23" s="1" t="str">
        <f>IF(testdata[[#This Row],[high]]&gt;MAX(D19:D22,D24:D27),testdata[[#This Row],[high]],"")</f>
        <v/>
      </c>
      <c r="H23" s="14"/>
      <c r="I23" s="9"/>
      <c r="J23" s="1" t="str">
        <f>IF(testdata[[#This Row],[low]]&lt;MIN(E19:E22,E24:E27),testdata[[#This Row],[low]],"")</f>
        <v/>
      </c>
      <c r="K23" s="14"/>
      <c r="L23" s="9"/>
      <c r="N23" s="2">
        <v>42768</v>
      </c>
      <c r="O23" s="1"/>
      <c r="P23" s="14"/>
      <c r="Q23" s="9"/>
      <c r="R23" s="1"/>
      <c r="S23" s="14"/>
      <c r="T23" s="9"/>
    </row>
    <row r="24" spans="1:20" x14ac:dyDescent="0.35">
      <c r="A24" s="4">
        <v>22</v>
      </c>
      <c r="B24" s="2">
        <v>42769</v>
      </c>
      <c r="C24" s="1">
        <v>216.18</v>
      </c>
      <c r="D24" s="1">
        <v>216.87</v>
      </c>
      <c r="E24" s="1">
        <v>215.84</v>
      </c>
      <c r="F24" s="1">
        <v>216.67</v>
      </c>
      <c r="G24" s="1" t="str">
        <f>IF(testdata[[#This Row],[high]]&gt;MAX(D20:D23,D25:D28),testdata[[#This Row],[high]],"")</f>
        <v/>
      </c>
      <c r="H24" s="14"/>
      <c r="I24" s="9"/>
      <c r="J24" s="1" t="str">
        <f>IF(testdata[[#This Row],[low]]&lt;MIN(E20:E23,E25:E28),testdata[[#This Row],[low]],"")</f>
        <v/>
      </c>
      <c r="K24" s="14"/>
      <c r="L24" s="9"/>
      <c r="N24" s="2">
        <v>42769</v>
      </c>
      <c r="O24" s="1"/>
      <c r="P24" s="14"/>
      <c r="Q24" s="9"/>
      <c r="R24" s="1"/>
      <c r="S24" s="14"/>
      <c r="T24" s="9"/>
    </row>
    <row r="25" spans="1:20" x14ac:dyDescent="0.35">
      <c r="A25" s="4">
        <v>23</v>
      </c>
      <c r="B25" s="2">
        <v>42772</v>
      </c>
      <c r="C25" s="1">
        <v>216.23</v>
      </c>
      <c r="D25" s="1">
        <v>216.66</v>
      </c>
      <c r="E25" s="1">
        <v>215.92</v>
      </c>
      <c r="F25" s="1">
        <v>216.28</v>
      </c>
      <c r="G25" s="1" t="str">
        <f>IF(testdata[[#This Row],[high]]&gt;MAX(D21:D24,D26:D29),testdata[[#This Row],[high]],"")</f>
        <v/>
      </c>
      <c r="H25" s="14"/>
      <c r="I25" s="9"/>
      <c r="J25" s="1" t="str">
        <f>IF(testdata[[#This Row],[low]]&lt;MIN(E21:E24,E26:E29),testdata[[#This Row],[low]],"")</f>
        <v/>
      </c>
      <c r="K25" s="14"/>
      <c r="L25" s="9"/>
      <c r="N25" s="2">
        <v>42772</v>
      </c>
      <c r="O25" s="1"/>
      <c r="P25" s="14"/>
      <c r="Q25" s="9"/>
      <c r="R25" s="1"/>
      <c r="S25" s="14"/>
      <c r="T25" s="9"/>
    </row>
    <row r="26" spans="1:20" x14ac:dyDescent="0.35">
      <c r="A26" s="4">
        <v>24</v>
      </c>
      <c r="B26" s="2">
        <v>42773</v>
      </c>
      <c r="C26" s="1">
        <v>216.71</v>
      </c>
      <c r="D26" s="1">
        <v>216.97</v>
      </c>
      <c r="E26" s="1">
        <v>216.09</v>
      </c>
      <c r="F26" s="1">
        <v>216.29</v>
      </c>
      <c r="G26" s="1" t="str">
        <f>IF(testdata[[#This Row],[high]]&gt;MAX(D22:D25,D27:D30),testdata[[#This Row],[high]],"")</f>
        <v/>
      </c>
      <c r="H26" s="14"/>
      <c r="I26" s="9"/>
      <c r="J26" s="1" t="str">
        <f>IF(testdata[[#This Row],[low]]&lt;MIN(E22:E25,E27:E30),testdata[[#This Row],[low]],"")</f>
        <v/>
      </c>
      <c r="K26" s="14"/>
      <c r="L26" s="9"/>
      <c r="N26" s="2">
        <v>42773</v>
      </c>
      <c r="O26" s="1"/>
      <c r="P26" s="14"/>
      <c r="Q26" s="9"/>
      <c r="R26" s="1"/>
      <c r="S26" s="14"/>
      <c r="T26" s="9"/>
    </row>
    <row r="27" spans="1:20" x14ac:dyDescent="0.35">
      <c r="A27" s="4">
        <v>25</v>
      </c>
      <c r="B27" s="2">
        <v>42774</v>
      </c>
      <c r="C27" s="1">
        <v>215.98</v>
      </c>
      <c r="D27" s="1">
        <v>216.72</v>
      </c>
      <c r="E27" s="1">
        <v>215.7</v>
      </c>
      <c r="F27" s="1">
        <v>216.58</v>
      </c>
      <c r="G27" s="1" t="str">
        <f>IF(testdata[[#This Row],[high]]&gt;MAX(D23:D26,D28:D31),testdata[[#This Row],[high]],"")</f>
        <v/>
      </c>
      <c r="H27" s="14"/>
      <c r="I27" s="9"/>
      <c r="J27" s="1" t="str">
        <f>IF(testdata[[#This Row],[low]]&lt;MIN(E23:E26,E28:E31),testdata[[#This Row],[low]],"")</f>
        <v/>
      </c>
      <c r="K27" s="14"/>
      <c r="L27" s="9"/>
      <c r="N27" s="2">
        <v>42774</v>
      </c>
      <c r="O27" s="1"/>
      <c r="P27" s="14"/>
      <c r="Q27" s="9"/>
      <c r="R27" s="1"/>
      <c r="S27" s="14"/>
      <c r="T27" s="9"/>
    </row>
    <row r="28" spans="1:20" x14ac:dyDescent="0.35">
      <c r="A28" s="4">
        <v>26</v>
      </c>
      <c r="B28" s="2">
        <v>42775</v>
      </c>
      <c r="C28" s="1">
        <v>216.88</v>
      </c>
      <c r="D28" s="1">
        <v>218.19</v>
      </c>
      <c r="E28" s="1">
        <v>216.84</v>
      </c>
      <c r="F28" s="1">
        <v>217.86</v>
      </c>
      <c r="G28" s="1" t="str">
        <f>IF(testdata[[#This Row],[high]]&gt;MAX(D24:D27,D29:D32),testdata[[#This Row],[high]],"")</f>
        <v/>
      </c>
      <c r="H28" s="14"/>
      <c r="I28" s="9"/>
      <c r="J28" s="1" t="str">
        <f>IF(testdata[[#This Row],[low]]&lt;MIN(E24:E27,E29:E32),testdata[[#This Row],[low]],"")</f>
        <v/>
      </c>
      <c r="K28" s="14"/>
      <c r="L28" s="9"/>
      <c r="N28" s="2">
        <v>42775</v>
      </c>
      <c r="O28" s="1"/>
      <c r="P28" s="14"/>
      <c r="Q28" s="9"/>
      <c r="R28" s="1"/>
      <c r="S28" s="14"/>
      <c r="T28" s="9"/>
    </row>
    <row r="29" spans="1:20" x14ac:dyDescent="0.35">
      <c r="A29" s="4">
        <v>27</v>
      </c>
      <c r="B29" s="2">
        <v>42776</v>
      </c>
      <c r="C29" s="1">
        <v>218.24</v>
      </c>
      <c r="D29" s="1">
        <v>218.97</v>
      </c>
      <c r="E29" s="1">
        <v>217.88</v>
      </c>
      <c r="F29" s="1">
        <v>218.72</v>
      </c>
      <c r="G29" s="1" t="str">
        <f>IF(testdata[[#This Row],[high]]&gt;MAX(D25:D28,D30:D33),testdata[[#This Row],[high]],"")</f>
        <v/>
      </c>
      <c r="H29" s="14"/>
      <c r="I29" s="9"/>
      <c r="J29" s="1" t="str">
        <f>IF(testdata[[#This Row],[low]]&lt;MIN(E25:E28,E30:E33),testdata[[#This Row],[low]],"")</f>
        <v/>
      </c>
      <c r="K29" s="14"/>
      <c r="L29" s="9"/>
      <c r="N29" s="2">
        <v>42776</v>
      </c>
      <c r="O29" s="1"/>
      <c r="P29" s="14"/>
      <c r="Q29" s="9"/>
      <c r="R29" s="1"/>
      <c r="S29" s="14"/>
      <c r="T29" s="9"/>
    </row>
    <row r="30" spans="1:20" x14ac:dyDescent="0.35">
      <c r="A30" s="4">
        <v>28</v>
      </c>
      <c r="B30" s="2">
        <v>42779</v>
      </c>
      <c r="C30" s="1">
        <v>219.26</v>
      </c>
      <c r="D30" s="1">
        <v>220.19</v>
      </c>
      <c r="E30" s="1">
        <v>219.23</v>
      </c>
      <c r="F30" s="1">
        <v>219.91</v>
      </c>
      <c r="G30" s="1" t="str">
        <f>IF(testdata[[#This Row],[high]]&gt;MAX(D26:D29,D31:D34),testdata[[#This Row],[high]],"")</f>
        <v/>
      </c>
      <c r="H30" s="14"/>
      <c r="I30" s="9"/>
      <c r="J30" s="1" t="str">
        <f>IF(testdata[[#This Row],[low]]&lt;MIN(E26:E29,E31:E34),testdata[[#This Row],[low]],"")</f>
        <v/>
      </c>
      <c r="K30" s="14"/>
      <c r="L30" s="9"/>
      <c r="N30" s="2">
        <v>42779</v>
      </c>
      <c r="O30" s="1"/>
      <c r="P30" s="14"/>
      <c r="Q30" s="9"/>
      <c r="R30" s="1"/>
      <c r="S30" s="14"/>
      <c r="T30" s="9"/>
    </row>
    <row r="31" spans="1:20" x14ac:dyDescent="0.35">
      <c r="A31" s="4">
        <v>29</v>
      </c>
      <c r="B31" s="2">
        <v>42780</v>
      </c>
      <c r="C31" s="1">
        <v>219.71</v>
      </c>
      <c r="D31" s="1">
        <v>220.8</v>
      </c>
      <c r="E31" s="1">
        <v>219.33</v>
      </c>
      <c r="F31" s="1">
        <v>220.79</v>
      </c>
      <c r="G31" s="1" t="str">
        <f>IF(testdata[[#This Row],[high]]&gt;MAX(D27:D30,D32:D35),testdata[[#This Row],[high]],"")</f>
        <v/>
      </c>
      <c r="H31" s="14"/>
      <c r="I31" s="9"/>
      <c r="J31" s="1" t="str">
        <f>IF(testdata[[#This Row],[low]]&lt;MIN(E27:E30,E32:E35),testdata[[#This Row],[low]],"")</f>
        <v/>
      </c>
      <c r="K31" s="14"/>
      <c r="L31" s="9"/>
      <c r="N31" s="2">
        <v>42780</v>
      </c>
      <c r="O31" s="1"/>
      <c r="P31" s="14"/>
      <c r="Q31" s="9"/>
      <c r="R31" s="1"/>
      <c r="S31" s="14"/>
      <c r="T31" s="9"/>
    </row>
    <row r="32" spans="1:20" x14ac:dyDescent="0.35">
      <c r="A32" s="4">
        <v>30</v>
      </c>
      <c r="B32" s="2">
        <v>42781</v>
      </c>
      <c r="C32" s="1">
        <v>220.55</v>
      </c>
      <c r="D32" s="1">
        <v>222.15</v>
      </c>
      <c r="E32" s="1">
        <v>220.5</v>
      </c>
      <c r="F32" s="1">
        <v>221.94</v>
      </c>
      <c r="G32" s="1" t="str">
        <f>IF(testdata[[#This Row],[high]]&gt;MAX(D28:D31,D33:D36),testdata[[#This Row],[high]],"")</f>
        <v/>
      </c>
      <c r="H32" s="14"/>
      <c r="I32" s="9"/>
      <c r="J32" s="1" t="str">
        <f>IF(testdata[[#This Row],[low]]&lt;MIN(E28:E31,E33:E36),testdata[[#This Row],[low]],"")</f>
        <v/>
      </c>
      <c r="K32" s="14"/>
      <c r="L32" s="9"/>
      <c r="N32" s="2">
        <v>42781</v>
      </c>
      <c r="O32" s="1"/>
      <c r="P32" s="14"/>
      <c r="Q32" s="9"/>
      <c r="R32" s="1"/>
      <c r="S32" s="14"/>
      <c r="T32" s="9"/>
    </row>
    <row r="33" spans="1:20" x14ac:dyDescent="0.35">
      <c r="A33" s="4">
        <v>31</v>
      </c>
      <c r="B33" s="2">
        <v>42782</v>
      </c>
      <c r="C33" s="1">
        <v>221.98</v>
      </c>
      <c r="D33" s="1">
        <v>222.16</v>
      </c>
      <c r="E33" s="1">
        <v>220.93</v>
      </c>
      <c r="F33" s="1">
        <v>221.75</v>
      </c>
      <c r="G33" s="1" t="str">
        <f>IF(testdata[[#This Row],[high]]&gt;MAX(D29:D32,D34:D37),testdata[[#This Row],[high]],"")</f>
        <v/>
      </c>
      <c r="H33" s="14"/>
      <c r="I33" s="9"/>
      <c r="J33" s="1" t="str">
        <f>IF(testdata[[#This Row],[low]]&lt;MIN(E29:E32,E34:E37),testdata[[#This Row],[low]],"")</f>
        <v/>
      </c>
      <c r="K33" s="14"/>
      <c r="L33" s="9"/>
      <c r="N33" s="2">
        <v>42782</v>
      </c>
      <c r="O33" s="1"/>
      <c r="P33" s="14"/>
      <c r="Q33" s="9"/>
      <c r="R33" s="1"/>
      <c r="S33" s="14"/>
      <c r="T33" s="9"/>
    </row>
    <row r="34" spans="1:20" x14ac:dyDescent="0.35">
      <c r="A34" s="4">
        <v>32</v>
      </c>
      <c r="B34" s="2">
        <v>42783</v>
      </c>
      <c r="C34" s="1">
        <v>221.03</v>
      </c>
      <c r="D34" s="1">
        <v>222.1</v>
      </c>
      <c r="E34" s="1">
        <v>221.01</v>
      </c>
      <c r="F34" s="1">
        <v>222.1</v>
      </c>
      <c r="G34" s="1" t="str">
        <f>IF(testdata[[#This Row],[high]]&gt;MAX(D30:D33,D35:D38),testdata[[#This Row],[high]],"")</f>
        <v/>
      </c>
      <c r="H34" s="14"/>
      <c r="I34" s="9"/>
      <c r="J34" s="1" t="str">
        <f>IF(testdata[[#This Row],[low]]&lt;MIN(E30:E33,E35:E38),testdata[[#This Row],[low]],"")</f>
        <v/>
      </c>
      <c r="K34" s="14"/>
      <c r="L34" s="9"/>
      <c r="N34" s="2">
        <v>42783</v>
      </c>
      <c r="O34" s="1"/>
      <c r="P34" s="14"/>
      <c r="Q34" s="9"/>
      <c r="R34" s="1"/>
      <c r="S34" s="14"/>
      <c r="T34" s="9"/>
    </row>
    <row r="35" spans="1:20" x14ac:dyDescent="0.35">
      <c r="A35" s="4">
        <v>33</v>
      </c>
      <c r="B35" s="2">
        <v>42787</v>
      </c>
      <c r="C35" s="1">
        <v>222.51</v>
      </c>
      <c r="D35" s="1">
        <v>223.62</v>
      </c>
      <c r="E35" s="1">
        <v>222.5</v>
      </c>
      <c r="F35" s="1">
        <v>223.43</v>
      </c>
      <c r="G35" s="1" t="str">
        <f>IF(testdata[[#This Row],[high]]&gt;MAX(D31:D34,D36:D39),testdata[[#This Row],[high]],"")</f>
        <v/>
      </c>
      <c r="H35" s="14"/>
      <c r="I35" s="9"/>
      <c r="J35" s="1" t="str">
        <f>IF(testdata[[#This Row],[low]]&lt;MIN(E31:E34,E36:E39),testdata[[#This Row],[low]],"")</f>
        <v/>
      </c>
      <c r="K35" s="14"/>
      <c r="L35" s="9"/>
      <c r="N35" s="2">
        <v>42787</v>
      </c>
      <c r="O35" s="1"/>
      <c r="P35" s="14"/>
      <c r="Q35" s="9"/>
      <c r="R35" s="1"/>
      <c r="S35" s="14"/>
      <c r="T35" s="9"/>
    </row>
    <row r="36" spans="1:20" x14ac:dyDescent="0.35">
      <c r="A36" s="4">
        <v>34</v>
      </c>
      <c r="B36" s="2">
        <v>42788</v>
      </c>
      <c r="C36" s="1">
        <v>222.98</v>
      </c>
      <c r="D36" s="1">
        <v>223.47</v>
      </c>
      <c r="E36" s="1">
        <v>222.8</v>
      </c>
      <c r="F36" s="1">
        <v>223.23</v>
      </c>
      <c r="G36" s="1" t="str">
        <f>IF(testdata[[#This Row],[high]]&gt;MAX(D32:D35,D37:D40),testdata[[#This Row],[high]],"")</f>
        <v/>
      </c>
      <c r="H36" s="14"/>
      <c r="I36" s="9"/>
      <c r="J36" s="1" t="str">
        <f>IF(testdata[[#This Row],[low]]&lt;MIN(E32:E35,E37:E40),testdata[[#This Row],[low]],"")</f>
        <v/>
      </c>
      <c r="K36" s="14"/>
      <c r="L36" s="9"/>
      <c r="N36" s="2">
        <v>42788</v>
      </c>
      <c r="O36" s="1"/>
      <c r="P36" s="14"/>
      <c r="Q36" s="9"/>
      <c r="R36" s="1"/>
      <c r="S36" s="14"/>
      <c r="T36" s="9"/>
    </row>
    <row r="37" spans="1:20" x14ac:dyDescent="0.35">
      <c r="A37" s="4">
        <v>35</v>
      </c>
      <c r="B37" s="2">
        <v>42789</v>
      </c>
      <c r="C37" s="1">
        <v>223.79</v>
      </c>
      <c r="D37" s="1">
        <v>223.81</v>
      </c>
      <c r="E37" s="1">
        <v>222.55</v>
      </c>
      <c r="F37" s="1">
        <v>223.38</v>
      </c>
      <c r="G37" s="1" t="str">
        <f>IF(testdata[[#This Row],[high]]&gt;MAX(D33:D36,D38:D41),testdata[[#This Row],[high]],"")</f>
        <v/>
      </c>
      <c r="H37" s="14"/>
      <c r="I37" s="9"/>
      <c r="J37" s="1" t="str">
        <f>IF(testdata[[#This Row],[low]]&lt;MIN(E33:E36,E38:E41),testdata[[#This Row],[low]],"")</f>
        <v/>
      </c>
      <c r="K37" s="14"/>
      <c r="L37" s="9"/>
      <c r="N37" s="2">
        <v>42789</v>
      </c>
      <c r="O37" s="1"/>
      <c r="P37" s="14"/>
      <c r="Q37" s="9"/>
      <c r="R37" s="1"/>
      <c r="S37" s="14"/>
      <c r="T37" s="9"/>
    </row>
    <row r="38" spans="1:20" x14ac:dyDescent="0.35">
      <c r="A38" s="4">
        <v>36</v>
      </c>
      <c r="B38" s="2">
        <v>42790</v>
      </c>
      <c r="C38" s="1">
        <v>222.45</v>
      </c>
      <c r="D38" s="1">
        <v>223.71</v>
      </c>
      <c r="E38" s="1">
        <v>222.41</v>
      </c>
      <c r="F38" s="1">
        <v>223.66</v>
      </c>
      <c r="G38" s="1" t="str">
        <f>IF(testdata[[#This Row],[high]]&gt;MAX(D34:D37,D39:D42),testdata[[#This Row],[high]],"")</f>
        <v/>
      </c>
      <c r="H38" s="14"/>
      <c r="I38" s="9"/>
      <c r="J38" s="1" t="str">
        <f>IF(testdata[[#This Row],[low]]&lt;MIN(E34:E37,E39:E42),testdata[[#This Row],[low]],"")</f>
        <v/>
      </c>
      <c r="K38" s="14"/>
      <c r="L38" s="9"/>
      <c r="N38" s="2">
        <v>42790</v>
      </c>
      <c r="O38" s="1"/>
      <c r="P38" s="14"/>
      <c r="Q38" s="9"/>
      <c r="R38" s="1"/>
      <c r="S38" s="14"/>
      <c r="T38" s="9"/>
    </row>
    <row r="39" spans="1:20" x14ac:dyDescent="0.35">
      <c r="A39" s="4">
        <v>37</v>
      </c>
      <c r="B39" s="2">
        <v>42793</v>
      </c>
      <c r="C39" s="1">
        <v>223.57</v>
      </c>
      <c r="D39" s="1">
        <v>224.2</v>
      </c>
      <c r="E39" s="1">
        <v>223.29</v>
      </c>
      <c r="F39" s="1">
        <v>224.01</v>
      </c>
      <c r="G39" s="1" t="str">
        <f>IF(testdata[[#This Row],[high]]&gt;MAX(D35:D38,D40:D43),testdata[[#This Row],[high]],"")</f>
        <v/>
      </c>
      <c r="H39" s="14"/>
      <c r="I39" s="9"/>
      <c r="J39" s="1" t="str">
        <f>IF(testdata[[#This Row],[low]]&lt;MIN(E35:E38,E40:E43),testdata[[#This Row],[low]],"")</f>
        <v/>
      </c>
      <c r="K39" s="14"/>
      <c r="L39" s="9"/>
      <c r="N39" s="2">
        <v>42793</v>
      </c>
      <c r="O39" s="1"/>
      <c r="P39" s="14"/>
      <c r="Q39" s="9"/>
      <c r="R39" s="1"/>
      <c r="S39" s="14"/>
      <c r="T39" s="9"/>
    </row>
    <row r="40" spans="1:20" x14ac:dyDescent="0.35">
      <c r="A40" s="4">
        <v>38</v>
      </c>
      <c r="B40" s="2">
        <v>42794</v>
      </c>
      <c r="C40" s="1">
        <v>223.6</v>
      </c>
      <c r="D40" s="1">
        <v>223.86</v>
      </c>
      <c r="E40" s="1">
        <v>222.98</v>
      </c>
      <c r="F40" s="1">
        <v>223.41</v>
      </c>
      <c r="G40" s="1" t="str">
        <f>IF(testdata[[#This Row],[high]]&gt;MAX(D36:D39,D41:D44),testdata[[#This Row],[high]],"")</f>
        <v/>
      </c>
      <c r="H40" s="14"/>
      <c r="I40" s="9"/>
      <c r="J40" s="1" t="str">
        <f>IF(testdata[[#This Row],[low]]&lt;MIN(E36:E39,E41:E44),testdata[[#This Row],[low]],"")</f>
        <v/>
      </c>
      <c r="K40" s="14"/>
      <c r="L40" s="9"/>
      <c r="N40" s="2">
        <v>42794</v>
      </c>
      <c r="O40" s="1"/>
      <c r="P40" s="14"/>
      <c r="Q40" s="9"/>
      <c r="R40" s="1"/>
      <c r="S40" s="14"/>
      <c r="T40" s="9"/>
    </row>
    <row r="41" spans="1:20" x14ac:dyDescent="0.35">
      <c r="A41" s="4">
        <v>39</v>
      </c>
      <c r="B41" s="2">
        <v>42795</v>
      </c>
      <c r="C41" s="1">
        <v>225.22</v>
      </c>
      <c r="D41" s="1">
        <v>227.04</v>
      </c>
      <c r="E41" s="1">
        <v>225.2</v>
      </c>
      <c r="F41" s="1">
        <v>226.53</v>
      </c>
      <c r="G41" s="1">
        <f>IF(testdata[[#This Row],[high]]&gt;MAX(D37:D40,D42:D45),testdata[[#This Row],[high]],"")</f>
        <v>227.04</v>
      </c>
      <c r="H41" s="14"/>
      <c r="I41" s="9">
        <f>testdata[[#This Row],[Hpoint]]</f>
        <v>227.04</v>
      </c>
      <c r="J41" s="1" t="str">
        <f>IF(testdata[[#This Row],[low]]&lt;MIN(E37:E40,E42:E45),testdata[[#This Row],[low]],"")</f>
        <v/>
      </c>
      <c r="K41" s="14"/>
      <c r="L41" s="9"/>
      <c r="N41" s="2">
        <v>42795</v>
      </c>
      <c r="O41" s="1">
        <v>227.04</v>
      </c>
      <c r="P41" s="14"/>
      <c r="Q41" s="9">
        <v>227.04</v>
      </c>
      <c r="R41" s="1"/>
      <c r="S41" s="14"/>
      <c r="T41" s="9"/>
    </row>
    <row r="42" spans="1:20" x14ac:dyDescent="0.35">
      <c r="A42" s="4">
        <v>40</v>
      </c>
      <c r="B42" s="2">
        <v>42796</v>
      </c>
      <c r="C42" s="1">
        <v>226.33</v>
      </c>
      <c r="D42" s="1">
        <v>226.34</v>
      </c>
      <c r="E42" s="1">
        <v>225.05</v>
      </c>
      <c r="F42" s="1">
        <v>225.11</v>
      </c>
      <c r="G42" s="1" t="str">
        <f>IF(testdata[[#This Row],[high]]&gt;MAX(D38:D41,D43:D46),testdata[[#This Row],[high]],"")</f>
        <v/>
      </c>
      <c r="H42" s="14" t="s">
        <v>6</v>
      </c>
      <c r="I42" s="10">
        <f ca="1">AVERAGE(I41,I43)</f>
        <v>226.95700000000005</v>
      </c>
      <c r="J42" s="1" t="str">
        <f>IF(testdata[[#This Row],[low]]&lt;MIN(E38:E41,E43:E46),testdata[[#This Row],[low]],"")</f>
        <v/>
      </c>
      <c r="K42" s="14"/>
      <c r="L42" s="9"/>
      <c r="N42" s="2">
        <v>42796</v>
      </c>
      <c r="O42" s="1"/>
      <c r="P42" s="14" t="s">
        <v>6</v>
      </c>
      <c r="Q42" s="10">
        <v>226.95699999999999</v>
      </c>
      <c r="R42" s="1"/>
      <c r="S42" s="14"/>
      <c r="T42" s="9"/>
    </row>
    <row r="43" spans="1:20" x14ac:dyDescent="0.35">
      <c r="A43" s="4">
        <v>41</v>
      </c>
      <c r="B43" s="2">
        <v>42797</v>
      </c>
      <c r="C43" s="1">
        <v>225.01</v>
      </c>
      <c r="D43" s="1">
        <v>225.43</v>
      </c>
      <c r="E43" s="1">
        <v>224.6</v>
      </c>
      <c r="F43" s="1">
        <v>225.25</v>
      </c>
      <c r="G43" s="1" t="str">
        <f>IF(testdata[[#This Row],[high]]&gt;MAX(D39:D42,D44:D47),testdata[[#This Row],[high]],"")</f>
        <v/>
      </c>
      <c r="H43" s="14" t="s">
        <v>6</v>
      </c>
      <c r="I43" s="10">
        <f t="shared" ref="I43:I107" ca="1" si="1">AVERAGE(I42,I44)</f>
        <v>226.87400000000011</v>
      </c>
      <c r="J43" s="1" t="str">
        <f>IF(testdata[[#This Row],[low]]&lt;MIN(E39:E42,E44:E47),testdata[[#This Row],[low]],"")</f>
        <v/>
      </c>
      <c r="K43" s="14"/>
      <c r="L43" s="9"/>
      <c r="N43" s="2">
        <v>42797</v>
      </c>
      <c r="O43" s="1"/>
      <c r="P43" s="14" t="s">
        <v>6</v>
      </c>
      <c r="Q43" s="10">
        <v>226.874</v>
      </c>
      <c r="R43" s="1"/>
      <c r="S43" s="14"/>
      <c r="T43" s="9"/>
    </row>
    <row r="44" spans="1:20" x14ac:dyDescent="0.35">
      <c r="A44" s="4">
        <v>42</v>
      </c>
      <c r="B44" s="2">
        <v>42800</v>
      </c>
      <c r="C44" s="1">
        <v>224.38</v>
      </c>
      <c r="D44" s="1">
        <v>224.97</v>
      </c>
      <c r="E44" s="1">
        <v>223.92</v>
      </c>
      <c r="F44" s="1">
        <v>224.58</v>
      </c>
      <c r="G44" s="1" t="str">
        <f>IF(testdata[[#This Row],[high]]&gt;MAX(D40:D43,D45:D48),testdata[[#This Row],[high]],"")</f>
        <v/>
      </c>
      <c r="H44" s="14" t="s">
        <v>6</v>
      </c>
      <c r="I44" s="10">
        <f t="shared" ca="1" si="1"/>
        <v>226.79100000000017</v>
      </c>
      <c r="J44" s="1" t="str">
        <f>IF(testdata[[#This Row],[low]]&lt;MIN(E40:E43,E45:E48),testdata[[#This Row],[low]],"")</f>
        <v/>
      </c>
      <c r="K44" s="14"/>
      <c r="L44" s="9"/>
      <c r="N44" s="2">
        <v>42800</v>
      </c>
      <c r="O44" s="1"/>
      <c r="P44" s="14" t="s">
        <v>6</v>
      </c>
      <c r="Q44" s="10">
        <v>226.791</v>
      </c>
      <c r="R44" s="1"/>
      <c r="S44" s="14"/>
      <c r="T44" s="9"/>
    </row>
    <row r="45" spans="1:20" x14ac:dyDescent="0.35">
      <c r="A45" s="4">
        <v>43</v>
      </c>
      <c r="B45" s="2">
        <v>42801</v>
      </c>
      <c r="C45" s="1">
        <v>224.25</v>
      </c>
      <c r="D45" s="1">
        <v>224.64</v>
      </c>
      <c r="E45" s="1">
        <v>223.68</v>
      </c>
      <c r="F45" s="1">
        <v>223.91</v>
      </c>
      <c r="G45" s="1" t="str">
        <f>IF(testdata[[#This Row],[high]]&gt;MAX(D41:D44,D46:D49),testdata[[#This Row],[high]],"")</f>
        <v/>
      </c>
      <c r="H45" s="14" t="s">
        <v>6</v>
      </c>
      <c r="I45" s="10">
        <f t="shared" ca="1" si="1"/>
        <v>226.7080000000002</v>
      </c>
      <c r="J45" s="1" t="str">
        <f>IF(testdata[[#This Row],[low]]&lt;MIN(E41:E44,E46:E49),testdata[[#This Row],[low]],"")</f>
        <v/>
      </c>
      <c r="K45" s="14"/>
      <c r="L45" s="9"/>
      <c r="N45" s="2">
        <v>42801</v>
      </c>
      <c r="O45" s="1"/>
      <c r="P45" s="14" t="s">
        <v>6</v>
      </c>
      <c r="Q45" s="10">
        <v>226.708</v>
      </c>
      <c r="R45" s="1"/>
      <c r="S45" s="14"/>
      <c r="T45" s="9"/>
    </row>
    <row r="46" spans="1:20" x14ac:dyDescent="0.35">
      <c r="A46" s="4">
        <v>44</v>
      </c>
      <c r="B46" s="2">
        <v>42802</v>
      </c>
      <c r="C46" s="1">
        <v>224.23</v>
      </c>
      <c r="D46" s="1">
        <v>224.51</v>
      </c>
      <c r="E46" s="1">
        <v>223.34</v>
      </c>
      <c r="F46" s="1">
        <v>223.49</v>
      </c>
      <c r="G46" s="1" t="str">
        <f>IF(testdata[[#This Row],[high]]&gt;MAX(D42:D45,D47:D50),testdata[[#This Row],[high]],"")</f>
        <v/>
      </c>
      <c r="H46" s="14" t="s">
        <v>6</v>
      </c>
      <c r="I46" s="10">
        <f t="shared" ca="1" si="1"/>
        <v>226.6250000000002</v>
      </c>
      <c r="J46" s="1" t="str">
        <f>IF(testdata[[#This Row],[low]]&lt;MIN(E42:E45,E47:E50),testdata[[#This Row],[low]],"")</f>
        <v/>
      </c>
      <c r="K46" s="14"/>
      <c r="L46" s="9"/>
      <c r="N46" s="2">
        <v>42802</v>
      </c>
      <c r="O46" s="1"/>
      <c r="P46" s="14" t="s">
        <v>6</v>
      </c>
      <c r="Q46" s="10">
        <v>226.625</v>
      </c>
      <c r="R46" s="1"/>
      <c r="S46" s="14"/>
      <c r="T46" s="9"/>
    </row>
    <row r="47" spans="1:20" x14ac:dyDescent="0.35">
      <c r="A47" s="4">
        <v>45</v>
      </c>
      <c r="B47" s="2">
        <v>42803</v>
      </c>
      <c r="C47" s="1">
        <v>223.62</v>
      </c>
      <c r="D47" s="1">
        <v>224.13</v>
      </c>
      <c r="E47" s="1">
        <v>222.72</v>
      </c>
      <c r="F47" s="1">
        <v>223.78</v>
      </c>
      <c r="G47" s="1" t="str">
        <f>IF(testdata[[#This Row],[high]]&gt;MAX(D43:D46,D48:D51),testdata[[#This Row],[high]],"")</f>
        <v/>
      </c>
      <c r="H47" s="14" t="s">
        <v>6</v>
      </c>
      <c r="I47" s="10">
        <f t="shared" ca="1" si="1"/>
        <v>226.5420000000002</v>
      </c>
      <c r="J47" s="1">
        <f>IF(testdata[[#This Row],[low]]&lt;MIN(E43:E46,E48:E51),testdata[[#This Row],[low]],"")</f>
        <v>222.72</v>
      </c>
      <c r="K47" s="14"/>
      <c r="L47" s="9">
        <f>testdata[[#This Row],[Lpoint]]</f>
        <v>222.72</v>
      </c>
      <c r="N47" s="2">
        <v>42803</v>
      </c>
      <c r="O47" s="1"/>
      <c r="P47" s="14" t="s">
        <v>6</v>
      </c>
      <c r="Q47" s="10">
        <v>226.542</v>
      </c>
      <c r="R47" s="1">
        <v>222.72</v>
      </c>
      <c r="S47" s="14"/>
      <c r="T47" s="9">
        <v>222.72</v>
      </c>
    </row>
    <row r="48" spans="1:20" x14ac:dyDescent="0.35">
      <c r="A48" s="4">
        <v>46</v>
      </c>
      <c r="B48" s="2">
        <v>42804</v>
      </c>
      <c r="C48" s="1">
        <v>224.82</v>
      </c>
      <c r="D48" s="1">
        <v>224.87</v>
      </c>
      <c r="E48" s="1">
        <v>223.52</v>
      </c>
      <c r="F48" s="1">
        <v>224.56</v>
      </c>
      <c r="G48" s="1" t="str">
        <f>IF(testdata[[#This Row],[high]]&gt;MAX(D44:D47,D49:D52),testdata[[#This Row],[high]],"")</f>
        <v/>
      </c>
      <c r="H48" s="14" t="s">
        <v>6</v>
      </c>
      <c r="I48" s="10">
        <f t="shared" ca="1" si="1"/>
        <v>226.45900000000017</v>
      </c>
      <c r="J48" s="1" t="str">
        <f>IF(testdata[[#This Row],[low]]&lt;MIN(E44:E47,E49:E52),testdata[[#This Row],[low]],"")</f>
        <v/>
      </c>
      <c r="K48" s="14" t="s">
        <v>13</v>
      </c>
      <c r="L48" s="10">
        <f t="shared" ref="L48:L112" ca="1" si="2">AVERAGE(L47,L49)</f>
        <v>222.47416666666675</v>
      </c>
      <c r="N48" s="2">
        <v>42804</v>
      </c>
      <c r="O48" s="1"/>
      <c r="P48" s="14" t="s">
        <v>6</v>
      </c>
      <c r="Q48" s="10">
        <v>226.459</v>
      </c>
      <c r="R48" s="1"/>
      <c r="S48" s="14" t="s">
        <v>13</v>
      </c>
      <c r="T48" s="10">
        <v>222.4742</v>
      </c>
    </row>
    <row r="49" spans="1:20" x14ac:dyDescent="0.35">
      <c r="A49" s="4">
        <v>47</v>
      </c>
      <c r="B49" s="2">
        <v>42807</v>
      </c>
      <c r="C49" s="1">
        <v>224.49</v>
      </c>
      <c r="D49" s="1">
        <v>224.72</v>
      </c>
      <c r="E49" s="1">
        <v>224.13</v>
      </c>
      <c r="F49" s="1">
        <v>224.67</v>
      </c>
      <c r="G49" s="1" t="str">
        <f>IF(testdata[[#This Row],[high]]&gt;MAX(D45:D48,D50:D53),testdata[[#This Row],[high]],"")</f>
        <v/>
      </c>
      <c r="H49" s="14" t="s">
        <v>6</v>
      </c>
      <c r="I49" s="10">
        <f t="shared" ca="1" si="1"/>
        <v>226.37600000000012</v>
      </c>
      <c r="J49" s="1" t="str">
        <f>IF(testdata[[#This Row],[low]]&lt;MIN(E45:E48,E50:E53),testdata[[#This Row],[low]],"")</f>
        <v/>
      </c>
      <c r="K49" s="14" t="s">
        <v>13</v>
      </c>
      <c r="L49" s="10">
        <f t="shared" ca="1" si="2"/>
        <v>222.22833333333347</v>
      </c>
      <c r="N49" s="2">
        <v>42807</v>
      </c>
      <c r="O49" s="1"/>
      <c r="P49" s="14" t="s">
        <v>6</v>
      </c>
      <c r="Q49" s="10">
        <v>226.376</v>
      </c>
      <c r="R49" s="1"/>
      <c r="S49" s="14" t="s">
        <v>13</v>
      </c>
      <c r="T49" s="10">
        <v>222.22829999999999</v>
      </c>
    </row>
    <row r="50" spans="1:20" x14ac:dyDescent="0.35">
      <c r="A50" s="4">
        <v>48</v>
      </c>
      <c r="B50" s="2">
        <v>42808</v>
      </c>
      <c r="C50" s="1">
        <v>224.08</v>
      </c>
      <c r="D50" s="1">
        <v>224.13</v>
      </c>
      <c r="E50" s="1">
        <v>223.14</v>
      </c>
      <c r="F50" s="1">
        <v>223.81</v>
      </c>
      <c r="G50" s="1" t="str">
        <f>IF(testdata[[#This Row],[high]]&gt;MAX(D46:D49,D51:D54),testdata[[#This Row],[high]],"")</f>
        <v/>
      </c>
      <c r="H50" s="14" t="s">
        <v>6</v>
      </c>
      <c r="I50" s="10">
        <f t="shared" ca="1" si="1"/>
        <v>226.29300000000006</v>
      </c>
      <c r="J50" s="1" t="str">
        <f>IF(testdata[[#This Row],[low]]&lt;MIN(E46:E49,E51:E54),testdata[[#This Row],[low]],"")</f>
        <v/>
      </c>
      <c r="K50" s="14" t="s">
        <v>13</v>
      </c>
      <c r="L50" s="10">
        <f t="shared" ca="1" si="2"/>
        <v>221.98250000000019</v>
      </c>
      <c r="N50" s="2">
        <v>42808</v>
      </c>
      <c r="O50" s="1"/>
      <c r="P50" s="14" t="s">
        <v>6</v>
      </c>
      <c r="Q50" s="10">
        <v>226.29300000000001</v>
      </c>
      <c r="R50" s="1"/>
      <c r="S50" s="14" t="s">
        <v>13</v>
      </c>
      <c r="T50" s="10">
        <v>221.98249999999999</v>
      </c>
    </row>
    <row r="51" spans="1:20" x14ac:dyDescent="0.35">
      <c r="A51" s="4">
        <v>49</v>
      </c>
      <c r="B51" s="2">
        <v>42809</v>
      </c>
      <c r="C51" s="1">
        <v>224.44</v>
      </c>
      <c r="D51" s="1">
        <v>226.21</v>
      </c>
      <c r="E51" s="1">
        <v>224.18</v>
      </c>
      <c r="F51" s="1">
        <v>225.75</v>
      </c>
      <c r="G51" s="1">
        <f>IF(testdata[[#This Row],[high]]&gt;MAX(D47:D50,D52:D55),testdata[[#This Row],[high]],"")</f>
        <v>226.21</v>
      </c>
      <c r="H51" s="14" t="s">
        <v>6</v>
      </c>
      <c r="I51" s="9">
        <f>testdata[[#This Row],[Hpoint]]</f>
        <v>226.21</v>
      </c>
      <c r="J51" s="1" t="str">
        <f>IF(testdata[[#This Row],[low]]&lt;MIN(E47:E50,E52:E55),testdata[[#This Row],[low]],"")</f>
        <v/>
      </c>
      <c r="K51" s="14" t="s">
        <v>13</v>
      </c>
      <c r="L51" s="10">
        <f t="shared" ca="1" si="2"/>
        <v>221.73666666666691</v>
      </c>
      <c r="N51" s="2">
        <v>42809</v>
      </c>
      <c r="O51" s="1">
        <v>226.21</v>
      </c>
      <c r="P51" s="14" t="s">
        <v>6</v>
      </c>
      <c r="Q51" s="9">
        <v>226.21</v>
      </c>
      <c r="R51" s="1"/>
      <c r="S51" s="14" t="s">
        <v>13</v>
      </c>
      <c r="T51" s="10">
        <v>221.73670000000001</v>
      </c>
    </row>
    <row r="52" spans="1:20" x14ac:dyDescent="0.35">
      <c r="A52" s="4">
        <v>50</v>
      </c>
      <c r="B52" s="2">
        <v>42810</v>
      </c>
      <c r="C52" s="1">
        <v>225.9</v>
      </c>
      <c r="D52" s="1">
        <v>225.99</v>
      </c>
      <c r="E52" s="1">
        <v>224.95</v>
      </c>
      <c r="F52" s="1">
        <v>225.31</v>
      </c>
      <c r="G52" s="1" t="str">
        <f>IF(testdata[[#This Row],[high]]&gt;MAX(D48:D51,D53:D56),testdata[[#This Row],[high]],"")</f>
        <v/>
      </c>
      <c r="H52" s="14" t="s">
        <v>6</v>
      </c>
      <c r="I52" s="10">
        <f t="shared" ca="1" si="1"/>
        <v>226.14600000000013</v>
      </c>
      <c r="J52" s="1" t="str">
        <f>IF(testdata[[#This Row],[low]]&lt;MIN(E48:E51,E53:E56),testdata[[#This Row],[low]],"")</f>
        <v/>
      </c>
      <c r="K52" s="14" t="s">
        <v>13</v>
      </c>
      <c r="L52" s="10">
        <f t="shared" ca="1" si="2"/>
        <v>221.4908333333336</v>
      </c>
      <c r="N52" s="2">
        <v>42810</v>
      </c>
      <c r="O52" s="1"/>
      <c r="P52" s="14" t="s">
        <v>6</v>
      </c>
      <c r="Q52" s="10">
        <v>226.14599999999999</v>
      </c>
      <c r="R52" s="1"/>
      <c r="S52" s="14" t="s">
        <v>13</v>
      </c>
      <c r="T52" s="10">
        <v>221.49080000000001</v>
      </c>
    </row>
    <row r="53" spans="1:20" x14ac:dyDescent="0.35">
      <c r="A53" s="4">
        <v>51</v>
      </c>
      <c r="B53" s="2">
        <v>42811</v>
      </c>
      <c r="C53" s="1">
        <v>225.59</v>
      </c>
      <c r="D53" s="1">
        <v>225.8</v>
      </c>
      <c r="E53" s="1">
        <v>224.91</v>
      </c>
      <c r="F53" s="1">
        <v>224.91</v>
      </c>
      <c r="G53" s="1" t="str">
        <f>IF(testdata[[#This Row],[high]]&gt;MAX(D49:D52,D54:D57),testdata[[#This Row],[high]],"")</f>
        <v/>
      </c>
      <c r="H53" s="14" t="s">
        <v>6</v>
      </c>
      <c r="I53" s="10">
        <f t="shared" ca="1" si="1"/>
        <v>226.08200000000022</v>
      </c>
      <c r="J53" s="1" t="str">
        <f>IF(testdata[[#This Row],[low]]&lt;MIN(E49:E52,E54:E57),testdata[[#This Row],[low]],"")</f>
        <v/>
      </c>
      <c r="K53" s="14" t="s">
        <v>13</v>
      </c>
      <c r="L53" s="10">
        <f t="shared" ca="1" si="2"/>
        <v>221.24500000000029</v>
      </c>
      <c r="N53" s="2">
        <v>42811</v>
      </c>
      <c r="O53" s="1"/>
      <c r="P53" s="14" t="s">
        <v>6</v>
      </c>
      <c r="Q53" s="10">
        <v>226.08199999999999</v>
      </c>
      <c r="R53" s="1"/>
      <c r="S53" s="14" t="s">
        <v>13</v>
      </c>
      <c r="T53" s="10">
        <v>221.245</v>
      </c>
    </row>
    <row r="54" spans="1:20" x14ac:dyDescent="0.35">
      <c r="A54" s="4">
        <v>52</v>
      </c>
      <c r="B54" s="2">
        <v>42814</v>
      </c>
      <c r="C54" s="1">
        <v>224.91</v>
      </c>
      <c r="D54" s="1">
        <v>225.22</v>
      </c>
      <c r="E54" s="1">
        <v>224.24</v>
      </c>
      <c r="F54" s="1">
        <v>224.66</v>
      </c>
      <c r="G54" s="1" t="str">
        <f>IF(testdata[[#This Row],[high]]&gt;MAX(D50:D53,D55:D58),testdata[[#This Row],[high]],"")</f>
        <v/>
      </c>
      <c r="H54" s="14" t="s">
        <v>6</v>
      </c>
      <c r="I54" s="10">
        <f t="shared" ca="1" si="1"/>
        <v>226.01800000000031</v>
      </c>
      <c r="J54" s="1" t="str">
        <f>IF(testdata[[#This Row],[low]]&lt;MIN(E50:E53,E55:E58),testdata[[#This Row],[low]],"")</f>
        <v/>
      </c>
      <c r="K54" s="14" t="s">
        <v>13</v>
      </c>
      <c r="L54" s="10">
        <f t="shared" ca="1" si="2"/>
        <v>220.99916666666695</v>
      </c>
      <c r="N54" s="2">
        <v>42814</v>
      </c>
      <c r="O54" s="1"/>
      <c r="P54" s="14" t="s">
        <v>6</v>
      </c>
      <c r="Q54" s="10">
        <v>226.018</v>
      </c>
      <c r="R54" s="1"/>
      <c r="S54" s="14" t="s">
        <v>13</v>
      </c>
      <c r="T54" s="10">
        <v>220.9992</v>
      </c>
    </row>
    <row r="55" spans="1:20" x14ac:dyDescent="0.35">
      <c r="A55" s="4">
        <v>53</v>
      </c>
      <c r="B55" s="2">
        <v>42815</v>
      </c>
      <c r="C55" s="1">
        <v>225.33</v>
      </c>
      <c r="D55" s="1">
        <v>225.46</v>
      </c>
      <c r="E55" s="1">
        <v>221.64</v>
      </c>
      <c r="F55" s="1">
        <v>221.78</v>
      </c>
      <c r="G55" s="1" t="str">
        <f>IF(testdata[[#This Row],[high]]&gt;MAX(D51:D54,D56:D59),testdata[[#This Row],[high]],"")</f>
        <v/>
      </c>
      <c r="H55" s="14" t="s">
        <v>6</v>
      </c>
      <c r="I55" s="10">
        <f t="shared" ca="1" si="1"/>
        <v>225.95400000000038</v>
      </c>
      <c r="J55" s="1" t="str">
        <f>IF(testdata[[#This Row],[low]]&lt;MIN(E51:E54,E56:E59),testdata[[#This Row],[low]],"")</f>
        <v/>
      </c>
      <c r="K55" s="14" t="s">
        <v>13</v>
      </c>
      <c r="L55" s="10">
        <f t="shared" ca="1" si="2"/>
        <v>220.75333333333359</v>
      </c>
      <c r="N55" s="2">
        <v>42815</v>
      </c>
      <c r="O55" s="1"/>
      <c r="P55" s="14" t="s">
        <v>6</v>
      </c>
      <c r="Q55" s="10">
        <v>225.95400000000001</v>
      </c>
      <c r="R55" s="1"/>
      <c r="S55" s="14" t="s">
        <v>13</v>
      </c>
      <c r="T55" s="10">
        <v>220.7533</v>
      </c>
    </row>
    <row r="56" spans="1:20" x14ac:dyDescent="0.35">
      <c r="A56" s="4">
        <v>54</v>
      </c>
      <c r="B56" s="2">
        <v>42816</v>
      </c>
      <c r="C56" s="1">
        <v>221.82</v>
      </c>
      <c r="D56" s="1">
        <v>222.61</v>
      </c>
      <c r="E56" s="1">
        <v>221.13</v>
      </c>
      <c r="F56" s="1">
        <v>222.3</v>
      </c>
      <c r="G56" s="1" t="str">
        <f>IF(testdata[[#This Row],[high]]&gt;MAX(D52:D55,D57:D60),testdata[[#This Row],[high]],"")</f>
        <v/>
      </c>
      <c r="H56" s="14" t="s">
        <v>6</v>
      </c>
      <c r="I56" s="10">
        <f t="shared" ca="1" si="1"/>
        <v>225.89000000000044</v>
      </c>
      <c r="J56" s="1" t="str">
        <f>IF(testdata[[#This Row],[low]]&lt;MIN(E52:E55,E57:E60),testdata[[#This Row],[low]],"")</f>
        <v/>
      </c>
      <c r="K56" s="14" t="s">
        <v>13</v>
      </c>
      <c r="L56" s="10">
        <f t="shared" ca="1" si="2"/>
        <v>220.50750000000022</v>
      </c>
      <c r="N56" s="2">
        <v>42816</v>
      </c>
      <c r="O56" s="1"/>
      <c r="P56" s="14" t="s">
        <v>6</v>
      </c>
      <c r="Q56" s="10">
        <v>225.89</v>
      </c>
      <c r="R56" s="1"/>
      <c r="S56" s="14" t="s">
        <v>13</v>
      </c>
      <c r="T56" s="10">
        <v>220.50749999999999</v>
      </c>
    </row>
    <row r="57" spans="1:20" x14ac:dyDescent="0.35">
      <c r="A57" s="4">
        <v>55</v>
      </c>
      <c r="B57" s="2">
        <v>42817</v>
      </c>
      <c r="C57" s="1">
        <v>222.04</v>
      </c>
      <c r="D57" s="1">
        <v>223.31</v>
      </c>
      <c r="E57" s="1">
        <v>221.66</v>
      </c>
      <c r="F57" s="1">
        <v>222.06</v>
      </c>
      <c r="G57" s="1" t="str">
        <f>IF(testdata[[#This Row],[high]]&gt;MAX(D53:D56,D58:D61),testdata[[#This Row],[high]],"")</f>
        <v/>
      </c>
      <c r="H57" s="14" t="s">
        <v>6</v>
      </c>
      <c r="I57" s="10">
        <f t="shared" ca="1" si="1"/>
        <v>225.82600000000048</v>
      </c>
      <c r="J57" s="1" t="str">
        <f>IF(testdata[[#This Row],[low]]&lt;MIN(E53:E56,E58:E61),testdata[[#This Row],[low]],"")</f>
        <v/>
      </c>
      <c r="K57" s="14" t="s">
        <v>13</v>
      </c>
      <c r="L57" s="10">
        <f t="shared" ca="1" si="2"/>
        <v>220.26166666666683</v>
      </c>
      <c r="N57" s="2">
        <v>42817</v>
      </c>
      <c r="O57" s="1"/>
      <c r="P57" s="14" t="s">
        <v>6</v>
      </c>
      <c r="Q57" s="10">
        <v>225.82599999999999</v>
      </c>
      <c r="R57" s="1"/>
      <c r="S57" s="14" t="s">
        <v>13</v>
      </c>
      <c r="T57" s="10">
        <v>220.26169999999999</v>
      </c>
    </row>
    <row r="58" spans="1:20" x14ac:dyDescent="0.35">
      <c r="A58" s="4">
        <v>56</v>
      </c>
      <c r="B58" s="2">
        <v>42818</v>
      </c>
      <c r="C58" s="1">
        <v>222.4</v>
      </c>
      <c r="D58" s="1">
        <v>223.02</v>
      </c>
      <c r="E58" s="1">
        <v>221.05</v>
      </c>
      <c r="F58" s="1">
        <v>221.9</v>
      </c>
      <c r="G58" s="1" t="str">
        <f>IF(testdata[[#This Row],[high]]&gt;MAX(D54:D57,D59:D62),testdata[[#This Row],[high]],"")</f>
        <v/>
      </c>
      <c r="H58" s="14" t="s">
        <v>6</v>
      </c>
      <c r="I58" s="10">
        <f t="shared" ca="1" si="1"/>
        <v>225.76200000000048</v>
      </c>
      <c r="J58" s="1" t="str">
        <f>IF(testdata[[#This Row],[low]]&lt;MIN(E54:E57,E59:E62),testdata[[#This Row],[low]],"")</f>
        <v/>
      </c>
      <c r="K58" s="14" t="s">
        <v>13</v>
      </c>
      <c r="L58" s="10">
        <f t="shared" ca="1" si="2"/>
        <v>220.01583333333343</v>
      </c>
      <c r="N58" s="2">
        <v>42818</v>
      </c>
      <c r="O58" s="1"/>
      <c r="P58" s="14" t="s">
        <v>6</v>
      </c>
      <c r="Q58" s="10">
        <v>225.762</v>
      </c>
      <c r="R58" s="1"/>
      <c r="S58" s="14" t="s">
        <v>13</v>
      </c>
      <c r="T58" s="10">
        <v>220.01580000000001</v>
      </c>
    </row>
    <row r="59" spans="1:20" x14ac:dyDescent="0.35">
      <c r="A59" s="4">
        <v>57</v>
      </c>
      <c r="B59" s="2">
        <v>42821</v>
      </c>
      <c r="C59" s="1">
        <v>220.07</v>
      </c>
      <c r="D59" s="1">
        <v>221.96</v>
      </c>
      <c r="E59" s="1">
        <v>219.77</v>
      </c>
      <c r="F59" s="1">
        <v>221.67</v>
      </c>
      <c r="G59" s="1" t="str">
        <f>IF(testdata[[#This Row],[high]]&gt;MAX(D55:D58,D60:D63),testdata[[#This Row],[high]],"")</f>
        <v/>
      </c>
      <c r="H59" s="14" t="s">
        <v>6</v>
      </c>
      <c r="I59" s="10">
        <f t="shared" ca="1" si="1"/>
        <v>225.69800000000049</v>
      </c>
      <c r="J59" s="1">
        <f>IF(testdata[[#This Row],[low]]&lt;MIN(E55:E58,E60:E63),testdata[[#This Row],[low]],"")</f>
        <v>219.77</v>
      </c>
      <c r="K59" s="14" t="s">
        <v>13</v>
      </c>
      <c r="L59" s="9">
        <f>testdata[[#This Row],[Lpoint]]</f>
        <v>219.77</v>
      </c>
      <c r="N59" s="2">
        <v>42821</v>
      </c>
      <c r="O59" s="1"/>
      <c r="P59" s="14" t="s">
        <v>6</v>
      </c>
      <c r="Q59" s="10">
        <v>225.69800000000001</v>
      </c>
      <c r="R59" s="1">
        <v>219.77</v>
      </c>
      <c r="S59" s="14" t="s">
        <v>13</v>
      </c>
      <c r="T59" s="9">
        <v>219.77</v>
      </c>
    </row>
    <row r="60" spans="1:20" x14ac:dyDescent="0.35">
      <c r="A60" s="4">
        <v>58</v>
      </c>
      <c r="B60" s="2">
        <v>42822</v>
      </c>
      <c r="C60" s="1">
        <v>221.34</v>
      </c>
      <c r="D60" s="1">
        <v>223.75</v>
      </c>
      <c r="E60" s="1">
        <v>221.22</v>
      </c>
      <c r="F60" s="1">
        <v>223.29</v>
      </c>
      <c r="G60" s="1" t="str">
        <f>IF(testdata[[#This Row],[high]]&gt;MAX(D56:D59,D61:D64),testdata[[#This Row],[high]],"")</f>
        <v/>
      </c>
      <c r="H60" s="14" t="s">
        <v>6</v>
      </c>
      <c r="I60" s="10">
        <f t="shared" ca="1" si="1"/>
        <v>225.63400000000047</v>
      </c>
      <c r="J60" s="1" t="str">
        <f>IF(testdata[[#This Row],[low]]&lt;MIN(E56:E59,E61:E64),testdata[[#This Row],[low]],"")</f>
        <v/>
      </c>
      <c r="K60" s="14" t="s">
        <v>8</v>
      </c>
      <c r="L60" s="10">
        <f t="shared" ca="1" si="2"/>
        <v>219.83538461538456</v>
      </c>
      <c r="N60" s="2">
        <v>42822</v>
      </c>
      <c r="O60" s="1"/>
      <c r="P60" s="14" t="s">
        <v>6</v>
      </c>
      <c r="Q60" s="10">
        <v>225.63399999999999</v>
      </c>
      <c r="R60" s="1"/>
      <c r="S60" s="14" t="s">
        <v>8</v>
      </c>
      <c r="T60" s="10">
        <v>219.83539999999999</v>
      </c>
    </row>
    <row r="61" spans="1:20" x14ac:dyDescent="0.35">
      <c r="A61" s="4">
        <v>59</v>
      </c>
      <c r="B61" s="2">
        <v>42823</v>
      </c>
      <c r="C61" s="1">
        <v>222.97</v>
      </c>
      <c r="D61" s="1">
        <v>223.75</v>
      </c>
      <c r="E61" s="1">
        <v>222.72</v>
      </c>
      <c r="F61" s="1">
        <v>223.5</v>
      </c>
      <c r="G61" s="1" t="str">
        <f>IF(testdata[[#This Row],[high]]&gt;MAX(D57:D60,D62:D65),testdata[[#This Row],[high]],"")</f>
        <v/>
      </c>
      <c r="H61" s="14" t="s">
        <v>6</v>
      </c>
      <c r="I61" s="10">
        <f t="shared" ca="1" si="1"/>
        <v>225.57000000000042</v>
      </c>
      <c r="J61" s="1" t="str">
        <f>IF(testdata[[#This Row],[low]]&lt;MIN(E57:E60,E62:E65),testdata[[#This Row],[low]],"")</f>
        <v/>
      </c>
      <c r="K61" s="14" t="s">
        <v>8</v>
      </c>
      <c r="L61" s="10">
        <f t="shared" ca="1" si="2"/>
        <v>219.90076923076907</v>
      </c>
      <c r="N61" s="2">
        <v>42823</v>
      </c>
      <c r="O61" s="1"/>
      <c r="P61" s="14" t="s">
        <v>6</v>
      </c>
      <c r="Q61" s="10">
        <v>225.57</v>
      </c>
      <c r="R61" s="1"/>
      <c r="S61" s="14" t="s">
        <v>8</v>
      </c>
      <c r="T61" s="10">
        <v>219.9008</v>
      </c>
    </row>
    <row r="62" spans="1:20" x14ac:dyDescent="0.35">
      <c r="A62" s="4">
        <v>60</v>
      </c>
      <c r="B62" s="2">
        <v>42824</v>
      </c>
      <c r="C62" s="1">
        <v>223.43</v>
      </c>
      <c r="D62" s="1">
        <v>224.43</v>
      </c>
      <c r="E62" s="1">
        <v>223.24</v>
      </c>
      <c r="F62" s="1">
        <v>224.21</v>
      </c>
      <c r="G62" s="1" t="str">
        <f>IF(testdata[[#This Row],[high]]&gt;MAX(D58:D61,D63:D66),testdata[[#This Row],[high]],"")</f>
        <v/>
      </c>
      <c r="H62" s="14" t="s">
        <v>6</v>
      </c>
      <c r="I62" s="10">
        <f t="shared" ca="1" si="1"/>
        <v>225.50600000000037</v>
      </c>
      <c r="J62" s="1" t="str">
        <f>IF(testdata[[#This Row],[low]]&lt;MIN(E58:E61,E63:E66),testdata[[#This Row],[low]],"")</f>
        <v/>
      </c>
      <c r="K62" s="14" t="s">
        <v>8</v>
      </c>
      <c r="L62" s="10">
        <f t="shared" ca="1" si="2"/>
        <v>219.96615384615362</v>
      </c>
      <c r="N62" s="2">
        <v>42824</v>
      </c>
      <c r="O62" s="1"/>
      <c r="P62" s="14" t="s">
        <v>6</v>
      </c>
      <c r="Q62" s="10">
        <v>225.506</v>
      </c>
      <c r="R62" s="1"/>
      <c r="S62" s="14" t="s">
        <v>8</v>
      </c>
      <c r="T62" s="10">
        <v>219.96619999999999</v>
      </c>
    </row>
    <row r="63" spans="1:20" x14ac:dyDescent="0.35">
      <c r="A63" s="4">
        <v>61</v>
      </c>
      <c r="B63" s="2">
        <v>42825</v>
      </c>
      <c r="C63" s="1">
        <v>223.84</v>
      </c>
      <c r="D63" s="1">
        <v>224.42</v>
      </c>
      <c r="E63" s="1">
        <v>223.63</v>
      </c>
      <c r="F63" s="1">
        <v>223.69</v>
      </c>
      <c r="G63" s="1" t="str">
        <f>IF(testdata[[#This Row],[high]]&gt;MAX(D59:D62,D64:D67),testdata[[#This Row],[high]],"")</f>
        <v/>
      </c>
      <c r="H63" s="14" t="s">
        <v>6</v>
      </c>
      <c r="I63" s="10">
        <f t="shared" ca="1" si="1"/>
        <v>225.44200000000029</v>
      </c>
      <c r="J63" s="1" t="str">
        <f>IF(testdata[[#This Row],[low]]&lt;MIN(E59:E62,E64:E67),testdata[[#This Row],[low]],"")</f>
        <v/>
      </c>
      <c r="K63" s="14" t="s">
        <v>8</v>
      </c>
      <c r="L63" s="10">
        <f t="shared" ca="1" si="2"/>
        <v>220.03153846153816</v>
      </c>
      <c r="N63" s="2">
        <v>42825</v>
      </c>
      <c r="O63" s="1"/>
      <c r="P63" s="14" t="s">
        <v>6</v>
      </c>
      <c r="Q63" s="10">
        <v>225.44200000000001</v>
      </c>
      <c r="R63" s="1"/>
      <c r="S63" s="14" t="s">
        <v>8</v>
      </c>
      <c r="T63" s="10">
        <v>220.03149999999999</v>
      </c>
    </row>
    <row r="64" spans="1:20" x14ac:dyDescent="0.35">
      <c r="A64" s="4">
        <v>62</v>
      </c>
      <c r="B64" s="2">
        <v>42828</v>
      </c>
      <c r="C64" s="1">
        <v>223.74</v>
      </c>
      <c r="D64" s="1">
        <v>223.96</v>
      </c>
      <c r="E64" s="1">
        <v>221.95</v>
      </c>
      <c r="F64" s="1">
        <v>223.3</v>
      </c>
      <c r="G64" s="1" t="str">
        <f>IF(testdata[[#This Row],[high]]&gt;MAX(D60:D63,D65:D68),testdata[[#This Row],[high]],"")</f>
        <v/>
      </c>
      <c r="H64" s="14" t="s">
        <v>6</v>
      </c>
      <c r="I64" s="10">
        <f t="shared" ca="1" si="1"/>
        <v>225.37800000000021</v>
      </c>
      <c r="J64" s="1" t="str">
        <f>IF(testdata[[#This Row],[low]]&lt;MIN(E60:E63,E65:E68),testdata[[#This Row],[low]],"")</f>
        <v/>
      </c>
      <c r="K64" s="14" t="s">
        <v>8</v>
      </c>
      <c r="L64" s="10">
        <f t="shared" ca="1" si="2"/>
        <v>220.09692307692274</v>
      </c>
      <c r="N64" s="2">
        <v>42828</v>
      </c>
      <c r="O64" s="1"/>
      <c r="P64" s="14" t="s">
        <v>6</v>
      </c>
      <c r="Q64" s="10">
        <v>225.37799999999999</v>
      </c>
      <c r="R64" s="1"/>
      <c r="S64" s="14" t="s">
        <v>8</v>
      </c>
      <c r="T64" s="10">
        <v>220.09690000000001</v>
      </c>
    </row>
    <row r="65" spans="1:20" x14ac:dyDescent="0.35">
      <c r="A65" s="4">
        <v>63</v>
      </c>
      <c r="B65" s="2">
        <v>42829</v>
      </c>
      <c r="C65" s="1">
        <v>222.98</v>
      </c>
      <c r="D65" s="1">
        <v>223.53</v>
      </c>
      <c r="E65" s="1">
        <v>222.56</v>
      </c>
      <c r="F65" s="1">
        <v>223.44</v>
      </c>
      <c r="G65" s="1" t="str">
        <f>IF(testdata[[#This Row],[high]]&gt;MAX(D61:D64,D66:D69),testdata[[#This Row],[high]],"")</f>
        <v/>
      </c>
      <c r="H65" s="14" t="s">
        <v>6</v>
      </c>
      <c r="I65" s="10">
        <f t="shared" ca="1" si="1"/>
        <v>225.31400000000011</v>
      </c>
      <c r="J65" s="1" t="str">
        <f>IF(testdata[[#This Row],[low]]&lt;MIN(E61:E64,E66:E69),testdata[[#This Row],[low]],"")</f>
        <v/>
      </c>
      <c r="K65" s="14" t="s">
        <v>8</v>
      </c>
      <c r="L65" s="10">
        <f t="shared" ca="1" si="2"/>
        <v>220.16230769230734</v>
      </c>
      <c r="N65" s="2">
        <v>42829</v>
      </c>
      <c r="O65" s="1"/>
      <c r="P65" s="14" t="s">
        <v>6</v>
      </c>
      <c r="Q65" s="10">
        <v>225.31399999999999</v>
      </c>
      <c r="R65" s="1"/>
      <c r="S65" s="14" t="s">
        <v>8</v>
      </c>
      <c r="T65" s="10">
        <v>220.16229999999999</v>
      </c>
    </row>
    <row r="66" spans="1:20" x14ac:dyDescent="0.35">
      <c r="A66" s="4">
        <v>64</v>
      </c>
      <c r="B66" s="2">
        <v>42830</v>
      </c>
      <c r="C66" s="1">
        <v>224.18</v>
      </c>
      <c r="D66" s="1">
        <v>225.25</v>
      </c>
      <c r="E66" s="1">
        <v>222.55</v>
      </c>
      <c r="F66" s="1">
        <v>222.78</v>
      </c>
      <c r="G66" s="1">
        <f>IF(testdata[[#This Row],[high]]&gt;MAX(D62:D65,D67:D70),testdata[[#This Row],[high]],"")</f>
        <v>225.25</v>
      </c>
      <c r="H66" s="14" t="s">
        <v>6</v>
      </c>
      <c r="I66" s="9">
        <f>testdata[[#This Row],[Hpoint]]</f>
        <v>225.25</v>
      </c>
      <c r="J66" s="1" t="str">
        <f>IF(testdata[[#This Row],[low]]&lt;MIN(E62:E65,E67:E70),testdata[[#This Row],[low]],"")</f>
        <v/>
      </c>
      <c r="K66" s="14" t="s">
        <v>8</v>
      </c>
      <c r="L66" s="10">
        <f t="shared" ca="1" si="2"/>
        <v>220.22769230769194</v>
      </c>
      <c r="N66" s="2">
        <v>42830</v>
      </c>
      <c r="O66" s="1">
        <v>225.25</v>
      </c>
      <c r="P66" s="14" t="s">
        <v>6</v>
      </c>
      <c r="Q66" s="9">
        <v>225.25</v>
      </c>
      <c r="R66" s="1"/>
      <c r="S66" s="14" t="s">
        <v>8</v>
      </c>
      <c r="T66" s="10">
        <v>220.2277</v>
      </c>
    </row>
    <row r="67" spans="1:20" x14ac:dyDescent="0.35">
      <c r="A67" s="4">
        <v>65</v>
      </c>
      <c r="B67" s="2">
        <v>42831</v>
      </c>
      <c r="C67" s="1">
        <v>222.93</v>
      </c>
      <c r="D67" s="1">
        <v>223.97</v>
      </c>
      <c r="E67" s="1">
        <v>222.44</v>
      </c>
      <c r="F67" s="1">
        <v>223.4</v>
      </c>
      <c r="G67" s="1" t="str">
        <f>IF(testdata[[#This Row],[high]]&gt;MAX(D63:D66,D68:D71),testdata[[#This Row],[high]],"")</f>
        <v/>
      </c>
      <c r="H67" s="14" t="s">
        <v>7</v>
      </c>
      <c r="I67" s="10">
        <f t="shared" ca="1" si="1"/>
        <v>225.3949999999999</v>
      </c>
      <c r="J67" s="1" t="str">
        <f>IF(testdata[[#This Row],[low]]&lt;MIN(E63:E66,E68:E71),testdata[[#This Row],[low]],"")</f>
        <v/>
      </c>
      <c r="K67" s="14" t="s">
        <v>8</v>
      </c>
      <c r="L67" s="10">
        <f t="shared" ca="1" si="2"/>
        <v>220.29307692307657</v>
      </c>
      <c r="N67" s="2">
        <v>42831</v>
      </c>
      <c r="O67" s="1"/>
      <c r="P67" s="14" t="s">
        <v>7</v>
      </c>
      <c r="Q67" s="10">
        <v>225.39500000000001</v>
      </c>
      <c r="R67" s="1"/>
      <c r="S67" s="14" t="s">
        <v>8</v>
      </c>
      <c r="T67" s="10">
        <v>220.29310000000001</v>
      </c>
    </row>
    <row r="68" spans="1:20" x14ac:dyDescent="0.35">
      <c r="A68" s="4">
        <v>66</v>
      </c>
      <c r="B68" s="2">
        <v>42832</v>
      </c>
      <c r="C68" s="1">
        <v>223.13</v>
      </c>
      <c r="D68" s="1">
        <v>223.93</v>
      </c>
      <c r="E68" s="1">
        <v>222.64</v>
      </c>
      <c r="F68" s="1">
        <v>223.17</v>
      </c>
      <c r="G68" s="1" t="str">
        <f>IF(testdata[[#This Row],[high]]&gt;MAX(D64:D67,D69:D72),testdata[[#This Row],[high]],"")</f>
        <v/>
      </c>
      <c r="H68" s="14" t="s">
        <v>7</v>
      </c>
      <c r="I68" s="10">
        <f t="shared" ca="1" si="1"/>
        <v>225.53999999999979</v>
      </c>
      <c r="J68" s="1" t="str">
        <f>IF(testdata[[#This Row],[low]]&lt;MIN(E64:E67,E69:E72),testdata[[#This Row],[low]],"")</f>
        <v/>
      </c>
      <c r="K68" s="14" t="s">
        <v>8</v>
      </c>
      <c r="L68" s="10">
        <f t="shared" ca="1" si="2"/>
        <v>220.35846153846123</v>
      </c>
      <c r="N68" s="2">
        <v>42832</v>
      </c>
      <c r="O68" s="1"/>
      <c r="P68" s="14" t="s">
        <v>7</v>
      </c>
      <c r="Q68" s="10">
        <v>225.54</v>
      </c>
      <c r="R68" s="1"/>
      <c r="S68" s="14" t="s">
        <v>8</v>
      </c>
      <c r="T68" s="10">
        <v>220.35849999999999</v>
      </c>
    </row>
    <row r="69" spans="1:20" x14ac:dyDescent="0.35">
      <c r="A69" s="4">
        <v>67</v>
      </c>
      <c r="B69" s="2">
        <v>42835</v>
      </c>
      <c r="C69" s="1">
        <v>223.33</v>
      </c>
      <c r="D69" s="1">
        <v>224.18</v>
      </c>
      <c r="E69" s="1">
        <v>222.73</v>
      </c>
      <c r="F69" s="1">
        <v>223.31</v>
      </c>
      <c r="G69" s="1" t="str">
        <f>IF(testdata[[#This Row],[high]]&gt;MAX(D65:D68,D70:D73),testdata[[#This Row],[high]],"")</f>
        <v/>
      </c>
      <c r="H69" s="14" t="s">
        <v>7</v>
      </c>
      <c r="I69" s="10">
        <f t="shared" ca="1" si="1"/>
        <v>225.68499999999972</v>
      </c>
      <c r="J69" s="1" t="str">
        <f>IF(testdata[[#This Row],[low]]&lt;MIN(E65:E68,E70:E73),testdata[[#This Row],[low]],"")</f>
        <v/>
      </c>
      <c r="K69" s="14" t="s">
        <v>8</v>
      </c>
      <c r="L69" s="10">
        <f t="shared" ca="1" si="2"/>
        <v>220.42384615384589</v>
      </c>
      <c r="N69" s="2">
        <v>42835</v>
      </c>
      <c r="O69" s="1"/>
      <c r="P69" s="14" t="s">
        <v>7</v>
      </c>
      <c r="Q69" s="10">
        <v>225.685</v>
      </c>
      <c r="R69" s="1"/>
      <c r="S69" s="14" t="s">
        <v>8</v>
      </c>
      <c r="T69" s="10">
        <v>220.4238</v>
      </c>
    </row>
    <row r="70" spans="1:20" x14ac:dyDescent="0.35">
      <c r="A70" s="4">
        <v>68</v>
      </c>
      <c r="B70" s="2">
        <v>42836</v>
      </c>
      <c r="C70" s="1">
        <v>222.89</v>
      </c>
      <c r="D70" s="1">
        <v>223.15</v>
      </c>
      <c r="E70" s="1">
        <v>221.41</v>
      </c>
      <c r="F70" s="1">
        <v>223.04</v>
      </c>
      <c r="G70" s="1" t="str">
        <f>IF(testdata[[#This Row],[high]]&gt;MAX(D66:D69,D71:D74),testdata[[#This Row],[high]],"")</f>
        <v/>
      </c>
      <c r="H70" s="14" t="s">
        <v>7</v>
      </c>
      <c r="I70" s="10">
        <f t="shared" ca="1" si="1"/>
        <v>225.82999999999967</v>
      </c>
      <c r="J70" s="1" t="str">
        <f>IF(testdata[[#This Row],[low]]&lt;MIN(E66:E69,E71:E74),testdata[[#This Row],[low]],"")</f>
        <v/>
      </c>
      <c r="K70" s="14" t="s">
        <v>8</v>
      </c>
      <c r="L70" s="10">
        <f t="shared" ca="1" si="2"/>
        <v>220.48923076923057</v>
      </c>
      <c r="N70" s="2">
        <v>42836</v>
      </c>
      <c r="O70" s="1"/>
      <c r="P70" s="14" t="s">
        <v>7</v>
      </c>
      <c r="Q70" s="10">
        <v>225.83</v>
      </c>
      <c r="R70" s="1"/>
      <c r="S70" s="14" t="s">
        <v>8</v>
      </c>
      <c r="T70" s="10">
        <v>220.48920000000001</v>
      </c>
    </row>
    <row r="71" spans="1:20" x14ac:dyDescent="0.35">
      <c r="A71" s="4">
        <v>69</v>
      </c>
      <c r="B71" s="2">
        <v>42837</v>
      </c>
      <c r="C71" s="1">
        <v>222.74</v>
      </c>
      <c r="D71" s="1">
        <v>222.95</v>
      </c>
      <c r="E71" s="1">
        <v>221.82</v>
      </c>
      <c r="F71" s="1">
        <v>222.06</v>
      </c>
      <c r="G71" s="1" t="str">
        <f>IF(testdata[[#This Row],[high]]&gt;MAX(D67:D70,D72:D75),testdata[[#This Row],[high]],"")</f>
        <v/>
      </c>
      <c r="H71" s="14" t="s">
        <v>7</v>
      </c>
      <c r="I71" s="10">
        <f t="shared" ca="1" si="1"/>
        <v>225.97499999999962</v>
      </c>
      <c r="J71" s="1" t="str">
        <f>IF(testdata[[#This Row],[low]]&lt;MIN(E67:E70,E72:E75),testdata[[#This Row],[low]],"")</f>
        <v/>
      </c>
      <c r="K71" s="14" t="s">
        <v>8</v>
      </c>
      <c r="L71" s="10">
        <f t="shared" ca="1" si="2"/>
        <v>220.55461538461529</v>
      </c>
      <c r="N71" s="2">
        <v>42837</v>
      </c>
      <c r="O71" s="1"/>
      <c r="P71" s="14" t="s">
        <v>7</v>
      </c>
      <c r="Q71" s="10">
        <v>225.97499999999999</v>
      </c>
      <c r="R71" s="1"/>
      <c r="S71" s="14" t="s">
        <v>8</v>
      </c>
      <c r="T71" s="10">
        <v>220.55459999999999</v>
      </c>
    </row>
    <row r="72" spans="1:20" x14ac:dyDescent="0.35">
      <c r="A72" s="4">
        <v>70</v>
      </c>
      <c r="B72" s="2">
        <v>42838</v>
      </c>
      <c r="C72" s="1">
        <v>221.69</v>
      </c>
      <c r="D72" s="1">
        <v>222.5</v>
      </c>
      <c r="E72" s="1">
        <v>220.62</v>
      </c>
      <c r="F72" s="1">
        <v>220.62</v>
      </c>
      <c r="G72" s="1" t="str">
        <f>IF(testdata[[#This Row],[high]]&gt;MAX(D68:D71,D73:D76),testdata[[#This Row],[high]],"")</f>
        <v/>
      </c>
      <c r="H72" s="14" t="s">
        <v>7</v>
      </c>
      <c r="I72" s="10">
        <f t="shared" ca="1" si="1"/>
        <v>226.11999999999961</v>
      </c>
      <c r="J72" s="1">
        <f>IF(testdata[[#This Row],[low]]&lt;MIN(E68:E71,E73:E76),testdata[[#This Row],[low]],"")</f>
        <v>220.62</v>
      </c>
      <c r="K72" s="14" t="s">
        <v>8</v>
      </c>
      <c r="L72" s="9">
        <f>testdata[[#This Row],[Lpoint]]</f>
        <v>220.62</v>
      </c>
      <c r="N72" s="2">
        <v>42838</v>
      </c>
      <c r="O72" s="1"/>
      <c r="P72" s="14" t="s">
        <v>7</v>
      </c>
      <c r="Q72" s="10">
        <v>226.12</v>
      </c>
      <c r="R72" s="1">
        <v>220.62</v>
      </c>
      <c r="S72" s="14" t="s">
        <v>8</v>
      </c>
      <c r="T72" s="9">
        <v>220.62</v>
      </c>
    </row>
    <row r="73" spans="1:20" x14ac:dyDescent="0.35">
      <c r="A73" s="4">
        <v>71</v>
      </c>
      <c r="B73" s="2">
        <v>42842</v>
      </c>
      <c r="C73" s="1">
        <v>221.19</v>
      </c>
      <c r="D73" s="1">
        <v>222.58</v>
      </c>
      <c r="E73" s="1">
        <v>220.97</v>
      </c>
      <c r="F73" s="1">
        <v>222.58</v>
      </c>
      <c r="G73" s="1" t="str">
        <f>IF(testdata[[#This Row],[high]]&gt;MAX(D69:D72,D74:D77),testdata[[#This Row],[high]],"")</f>
        <v/>
      </c>
      <c r="H73" s="14" t="s">
        <v>7</v>
      </c>
      <c r="I73" s="10">
        <f t="shared" ca="1" si="1"/>
        <v>226.26499999999959</v>
      </c>
      <c r="J73" s="1" t="str">
        <f>IF(testdata[[#This Row],[low]]&lt;MIN(E69:E72,E74:E77),testdata[[#This Row],[low]],"")</f>
        <v/>
      </c>
      <c r="K73" s="14" t="s">
        <v>8</v>
      </c>
      <c r="L73" s="10">
        <f t="shared" ca="1" si="2"/>
        <v>220.99923076923068</v>
      </c>
      <c r="N73" s="2">
        <v>42842</v>
      </c>
      <c r="O73" s="1"/>
      <c r="P73" s="14" t="s">
        <v>7</v>
      </c>
      <c r="Q73" s="10">
        <v>226.26499999999999</v>
      </c>
      <c r="R73" s="1"/>
      <c r="S73" s="14" t="s">
        <v>8</v>
      </c>
      <c r="T73" s="10">
        <v>220.9992</v>
      </c>
    </row>
    <row r="74" spans="1:20" x14ac:dyDescent="0.35">
      <c r="A74" s="4">
        <v>72</v>
      </c>
      <c r="B74" s="2">
        <v>42843</v>
      </c>
      <c r="C74" s="1">
        <v>221.77</v>
      </c>
      <c r="D74" s="1">
        <v>222.5</v>
      </c>
      <c r="E74" s="1">
        <v>221.16</v>
      </c>
      <c r="F74" s="1">
        <v>221.91</v>
      </c>
      <c r="G74" s="1" t="str">
        <f>IF(testdata[[#This Row],[high]]&gt;MAX(D70:D73,D75:D78),testdata[[#This Row],[high]],"")</f>
        <v/>
      </c>
      <c r="H74" s="14" t="s">
        <v>7</v>
      </c>
      <c r="I74" s="10">
        <f t="shared" ca="1" si="1"/>
        <v>226.4099999999996</v>
      </c>
      <c r="J74" s="1" t="str">
        <f>IF(testdata[[#This Row],[low]]&lt;MIN(E70:E73,E75:E78),testdata[[#This Row],[low]],"")</f>
        <v/>
      </c>
      <c r="K74" s="14" t="s">
        <v>8</v>
      </c>
      <c r="L74" s="10">
        <f t="shared" ca="1" si="2"/>
        <v>221.37846153846135</v>
      </c>
      <c r="N74" s="2">
        <v>42843</v>
      </c>
      <c r="O74" s="1"/>
      <c r="P74" s="14" t="s">
        <v>7</v>
      </c>
      <c r="Q74" s="10">
        <v>226.41</v>
      </c>
      <c r="R74" s="1"/>
      <c r="S74" s="14" t="s">
        <v>8</v>
      </c>
      <c r="T74" s="10">
        <v>221.3785</v>
      </c>
    </row>
    <row r="75" spans="1:20" x14ac:dyDescent="0.35">
      <c r="A75" s="4">
        <v>73</v>
      </c>
      <c r="B75" s="2">
        <v>42844</v>
      </c>
      <c r="C75" s="1">
        <v>222.53</v>
      </c>
      <c r="D75" s="1">
        <v>222.94</v>
      </c>
      <c r="E75" s="1">
        <v>221.26</v>
      </c>
      <c r="F75" s="1">
        <v>221.5</v>
      </c>
      <c r="G75" s="1" t="str">
        <f>IF(testdata[[#This Row],[high]]&gt;MAX(D71:D74,D76:D79),testdata[[#This Row],[high]],"")</f>
        <v/>
      </c>
      <c r="H75" s="14" t="s">
        <v>7</v>
      </c>
      <c r="I75" s="10">
        <f t="shared" ca="1" si="1"/>
        <v>226.55499999999961</v>
      </c>
      <c r="J75" s="1" t="str">
        <f>IF(testdata[[#This Row],[low]]&lt;MIN(E71:E74,E76:E79),testdata[[#This Row],[low]],"")</f>
        <v/>
      </c>
      <c r="K75" s="14" t="s">
        <v>8</v>
      </c>
      <c r="L75" s="10">
        <f t="shared" ca="1" si="2"/>
        <v>221.75769230769205</v>
      </c>
      <c r="N75" s="2">
        <v>42844</v>
      </c>
      <c r="O75" s="1"/>
      <c r="P75" s="14" t="s">
        <v>7</v>
      </c>
      <c r="Q75" s="10">
        <v>226.55500000000001</v>
      </c>
      <c r="R75" s="1"/>
      <c r="S75" s="14" t="s">
        <v>8</v>
      </c>
      <c r="T75" s="10">
        <v>221.7577</v>
      </c>
    </row>
    <row r="76" spans="1:20" x14ac:dyDescent="0.35">
      <c r="A76" s="4">
        <v>74</v>
      </c>
      <c r="B76" s="2">
        <v>42845</v>
      </c>
      <c r="C76" s="1">
        <v>222.18</v>
      </c>
      <c r="D76" s="1">
        <v>223.79</v>
      </c>
      <c r="E76" s="1">
        <v>221.83</v>
      </c>
      <c r="F76" s="1">
        <v>223.31</v>
      </c>
      <c r="G76" s="1" t="str">
        <f>IF(testdata[[#This Row],[high]]&gt;MAX(D72:D75,D77:D80),testdata[[#This Row],[high]],"")</f>
        <v/>
      </c>
      <c r="H76" s="14" t="s">
        <v>7</v>
      </c>
      <c r="I76" s="10">
        <f t="shared" ca="1" si="1"/>
        <v>226.69999999999965</v>
      </c>
      <c r="J76" s="1" t="str">
        <f>IF(testdata[[#This Row],[low]]&lt;MIN(E72:E75,E77:E80),testdata[[#This Row],[low]],"")</f>
        <v/>
      </c>
      <c r="K76" s="14" t="s">
        <v>8</v>
      </c>
      <c r="L76" s="10">
        <f t="shared" ca="1" si="2"/>
        <v>222.13692307692276</v>
      </c>
      <c r="N76" s="2">
        <v>42845</v>
      </c>
      <c r="O76" s="1"/>
      <c r="P76" s="14" t="s">
        <v>7</v>
      </c>
      <c r="Q76" s="10">
        <v>226.7</v>
      </c>
      <c r="R76" s="1"/>
      <c r="S76" s="14" t="s">
        <v>8</v>
      </c>
      <c r="T76" s="10">
        <v>222.1369</v>
      </c>
    </row>
    <row r="77" spans="1:20" x14ac:dyDescent="0.35">
      <c r="A77" s="4">
        <v>75</v>
      </c>
      <c r="B77" s="2">
        <v>42846</v>
      </c>
      <c r="C77" s="1">
        <v>223.22</v>
      </c>
      <c r="D77" s="1">
        <v>223.28</v>
      </c>
      <c r="E77" s="1">
        <v>222.16</v>
      </c>
      <c r="F77" s="1">
        <v>222.6</v>
      </c>
      <c r="G77" s="1" t="str">
        <f>IF(testdata[[#This Row],[high]]&gt;MAX(D73:D76,D78:D81),testdata[[#This Row],[high]],"")</f>
        <v/>
      </c>
      <c r="H77" s="14" t="s">
        <v>7</v>
      </c>
      <c r="I77" s="10">
        <f t="shared" ca="1" si="1"/>
        <v>226.84499999999971</v>
      </c>
      <c r="J77" s="1" t="str">
        <f>IF(testdata[[#This Row],[low]]&lt;MIN(E73:E76,E78:E81),testdata[[#This Row],[low]],"")</f>
        <v/>
      </c>
      <c r="K77" s="14" t="s">
        <v>8</v>
      </c>
      <c r="L77" s="10">
        <f t="shared" ca="1" si="2"/>
        <v>222.51615384615349</v>
      </c>
      <c r="N77" s="2">
        <v>42846</v>
      </c>
      <c r="O77" s="1"/>
      <c r="P77" s="14" t="s">
        <v>7</v>
      </c>
      <c r="Q77" s="10">
        <v>226.845</v>
      </c>
      <c r="R77" s="1"/>
      <c r="S77" s="14" t="s">
        <v>8</v>
      </c>
      <c r="T77" s="10">
        <v>222.5162</v>
      </c>
    </row>
    <row r="78" spans="1:20" x14ac:dyDescent="0.35">
      <c r="A78" s="4">
        <v>76</v>
      </c>
      <c r="B78" s="2">
        <v>42849</v>
      </c>
      <c r="C78" s="1">
        <v>225.05</v>
      </c>
      <c r="D78" s="1">
        <v>225.27</v>
      </c>
      <c r="E78" s="1">
        <v>222.57</v>
      </c>
      <c r="F78" s="1">
        <v>225.04</v>
      </c>
      <c r="G78" s="1" t="str">
        <f>IF(testdata[[#This Row],[high]]&gt;MAX(D74:D77,D79:D82),testdata[[#This Row],[high]],"")</f>
        <v/>
      </c>
      <c r="H78" s="14" t="s">
        <v>7</v>
      </c>
      <c r="I78" s="10">
        <f t="shared" ca="1" si="1"/>
        <v>226.98999999999978</v>
      </c>
      <c r="J78" s="1" t="str">
        <f>IF(testdata[[#This Row],[low]]&lt;MIN(E74:E77,E79:E82),testdata[[#This Row],[low]],"")</f>
        <v/>
      </c>
      <c r="K78" s="14" t="s">
        <v>8</v>
      </c>
      <c r="L78" s="10">
        <f t="shared" ca="1" si="2"/>
        <v>222.89538461538424</v>
      </c>
      <c r="N78" s="2">
        <v>42849</v>
      </c>
      <c r="O78" s="1"/>
      <c r="P78" s="14" t="s">
        <v>7</v>
      </c>
      <c r="Q78" s="10">
        <v>226.99</v>
      </c>
      <c r="R78" s="1"/>
      <c r="S78" s="14" t="s">
        <v>8</v>
      </c>
      <c r="T78" s="10">
        <v>222.8954</v>
      </c>
    </row>
    <row r="79" spans="1:20" x14ac:dyDescent="0.35">
      <c r="A79" s="4">
        <v>77</v>
      </c>
      <c r="B79" s="2">
        <v>42850</v>
      </c>
      <c r="C79" s="1">
        <v>225.75</v>
      </c>
      <c r="D79" s="1">
        <v>226.73</v>
      </c>
      <c r="E79" s="1">
        <v>225.65</v>
      </c>
      <c r="F79" s="1">
        <v>226.35</v>
      </c>
      <c r="G79" s="1" t="str">
        <f>IF(testdata[[#This Row],[high]]&gt;MAX(D75:D78,D80:D83),testdata[[#This Row],[high]],"")</f>
        <v/>
      </c>
      <c r="H79" s="14" t="s">
        <v>7</v>
      </c>
      <c r="I79" s="10">
        <f t="shared" ca="1" si="1"/>
        <v>227.13499999999988</v>
      </c>
      <c r="J79" s="1" t="str">
        <f>IF(testdata[[#This Row],[low]]&lt;MIN(E75:E78,E80:E83),testdata[[#This Row],[low]],"")</f>
        <v/>
      </c>
      <c r="K79" s="14" t="s">
        <v>8</v>
      </c>
      <c r="L79" s="10">
        <f t="shared" ca="1" si="2"/>
        <v>223.274615384615</v>
      </c>
      <c r="N79" s="2">
        <v>42850</v>
      </c>
      <c r="O79" s="1"/>
      <c r="P79" s="14" t="s">
        <v>7</v>
      </c>
      <c r="Q79" s="10">
        <v>227.13499999999999</v>
      </c>
      <c r="R79" s="1"/>
      <c r="S79" s="14" t="s">
        <v>8</v>
      </c>
      <c r="T79" s="10">
        <v>223.27459999999999</v>
      </c>
    </row>
    <row r="80" spans="1:20" x14ac:dyDescent="0.35">
      <c r="A80" s="4">
        <v>78</v>
      </c>
      <c r="B80" s="2">
        <v>42851</v>
      </c>
      <c r="C80" s="1">
        <v>226.31</v>
      </c>
      <c r="D80" s="1">
        <v>227.28</v>
      </c>
      <c r="E80" s="1">
        <v>226.16</v>
      </c>
      <c r="F80" s="1">
        <v>226.21</v>
      </c>
      <c r="G80" s="1">
        <f>IF(testdata[[#This Row],[high]]&gt;MAX(D76:D79,D81:D84),testdata[[#This Row],[high]],"")</f>
        <v>227.28</v>
      </c>
      <c r="H80" s="14" t="s">
        <v>7</v>
      </c>
      <c r="I80" s="9">
        <f>testdata[[#This Row],[Hpoint]]</f>
        <v>227.28</v>
      </c>
      <c r="J80" s="1" t="str">
        <f>IF(testdata[[#This Row],[low]]&lt;MIN(E76:E79,E81:E84),testdata[[#This Row],[low]],"")</f>
        <v/>
      </c>
      <c r="K80" s="14" t="s">
        <v>8</v>
      </c>
      <c r="L80" s="10">
        <f t="shared" ca="1" si="2"/>
        <v>223.65384615384579</v>
      </c>
      <c r="N80" s="2">
        <v>42851</v>
      </c>
      <c r="O80" s="1">
        <v>227.28</v>
      </c>
      <c r="P80" s="14" t="s">
        <v>7</v>
      </c>
      <c r="Q80" s="9">
        <v>227.28</v>
      </c>
      <c r="R80" s="1"/>
      <c r="S80" s="14" t="s">
        <v>8</v>
      </c>
      <c r="T80" s="10">
        <v>223.65379999999999</v>
      </c>
    </row>
    <row r="81" spans="1:20" x14ac:dyDescent="0.35">
      <c r="A81" s="4">
        <v>79</v>
      </c>
      <c r="B81" s="2">
        <v>42852</v>
      </c>
      <c r="C81" s="1">
        <v>226.56</v>
      </c>
      <c r="D81" s="1">
        <v>226.73</v>
      </c>
      <c r="E81" s="1">
        <v>225.81</v>
      </c>
      <c r="F81" s="1">
        <v>226.4</v>
      </c>
      <c r="G81" s="1" t="str">
        <f>IF(testdata[[#This Row],[high]]&gt;MAX(D77:D80,D82:D85),testdata[[#This Row],[high]],"")</f>
        <v/>
      </c>
      <c r="H81" s="14" t="s">
        <v>7</v>
      </c>
      <c r="I81" s="10">
        <f t="shared" ca="1" si="1"/>
        <v>227.35714285714278</v>
      </c>
      <c r="J81" s="1" t="str">
        <f>IF(testdata[[#This Row],[low]]&lt;MIN(E77:E80,E82:E85),testdata[[#This Row],[low]],"")</f>
        <v/>
      </c>
      <c r="K81" s="14" t="s">
        <v>8</v>
      </c>
      <c r="L81" s="10">
        <f t="shared" ca="1" si="2"/>
        <v>224.03307692307661</v>
      </c>
      <c r="N81" s="2">
        <v>42852</v>
      </c>
      <c r="O81" s="1"/>
      <c r="P81" s="14" t="s">
        <v>7</v>
      </c>
      <c r="Q81" s="10">
        <v>227.3571</v>
      </c>
      <c r="R81" s="1"/>
      <c r="S81" s="14" t="s">
        <v>8</v>
      </c>
      <c r="T81" s="10">
        <v>224.03309999999999</v>
      </c>
    </row>
    <row r="82" spans="1:20" x14ac:dyDescent="0.35">
      <c r="A82" s="4">
        <v>80</v>
      </c>
      <c r="B82" s="2">
        <v>42853</v>
      </c>
      <c r="C82" s="1">
        <v>226.68</v>
      </c>
      <c r="D82" s="1">
        <v>226.71</v>
      </c>
      <c r="E82" s="1">
        <v>225.76</v>
      </c>
      <c r="F82" s="1">
        <v>225.91</v>
      </c>
      <c r="G82" s="1" t="str">
        <f>IF(testdata[[#This Row],[high]]&gt;MAX(D78:D81,D83:D86),testdata[[#This Row],[high]],"")</f>
        <v/>
      </c>
      <c r="H82" s="14" t="s">
        <v>7</v>
      </c>
      <c r="I82" s="10">
        <f t="shared" ca="1" si="1"/>
        <v>227.43428571428555</v>
      </c>
      <c r="J82" s="1" t="str">
        <f>IF(testdata[[#This Row],[low]]&lt;MIN(E78:E81,E83:E86),testdata[[#This Row],[low]],"")</f>
        <v/>
      </c>
      <c r="K82" s="14" t="s">
        <v>8</v>
      </c>
      <c r="L82" s="10">
        <f t="shared" ca="1" si="2"/>
        <v>224.41230769230742</v>
      </c>
      <c r="N82" s="2">
        <v>42853</v>
      </c>
      <c r="O82" s="1"/>
      <c r="P82" s="14" t="s">
        <v>7</v>
      </c>
      <c r="Q82" s="10">
        <v>227.43430000000001</v>
      </c>
      <c r="R82" s="1"/>
      <c r="S82" s="14" t="s">
        <v>8</v>
      </c>
      <c r="T82" s="10">
        <v>224.41229999999999</v>
      </c>
    </row>
    <row r="83" spans="1:20" x14ac:dyDescent="0.35">
      <c r="A83" s="4">
        <v>81</v>
      </c>
      <c r="B83" s="2">
        <v>42856</v>
      </c>
      <c r="C83" s="1">
        <v>226.48</v>
      </c>
      <c r="D83" s="1">
        <v>226.94</v>
      </c>
      <c r="E83" s="1">
        <v>226.02</v>
      </c>
      <c r="F83" s="1">
        <v>226.48</v>
      </c>
      <c r="G83" s="1" t="str">
        <f>IF(testdata[[#This Row],[high]]&gt;MAX(D79:D82,D84:D87),testdata[[#This Row],[high]],"")</f>
        <v/>
      </c>
      <c r="H83" s="14" t="s">
        <v>7</v>
      </c>
      <c r="I83" s="10">
        <f t="shared" ca="1" si="1"/>
        <v>227.51142857142833</v>
      </c>
      <c r="J83" s="1" t="str">
        <f>IF(testdata[[#This Row],[low]]&lt;MIN(E79:E82,E84:E87),testdata[[#This Row],[low]],"")</f>
        <v/>
      </c>
      <c r="K83" s="14" t="s">
        <v>8</v>
      </c>
      <c r="L83" s="10">
        <f t="shared" ca="1" si="2"/>
        <v>224.79153846153827</v>
      </c>
      <c r="N83" s="2">
        <v>42856</v>
      </c>
      <c r="O83" s="1"/>
      <c r="P83" s="14" t="s">
        <v>7</v>
      </c>
      <c r="Q83" s="10">
        <v>227.51140000000001</v>
      </c>
      <c r="R83" s="1"/>
      <c r="S83" s="14" t="s">
        <v>8</v>
      </c>
      <c r="T83" s="10">
        <v>224.79150000000001</v>
      </c>
    </row>
    <row r="84" spans="1:20" x14ac:dyDescent="0.35">
      <c r="A84" s="4">
        <v>82</v>
      </c>
      <c r="B84" s="2">
        <v>42857</v>
      </c>
      <c r="C84" s="1">
        <v>226.63</v>
      </c>
      <c r="D84" s="1">
        <v>226.76</v>
      </c>
      <c r="E84" s="1">
        <v>226.12</v>
      </c>
      <c r="F84" s="1">
        <v>226.56</v>
      </c>
      <c r="G84" s="1" t="str">
        <f>IF(testdata[[#This Row],[high]]&gt;MAX(D80:D83,D85:D88),testdata[[#This Row],[high]],"")</f>
        <v/>
      </c>
      <c r="H84" s="14" t="s">
        <v>7</v>
      </c>
      <c r="I84" s="10">
        <f t="shared" ca="1" si="1"/>
        <v>227.58857142857113</v>
      </c>
      <c r="J84" s="1" t="str">
        <f>IF(testdata[[#This Row],[low]]&lt;MIN(E80:E83,E85:E88),testdata[[#This Row],[low]],"")</f>
        <v/>
      </c>
      <c r="K84" s="14" t="s">
        <v>8</v>
      </c>
      <c r="L84" s="10">
        <f t="shared" ca="1" si="2"/>
        <v>225.17076923076914</v>
      </c>
      <c r="N84" s="2">
        <v>42857</v>
      </c>
      <c r="O84" s="1"/>
      <c r="P84" s="14" t="s">
        <v>7</v>
      </c>
      <c r="Q84" s="10">
        <v>227.58860000000001</v>
      </c>
      <c r="R84" s="1"/>
      <c r="S84" s="14" t="s">
        <v>8</v>
      </c>
      <c r="T84" s="10">
        <v>225.17080000000001</v>
      </c>
    </row>
    <row r="85" spans="1:20" x14ac:dyDescent="0.35">
      <c r="A85" s="4">
        <v>83</v>
      </c>
      <c r="B85" s="2">
        <v>42858</v>
      </c>
      <c r="C85" s="1">
        <v>226.11</v>
      </c>
      <c r="D85" s="1">
        <v>226.66</v>
      </c>
      <c r="E85" s="1">
        <v>225.55</v>
      </c>
      <c r="F85" s="1">
        <v>226.29</v>
      </c>
      <c r="G85" s="1" t="str">
        <f>IF(testdata[[#This Row],[high]]&gt;MAX(D81:D84,D86:D89),testdata[[#This Row],[high]],"")</f>
        <v/>
      </c>
      <c r="H85" s="14" t="s">
        <v>7</v>
      </c>
      <c r="I85" s="10">
        <f t="shared" ca="1" si="1"/>
        <v>227.66571428571393</v>
      </c>
      <c r="J85" s="1">
        <f>IF(testdata[[#This Row],[low]]&lt;MIN(E81:E84,E86:E89),testdata[[#This Row],[low]],"")</f>
        <v>225.55</v>
      </c>
      <c r="K85" s="14" t="s">
        <v>8</v>
      </c>
      <c r="L85" s="9">
        <f>testdata[[#This Row],[Lpoint]]</f>
        <v>225.55</v>
      </c>
      <c r="N85" s="2">
        <v>42858</v>
      </c>
      <c r="O85" s="1"/>
      <c r="P85" s="14" t="s">
        <v>7</v>
      </c>
      <c r="Q85" s="10">
        <v>227.66569999999999</v>
      </c>
      <c r="R85" s="1">
        <v>225.55</v>
      </c>
      <c r="S85" s="14" t="s">
        <v>8</v>
      </c>
      <c r="T85" s="9">
        <v>225.55</v>
      </c>
    </row>
    <row r="86" spans="1:20" x14ac:dyDescent="0.35">
      <c r="A86" s="4">
        <v>84</v>
      </c>
      <c r="B86" s="2">
        <v>42859</v>
      </c>
      <c r="C86" s="1">
        <v>226.62</v>
      </c>
      <c r="D86" s="1">
        <v>226.71</v>
      </c>
      <c r="E86" s="1">
        <v>225.62</v>
      </c>
      <c r="F86" s="1">
        <v>226.55</v>
      </c>
      <c r="G86" s="1" t="str">
        <f>IF(testdata[[#This Row],[high]]&gt;MAX(D82:D85,D87:D90),testdata[[#This Row],[high]],"")</f>
        <v/>
      </c>
      <c r="H86" s="14" t="s">
        <v>7</v>
      </c>
      <c r="I86" s="10">
        <f t="shared" ca="1" si="1"/>
        <v>227.74285714285676</v>
      </c>
      <c r="J86" s="1" t="str">
        <f>IF(testdata[[#This Row],[low]]&lt;MIN(E82:E85,E87:E90),testdata[[#This Row],[low]],"")</f>
        <v/>
      </c>
      <c r="K86" s="14" t="s">
        <v>13</v>
      </c>
      <c r="L86" s="10">
        <f t="shared" ca="1" si="2"/>
        <v>225.35363636363644</v>
      </c>
      <c r="N86" s="2">
        <v>42859</v>
      </c>
      <c r="O86" s="1"/>
      <c r="P86" s="14" t="s">
        <v>7</v>
      </c>
      <c r="Q86" s="10">
        <v>227.74289999999999</v>
      </c>
      <c r="R86" s="1"/>
      <c r="S86" s="14" t="s">
        <v>13</v>
      </c>
      <c r="T86" s="10">
        <v>225.3536</v>
      </c>
    </row>
    <row r="87" spans="1:20" x14ac:dyDescent="0.35">
      <c r="A87" s="4">
        <v>85</v>
      </c>
      <c r="B87" s="2">
        <v>42860</v>
      </c>
      <c r="C87" s="1">
        <v>226.96</v>
      </c>
      <c r="D87" s="1">
        <v>227.46</v>
      </c>
      <c r="E87" s="1">
        <v>226.48</v>
      </c>
      <c r="F87" s="1">
        <v>227.44</v>
      </c>
      <c r="G87" s="1" t="str">
        <f>IF(testdata[[#This Row],[high]]&gt;MAX(D83:D86,D88:D91),testdata[[#This Row],[high]],"")</f>
        <v/>
      </c>
      <c r="H87" s="14" t="s">
        <v>7</v>
      </c>
      <c r="I87" s="10">
        <f t="shared" ca="1" si="1"/>
        <v>227.8199999999996</v>
      </c>
      <c r="J87" s="1" t="str">
        <f>IF(testdata[[#This Row],[low]]&lt;MIN(E83:E86,E88:E91),testdata[[#This Row],[low]],"")</f>
        <v/>
      </c>
      <c r="K87" s="14" t="s">
        <v>13</v>
      </c>
      <c r="L87" s="10">
        <f t="shared" ca="1" si="2"/>
        <v>225.15727272727287</v>
      </c>
      <c r="N87" s="2">
        <v>42860</v>
      </c>
      <c r="O87" s="1"/>
      <c r="P87" s="14" t="s">
        <v>7</v>
      </c>
      <c r="Q87" s="10">
        <v>227.82</v>
      </c>
      <c r="R87" s="1"/>
      <c r="S87" s="14" t="s">
        <v>13</v>
      </c>
      <c r="T87" s="10">
        <v>225.15729999999999</v>
      </c>
    </row>
    <row r="88" spans="1:20" x14ac:dyDescent="0.35">
      <c r="A88" s="4">
        <v>86</v>
      </c>
      <c r="B88" s="2">
        <v>42863</v>
      </c>
      <c r="C88" s="1">
        <v>227.49</v>
      </c>
      <c r="D88" s="1">
        <v>227.65</v>
      </c>
      <c r="E88" s="1">
        <v>226.94</v>
      </c>
      <c r="F88" s="1">
        <v>227.41</v>
      </c>
      <c r="G88" s="1" t="str">
        <f>IF(testdata[[#This Row],[high]]&gt;MAX(D84:D87,D89:D92),testdata[[#This Row],[high]],"")</f>
        <v/>
      </c>
      <c r="H88" s="14" t="s">
        <v>7</v>
      </c>
      <c r="I88" s="10">
        <f t="shared" ca="1" si="1"/>
        <v>227.89714285714246</v>
      </c>
      <c r="J88" s="1" t="str">
        <f>IF(testdata[[#This Row],[low]]&lt;MIN(E84:E87,E89:E92),testdata[[#This Row],[low]],"")</f>
        <v/>
      </c>
      <c r="K88" s="14" t="s">
        <v>13</v>
      </c>
      <c r="L88" s="10">
        <f t="shared" ca="1" si="2"/>
        <v>224.96090909090927</v>
      </c>
      <c r="N88" s="2">
        <v>42863</v>
      </c>
      <c r="O88" s="1"/>
      <c r="P88" s="14" t="s">
        <v>7</v>
      </c>
      <c r="Q88" s="10">
        <v>227.89709999999999</v>
      </c>
      <c r="R88" s="1"/>
      <c r="S88" s="14" t="s">
        <v>13</v>
      </c>
      <c r="T88" s="10">
        <v>224.96090000000001</v>
      </c>
    </row>
    <row r="89" spans="1:20" x14ac:dyDescent="0.35">
      <c r="A89" s="4">
        <v>87</v>
      </c>
      <c r="B89" s="2">
        <v>42864</v>
      </c>
      <c r="C89" s="1">
        <v>227.69</v>
      </c>
      <c r="D89" s="1">
        <v>227.91</v>
      </c>
      <c r="E89" s="1">
        <v>226.82</v>
      </c>
      <c r="F89" s="1">
        <v>227.2</v>
      </c>
      <c r="G89" s="1" t="str">
        <f>IF(testdata[[#This Row],[high]]&gt;MAX(D85:D88,D90:D93),testdata[[#This Row],[high]],"")</f>
        <v/>
      </c>
      <c r="H89" s="14" t="s">
        <v>7</v>
      </c>
      <c r="I89" s="10">
        <f t="shared" ca="1" si="1"/>
        <v>227.97428571428534</v>
      </c>
      <c r="J89" s="1" t="str">
        <f>IF(testdata[[#This Row],[low]]&lt;MIN(E85:E88,E90:E93),testdata[[#This Row],[low]],"")</f>
        <v/>
      </c>
      <c r="K89" s="14" t="s">
        <v>13</v>
      </c>
      <c r="L89" s="10">
        <f t="shared" ca="1" si="2"/>
        <v>224.76454545454567</v>
      </c>
      <c r="N89" s="2">
        <v>42864</v>
      </c>
      <c r="O89" s="1"/>
      <c r="P89" s="14" t="s">
        <v>7</v>
      </c>
      <c r="Q89" s="10">
        <v>227.9743</v>
      </c>
      <c r="R89" s="1"/>
      <c r="S89" s="14" t="s">
        <v>13</v>
      </c>
      <c r="T89" s="10">
        <v>224.7645</v>
      </c>
    </row>
    <row r="90" spans="1:20" x14ac:dyDescent="0.35">
      <c r="A90" s="4">
        <v>88</v>
      </c>
      <c r="B90" s="2">
        <v>42865</v>
      </c>
      <c r="C90" s="1">
        <v>227.15</v>
      </c>
      <c r="D90" s="1">
        <v>227.61</v>
      </c>
      <c r="E90" s="1">
        <v>226.92</v>
      </c>
      <c r="F90" s="1">
        <v>227.61</v>
      </c>
      <c r="G90" s="1" t="str">
        <f>IF(testdata[[#This Row],[high]]&gt;MAX(D86:D89,D91:D94),testdata[[#This Row],[high]],"")</f>
        <v/>
      </c>
      <c r="H90" s="14" t="s">
        <v>7</v>
      </c>
      <c r="I90" s="10">
        <f t="shared" ca="1" si="1"/>
        <v>228.05142857142823</v>
      </c>
      <c r="J90" s="1" t="str">
        <f>IF(testdata[[#This Row],[low]]&lt;MIN(E86:E89,E91:E94),testdata[[#This Row],[low]],"")</f>
        <v/>
      </c>
      <c r="K90" s="14" t="s">
        <v>13</v>
      </c>
      <c r="L90" s="10">
        <f t="shared" ca="1" si="2"/>
        <v>224.56818181818204</v>
      </c>
      <c r="N90" s="2">
        <v>42865</v>
      </c>
      <c r="O90" s="1"/>
      <c r="P90" s="14" t="s">
        <v>7</v>
      </c>
      <c r="Q90" s="10">
        <v>228.0514</v>
      </c>
      <c r="R90" s="1"/>
      <c r="S90" s="14" t="s">
        <v>13</v>
      </c>
      <c r="T90" s="10">
        <v>224.56819999999999</v>
      </c>
    </row>
    <row r="91" spans="1:20" x14ac:dyDescent="0.35">
      <c r="A91" s="4">
        <v>89</v>
      </c>
      <c r="B91" s="2">
        <v>42866</v>
      </c>
      <c r="C91" s="1">
        <v>227.11</v>
      </c>
      <c r="D91" s="1">
        <v>227.32</v>
      </c>
      <c r="E91" s="1">
        <v>225.95</v>
      </c>
      <c r="F91" s="1">
        <v>227.14</v>
      </c>
      <c r="G91" s="1" t="str">
        <f>IF(testdata[[#This Row],[high]]&gt;MAX(D87:D90,D92:D95),testdata[[#This Row],[high]],"")</f>
        <v/>
      </c>
      <c r="H91" s="14" t="s">
        <v>7</v>
      </c>
      <c r="I91" s="10">
        <f t="shared" ca="1" si="1"/>
        <v>228.12857142857115</v>
      </c>
      <c r="J91" s="1" t="str">
        <f>IF(testdata[[#This Row],[low]]&lt;MIN(E87:E90,E92:E95),testdata[[#This Row],[low]],"")</f>
        <v/>
      </c>
      <c r="K91" s="14" t="s">
        <v>13</v>
      </c>
      <c r="L91" s="10">
        <f t="shared" ca="1" si="2"/>
        <v>224.37181818181841</v>
      </c>
      <c r="N91" s="2">
        <v>42866</v>
      </c>
      <c r="O91" s="1"/>
      <c r="P91" s="14" t="s">
        <v>7</v>
      </c>
      <c r="Q91" s="10">
        <v>228.12860000000001</v>
      </c>
      <c r="R91" s="1"/>
      <c r="S91" s="14" t="s">
        <v>13</v>
      </c>
      <c r="T91" s="10">
        <v>224.37180000000001</v>
      </c>
    </row>
    <row r="92" spans="1:20" x14ac:dyDescent="0.35">
      <c r="A92" s="4">
        <v>90</v>
      </c>
      <c r="B92" s="2">
        <v>42867</v>
      </c>
      <c r="C92" s="1">
        <v>226.87</v>
      </c>
      <c r="D92" s="1">
        <v>227.19</v>
      </c>
      <c r="E92" s="1">
        <v>226.47</v>
      </c>
      <c r="F92" s="1">
        <v>226.76</v>
      </c>
      <c r="G92" s="1" t="str">
        <f>IF(testdata[[#This Row],[high]]&gt;MAX(D88:D91,D93:D96),testdata[[#This Row],[high]],"")</f>
        <v/>
      </c>
      <c r="H92" s="14" t="s">
        <v>7</v>
      </c>
      <c r="I92" s="10">
        <f t="shared" ca="1" si="1"/>
        <v>228.20571428571409</v>
      </c>
      <c r="J92" s="1" t="str">
        <f>IF(testdata[[#This Row],[low]]&lt;MIN(E88:E91,E93:E96),testdata[[#This Row],[low]],"")</f>
        <v/>
      </c>
      <c r="K92" s="14" t="s">
        <v>13</v>
      </c>
      <c r="L92" s="10">
        <f t="shared" ca="1" si="2"/>
        <v>224.17545454545476</v>
      </c>
      <c r="N92" s="2">
        <v>42867</v>
      </c>
      <c r="O92" s="1"/>
      <c r="P92" s="14" t="s">
        <v>7</v>
      </c>
      <c r="Q92" s="10">
        <v>228.20570000000001</v>
      </c>
      <c r="R92" s="1"/>
      <c r="S92" s="14" t="s">
        <v>13</v>
      </c>
      <c r="T92" s="10">
        <v>224.1755</v>
      </c>
    </row>
    <row r="93" spans="1:20" x14ac:dyDescent="0.35">
      <c r="A93" s="4">
        <v>91</v>
      </c>
      <c r="B93" s="2">
        <v>42870</v>
      </c>
      <c r="C93" s="1">
        <v>227.23</v>
      </c>
      <c r="D93" s="1">
        <v>228.15</v>
      </c>
      <c r="E93" s="1">
        <v>227.21</v>
      </c>
      <c r="F93" s="1">
        <v>228.01</v>
      </c>
      <c r="G93" s="1" t="str">
        <f>IF(testdata[[#This Row],[high]]&gt;MAX(D89:D92,D94:D97),testdata[[#This Row],[high]],"")</f>
        <v/>
      </c>
      <c r="H93" s="14" t="s">
        <v>7</v>
      </c>
      <c r="I93" s="10">
        <f t="shared" ca="1" si="1"/>
        <v>228.28285714285704</v>
      </c>
      <c r="J93" s="1" t="str">
        <f>IF(testdata[[#This Row],[low]]&lt;MIN(E89:E92,E94:E97),testdata[[#This Row],[low]],"")</f>
        <v/>
      </c>
      <c r="K93" s="14" t="s">
        <v>13</v>
      </c>
      <c r="L93" s="10">
        <f t="shared" ca="1" si="2"/>
        <v>223.9790909090911</v>
      </c>
      <c r="N93" s="2">
        <v>42870</v>
      </c>
      <c r="O93" s="1"/>
      <c r="P93" s="14" t="s">
        <v>7</v>
      </c>
      <c r="Q93" s="10">
        <v>228.28290000000001</v>
      </c>
      <c r="R93" s="1"/>
      <c r="S93" s="14" t="s">
        <v>13</v>
      </c>
      <c r="T93" s="10">
        <v>223.97909999999999</v>
      </c>
    </row>
    <row r="94" spans="1:20" x14ac:dyDescent="0.35">
      <c r="A94" s="4">
        <v>92</v>
      </c>
      <c r="B94" s="2">
        <v>42871</v>
      </c>
      <c r="C94" s="1">
        <v>228.34</v>
      </c>
      <c r="D94" s="1">
        <v>228.36</v>
      </c>
      <c r="E94" s="1">
        <v>227.38</v>
      </c>
      <c r="F94" s="1">
        <v>227.8</v>
      </c>
      <c r="G94" s="1">
        <f>IF(testdata[[#This Row],[high]]&gt;MAX(D90:D93,D95:D98),testdata[[#This Row],[high]],"")</f>
        <v>228.36</v>
      </c>
      <c r="H94" s="14" t="s">
        <v>7</v>
      </c>
      <c r="I94" s="9">
        <f>testdata[[#This Row],[Hpoint]]</f>
        <v>228.36</v>
      </c>
      <c r="J94" s="1" t="str">
        <f>IF(testdata[[#This Row],[low]]&lt;MIN(E90:E93,E95:E98),testdata[[#This Row],[low]],"")</f>
        <v/>
      </c>
      <c r="K94" s="14" t="s">
        <v>13</v>
      </c>
      <c r="L94" s="10">
        <f t="shared" ca="1" si="2"/>
        <v>223.78272727272741</v>
      </c>
      <c r="N94" s="2">
        <v>42871</v>
      </c>
      <c r="O94" s="1">
        <v>228.36</v>
      </c>
      <c r="P94" s="14" t="s">
        <v>7</v>
      </c>
      <c r="Q94" s="9">
        <v>228.36</v>
      </c>
      <c r="R94" s="1"/>
      <c r="S94" s="14" t="s">
        <v>13</v>
      </c>
      <c r="T94" s="10">
        <v>223.78270000000001</v>
      </c>
    </row>
    <row r="95" spans="1:20" x14ac:dyDescent="0.35">
      <c r="A95" s="4">
        <v>93</v>
      </c>
      <c r="B95" s="2">
        <v>42872</v>
      </c>
      <c r="C95" s="1">
        <v>225.93</v>
      </c>
      <c r="D95" s="1">
        <v>226.44</v>
      </c>
      <c r="E95" s="1">
        <v>223.7</v>
      </c>
      <c r="F95" s="1">
        <v>223.76</v>
      </c>
      <c r="G95" s="1" t="str">
        <f>IF(testdata[[#This Row],[high]]&gt;MAX(D91:D94,D96:D99),testdata[[#This Row],[high]],"")</f>
        <v/>
      </c>
      <c r="H95" s="14" t="s">
        <v>7</v>
      </c>
      <c r="I95" s="10">
        <f t="shared" ca="1" si="1"/>
        <v>228.65166666666659</v>
      </c>
      <c r="J95" s="1" t="str">
        <f>IF(testdata[[#This Row],[low]]&lt;MIN(E91:E94,E96:E99),testdata[[#This Row],[low]],"")</f>
        <v/>
      </c>
      <c r="K95" s="14" t="s">
        <v>13</v>
      </c>
      <c r="L95" s="10">
        <f t="shared" ca="1" si="2"/>
        <v>223.5863636363637</v>
      </c>
      <c r="N95" s="2">
        <v>42872</v>
      </c>
      <c r="O95" s="1"/>
      <c r="P95" s="14" t="s">
        <v>7</v>
      </c>
      <c r="Q95" s="10">
        <v>228.65170000000001</v>
      </c>
      <c r="R95" s="1"/>
      <c r="S95" s="14" t="s">
        <v>13</v>
      </c>
      <c r="T95" s="10">
        <v>223.5864</v>
      </c>
    </row>
    <row r="96" spans="1:20" x14ac:dyDescent="0.35">
      <c r="A96" s="4">
        <v>94</v>
      </c>
      <c r="B96" s="2">
        <v>42873</v>
      </c>
      <c r="C96" s="1">
        <v>223.68</v>
      </c>
      <c r="D96" s="1">
        <v>225.59</v>
      </c>
      <c r="E96" s="1">
        <v>223.39</v>
      </c>
      <c r="F96" s="1">
        <v>224.66</v>
      </c>
      <c r="G96" s="1" t="str">
        <f>IF(testdata[[#This Row],[high]]&gt;MAX(D92:D95,D97:D100),testdata[[#This Row],[high]],"")</f>
        <v/>
      </c>
      <c r="H96" s="14" t="s">
        <v>7</v>
      </c>
      <c r="I96" s="10">
        <f t="shared" ca="1" si="1"/>
        <v>228.94333333333319</v>
      </c>
      <c r="J96" s="1">
        <f>IF(testdata[[#This Row],[low]]&lt;MIN(E92:E95,E97:E100),testdata[[#This Row],[low]],"")</f>
        <v>223.39</v>
      </c>
      <c r="K96" s="14" t="s">
        <v>13</v>
      </c>
      <c r="L96" s="9">
        <f>testdata[[#This Row],[Lpoint]]</f>
        <v>223.39</v>
      </c>
      <c r="N96" s="2">
        <v>42873</v>
      </c>
      <c r="O96" s="1"/>
      <c r="P96" s="14" t="s">
        <v>7</v>
      </c>
      <c r="Q96" s="10">
        <v>228.94329999999999</v>
      </c>
      <c r="R96" s="1">
        <v>223.39</v>
      </c>
      <c r="S96" s="14" t="s">
        <v>13</v>
      </c>
      <c r="T96" s="9">
        <v>223.39</v>
      </c>
    </row>
    <row r="97" spans="1:20" x14ac:dyDescent="0.35">
      <c r="A97" s="4">
        <v>95</v>
      </c>
      <c r="B97" s="2">
        <v>42874</v>
      </c>
      <c r="C97" s="1">
        <v>225.2</v>
      </c>
      <c r="D97" s="1">
        <v>226.86</v>
      </c>
      <c r="E97" s="1">
        <v>225.14</v>
      </c>
      <c r="F97" s="1">
        <v>226.12</v>
      </c>
      <c r="G97" s="1" t="str">
        <f>IF(testdata[[#This Row],[high]]&gt;MAX(D93:D96,D98:D101),testdata[[#This Row],[high]],"")</f>
        <v/>
      </c>
      <c r="H97" s="14" t="s">
        <v>7</v>
      </c>
      <c r="I97" s="10">
        <f t="shared" ca="1" si="1"/>
        <v>229.23499999999979</v>
      </c>
      <c r="J97" s="1" t="str">
        <f>IF(testdata[[#This Row],[low]]&lt;MIN(E93:E96,E98:E101),testdata[[#This Row],[low]],"")</f>
        <v/>
      </c>
      <c r="K97" s="14" t="s">
        <v>8</v>
      </c>
      <c r="L97" s="10">
        <f t="shared" ca="1" si="2"/>
        <v>223.80266666666654</v>
      </c>
      <c r="N97" s="2">
        <v>42874</v>
      </c>
      <c r="O97" s="1"/>
      <c r="P97" s="14" t="s">
        <v>7</v>
      </c>
      <c r="Q97" s="10">
        <v>229.23500000000001</v>
      </c>
      <c r="R97" s="1"/>
      <c r="S97" s="14" t="s">
        <v>8</v>
      </c>
      <c r="T97" s="10">
        <v>223.80269999999999</v>
      </c>
    </row>
    <row r="98" spans="1:20" x14ac:dyDescent="0.35">
      <c r="A98" s="4">
        <v>96</v>
      </c>
      <c r="B98" s="2">
        <v>42877</v>
      </c>
      <c r="C98" s="1">
        <v>226.68</v>
      </c>
      <c r="D98" s="1">
        <v>227.45</v>
      </c>
      <c r="E98" s="1">
        <v>226.61</v>
      </c>
      <c r="F98" s="1">
        <v>227.27</v>
      </c>
      <c r="G98" s="1" t="str">
        <f>IF(testdata[[#This Row],[high]]&gt;MAX(D94:D97,D99:D102),testdata[[#This Row],[high]],"")</f>
        <v/>
      </c>
      <c r="H98" s="14" t="s">
        <v>7</v>
      </c>
      <c r="I98" s="10">
        <f t="shared" ca="1" si="1"/>
        <v>229.52666666666642</v>
      </c>
      <c r="J98" s="1" t="str">
        <f>IF(testdata[[#This Row],[low]]&lt;MIN(E94:E97,E99:E102),testdata[[#This Row],[low]],"")</f>
        <v/>
      </c>
      <c r="K98" s="14" t="s">
        <v>8</v>
      </c>
      <c r="L98" s="10">
        <f t="shared" ca="1" si="2"/>
        <v>224.21533333333309</v>
      </c>
      <c r="N98" s="2">
        <v>42877</v>
      </c>
      <c r="O98" s="1"/>
      <c r="P98" s="14" t="s">
        <v>7</v>
      </c>
      <c r="Q98" s="10">
        <v>229.52670000000001</v>
      </c>
      <c r="R98" s="1"/>
      <c r="S98" s="14" t="s">
        <v>8</v>
      </c>
      <c r="T98" s="10">
        <v>224.21530000000001</v>
      </c>
    </row>
    <row r="99" spans="1:20" x14ac:dyDescent="0.35">
      <c r="A99" s="4">
        <v>97</v>
      </c>
      <c r="B99" s="2">
        <v>42878</v>
      </c>
      <c r="C99" s="1">
        <v>227.68</v>
      </c>
      <c r="D99" s="1">
        <v>227.96</v>
      </c>
      <c r="E99" s="1">
        <v>227.26</v>
      </c>
      <c r="F99" s="1">
        <v>227.78</v>
      </c>
      <c r="G99" s="1" t="str">
        <f>IF(testdata[[#This Row],[high]]&gt;MAX(D95:D98,D100:D103),testdata[[#This Row],[high]],"")</f>
        <v/>
      </c>
      <c r="H99" s="14" t="s">
        <v>7</v>
      </c>
      <c r="I99" s="10">
        <f t="shared" ca="1" si="1"/>
        <v>229.81833333333307</v>
      </c>
      <c r="J99" s="1" t="str">
        <f>IF(testdata[[#This Row],[low]]&lt;MIN(E95:E98,E100:E103),testdata[[#This Row],[low]],"")</f>
        <v/>
      </c>
      <c r="K99" s="14" t="s">
        <v>8</v>
      </c>
      <c r="L99" s="10">
        <f t="shared" ca="1" si="2"/>
        <v>224.62799999999967</v>
      </c>
      <c r="N99" s="2">
        <v>42878</v>
      </c>
      <c r="O99" s="1"/>
      <c r="P99" s="14" t="s">
        <v>7</v>
      </c>
      <c r="Q99" s="10">
        <v>229.81829999999999</v>
      </c>
      <c r="R99" s="1"/>
      <c r="S99" s="14" t="s">
        <v>8</v>
      </c>
      <c r="T99" s="10">
        <v>224.62799999999999</v>
      </c>
    </row>
    <row r="100" spans="1:20" x14ac:dyDescent="0.35">
      <c r="A100" s="4">
        <v>98</v>
      </c>
      <c r="B100" s="2">
        <v>42879</v>
      </c>
      <c r="C100" s="1">
        <v>228.03</v>
      </c>
      <c r="D100" s="1">
        <v>228.42</v>
      </c>
      <c r="E100" s="1">
        <v>227.66</v>
      </c>
      <c r="F100" s="1">
        <v>228.31</v>
      </c>
      <c r="G100" s="1" t="str">
        <f>IF(testdata[[#This Row],[high]]&gt;MAX(D96:D99,D101:D104),testdata[[#This Row],[high]],"")</f>
        <v/>
      </c>
      <c r="H100" s="14" t="s">
        <v>7</v>
      </c>
      <c r="I100" s="10">
        <f t="shared" ca="1" si="1"/>
        <v>230.10999999999973</v>
      </c>
      <c r="J100" s="1" t="str">
        <f>IF(testdata[[#This Row],[low]]&lt;MIN(E96:E99,E101:E104),testdata[[#This Row],[low]],"")</f>
        <v/>
      </c>
      <c r="K100" s="14" t="s">
        <v>8</v>
      </c>
      <c r="L100" s="10">
        <f t="shared" ca="1" si="2"/>
        <v>225.04066666666625</v>
      </c>
      <c r="N100" s="2">
        <v>42879</v>
      </c>
      <c r="O100" s="1"/>
      <c r="P100" s="14" t="s">
        <v>7</v>
      </c>
      <c r="Q100" s="10">
        <v>230.11</v>
      </c>
      <c r="R100" s="1"/>
      <c r="S100" s="14" t="s">
        <v>8</v>
      </c>
      <c r="T100" s="10">
        <v>225.04069999999999</v>
      </c>
    </row>
    <row r="101" spans="1:20" x14ac:dyDescent="0.35">
      <c r="A101" s="4">
        <v>99</v>
      </c>
      <c r="B101" s="2">
        <v>42880</v>
      </c>
      <c r="C101" s="1">
        <v>228.87</v>
      </c>
      <c r="D101" s="1">
        <v>229.7</v>
      </c>
      <c r="E101" s="1">
        <v>228.64</v>
      </c>
      <c r="F101" s="1">
        <v>229.4</v>
      </c>
      <c r="G101" s="1" t="str">
        <f>IF(testdata[[#This Row],[high]]&gt;MAX(D97:D100,D102:D105),testdata[[#This Row],[high]],"")</f>
        <v/>
      </c>
      <c r="H101" s="14" t="s">
        <v>7</v>
      </c>
      <c r="I101" s="10">
        <f t="shared" ca="1" si="1"/>
        <v>230.40166666666642</v>
      </c>
      <c r="J101" s="1" t="str">
        <f>IF(testdata[[#This Row],[low]]&lt;MIN(E97:E100,E102:E105),testdata[[#This Row],[low]],"")</f>
        <v/>
      </c>
      <c r="K101" s="14" t="s">
        <v>8</v>
      </c>
      <c r="L101" s="10">
        <f t="shared" ca="1" si="2"/>
        <v>225.45333333333286</v>
      </c>
      <c r="N101" s="2">
        <v>42880</v>
      </c>
      <c r="O101" s="1"/>
      <c r="P101" s="14" t="s">
        <v>7</v>
      </c>
      <c r="Q101" s="10">
        <v>230.40170000000001</v>
      </c>
      <c r="R101" s="1"/>
      <c r="S101" s="14" t="s">
        <v>8</v>
      </c>
      <c r="T101" s="10">
        <v>225.45330000000001</v>
      </c>
    </row>
    <row r="102" spans="1:20" x14ac:dyDescent="0.35">
      <c r="A102" s="4">
        <v>100</v>
      </c>
      <c r="B102" s="2">
        <v>42881</v>
      </c>
      <c r="C102" s="1">
        <v>229.19</v>
      </c>
      <c r="D102" s="1">
        <v>229.53</v>
      </c>
      <c r="E102" s="1">
        <v>229.1</v>
      </c>
      <c r="F102" s="1">
        <v>229.35</v>
      </c>
      <c r="G102" s="1" t="str">
        <f>IF(testdata[[#This Row],[high]]&gt;MAX(D98:D101,D103:D106),testdata[[#This Row],[high]],"")</f>
        <v/>
      </c>
      <c r="H102" s="14" t="s">
        <v>7</v>
      </c>
      <c r="I102" s="10">
        <f t="shared" ca="1" si="1"/>
        <v>230.6933333333331</v>
      </c>
      <c r="J102" s="1" t="str">
        <f>IF(testdata[[#This Row],[low]]&lt;MIN(E98:E101,E103:E106),testdata[[#This Row],[low]],"")</f>
        <v/>
      </c>
      <c r="K102" s="14" t="s">
        <v>8</v>
      </c>
      <c r="L102" s="10">
        <f t="shared" ca="1" si="2"/>
        <v>225.8659999999995</v>
      </c>
      <c r="N102" s="2">
        <v>42881</v>
      </c>
      <c r="O102" s="1"/>
      <c r="P102" s="14" t="s">
        <v>7</v>
      </c>
      <c r="Q102" s="10">
        <v>230.69329999999999</v>
      </c>
      <c r="R102" s="1"/>
      <c r="S102" s="14" t="s">
        <v>8</v>
      </c>
      <c r="T102" s="10">
        <v>225.86600000000001</v>
      </c>
    </row>
    <row r="103" spans="1:20" x14ac:dyDescent="0.35">
      <c r="A103" s="4">
        <v>101</v>
      </c>
      <c r="B103" s="2">
        <v>42885</v>
      </c>
      <c r="C103" s="1">
        <v>229</v>
      </c>
      <c r="D103" s="1">
        <v>229.43</v>
      </c>
      <c r="E103" s="1">
        <v>228.83</v>
      </c>
      <c r="F103" s="1">
        <v>229.15</v>
      </c>
      <c r="G103" s="1" t="str">
        <f>IF(testdata[[#This Row],[high]]&gt;MAX(D99:D102,D104:D107),testdata[[#This Row],[high]],"")</f>
        <v/>
      </c>
      <c r="H103" s="14" t="s">
        <v>7</v>
      </c>
      <c r="I103" s="10">
        <f t="shared" ca="1" si="1"/>
        <v>230.98499999999981</v>
      </c>
      <c r="J103" s="1" t="str">
        <f>IF(testdata[[#This Row],[low]]&lt;MIN(E99:E102,E104:E107),testdata[[#This Row],[low]],"")</f>
        <v/>
      </c>
      <c r="K103" s="14" t="s">
        <v>8</v>
      </c>
      <c r="L103" s="10">
        <f t="shared" ca="1" si="2"/>
        <v>226.27866666666614</v>
      </c>
      <c r="N103" s="2">
        <v>42885</v>
      </c>
      <c r="O103" s="1"/>
      <c r="P103" s="14" t="s">
        <v>7</v>
      </c>
      <c r="Q103" s="10">
        <v>230.98500000000001</v>
      </c>
      <c r="R103" s="1"/>
      <c r="S103" s="14" t="s">
        <v>8</v>
      </c>
      <c r="T103" s="10">
        <v>226.27869999999999</v>
      </c>
    </row>
    <row r="104" spans="1:20" x14ac:dyDescent="0.35">
      <c r="A104" s="4">
        <v>102</v>
      </c>
      <c r="B104" s="2">
        <v>42886</v>
      </c>
      <c r="C104" s="1">
        <v>229.47</v>
      </c>
      <c r="D104" s="1">
        <v>229.51</v>
      </c>
      <c r="E104" s="1">
        <v>228.34</v>
      </c>
      <c r="F104" s="1">
        <v>229.09</v>
      </c>
      <c r="G104" s="1" t="str">
        <f>IF(testdata[[#This Row],[high]]&gt;MAX(D100:D103,D105:D108),testdata[[#This Row],[high]],"")</f>
        <v/>
      </c>
      <c r="H104" s="14" t="s">
        <v>7</v>
      </c>
      <c r="I104" s="10">
        <f t="shared" ca="1" si="1"/>
        <v>231.27666666666653</v>
      </c>
      <c r="J104" s="1" t="str">
        <f>IF(testdata[[#This Row],[low]]&lt;MIN(E100:E103,E105:E108),testdata[[#This Row],[low]],"")</f>
        <v/>
      </c>
      <c r="K104" s="14" t="s">
        <v>8</v>
      </c>
      <c r="L104" s="10">
        <f t="shared" ca="1" si="2"/>
        <v>226.69133333333281</v>
      </c>
      <c r="N104" s="2">
        <v>42886</v>
      </c>
      <c r="O104" s="1"/>
      <c r="P104" s="14" t="s">
        <v>7</v>
      </c>
      <c r="Q104" s="10">
        <v>231.27670000000001</v>
      </c>
      <c r="R104" s="1"/>
      <c r="S104" s="14" t="s">
        <v>8</v>
      </c>
      <c r="T104" s="10">
        <v>226.69130000000001</v>
      </c>
    </row>
    <row r="105" spans="1:20" x14ac:dyDescent="0.35">
      <c r="A105" s="4">
        <v>103</v>
      </c>
      <c r="B105" s="2">
        <v>42887</v>
      </c>
      <c r="C105" s="1">
        <v>229.6</v>
      </c>
      <c r="D105" s="1">
        <v>230.94</v>
      </c>
      <c r="E105" s="1">
        <v>229.28</v>
      </c>
      <c r="F105" s="1">
        <v>230.92</v>
      </c>
      <c r="G105" s="1" t="str">
        <f>IF(testdata[[#This Row],[high]]&gt;MAX(D101:D104,D106:D109),testdata[[#This Row],[high]],"")</f>
        <v/>
      </c>
      <c r="H105" s="14" t="s">
        <v>7</v>
      </c>
      <c r="I105" s="10">
        <f t="shared" ca="1" si="1"/>
        <v>231.56833333333327</v>
      </c>
      <c r="J105" s="1" t="str">
        <f>IF(testdata[[#This Row],[low]]&lt;MIN(E101:E104,E106:E109),testdata[[#This Row],[low]],"")</f>
        <v/>
      </c>
      <c r="K105" s="14" t="s">
        <v>8</v>
      </c>
      <c r="L105" s="10">
        <f t="shared" ca="1" si="2"/>
        <v>227.1039999999995</v>
      </c>
      <c r="N105" s="2">
        <v>42887</v>
      </c>
      <c r="O105" s="1"/>
      <c r="P105" s="14" t="s">
        <v>7</v>
      </c>
      <c r="Q105" s="10">
        <v>231.56829999999999</v>
      </c>
      <c r="R105" s="1"/>
      <c r="S105" s="14" t="s">
        <v>8</v>
      </c>
      <c r="T105" s="10">
        <v>227.10400000000001</v>
      </c>
    </row>
    <row r="106" spans="1:20" x14ac:dyDescent="0.35">
      <c r="A106" s="4">
        <v>104</v>
      </c>
      <c r="B106" s="2">
        <v>42888</v>
      </c>
      <c r="C106" s="1">
        <v>230.97</v>
      </c>
      <c r="D106" s="1">
        <v>231.86</v>
      </c>
      <c r="E106" s="1">
        <v>230.65</v>
      </c>
      <c r="F106" s="1">
        <v>231.69</v>
      </c>
      <c r="G106" s="1">
        <f>IF(testdata[[#This Row],[high]]&gt;MAX(D102:D105,D107:D110),testdata[[#This Row],[high]],"")</f>
        <v>231.86</v>
      </c>
      <c r="H106" s="14" t="s">
        <v>7</v>
      </c>
      <c r="I106" s="9">
        <f>testdata[[#This Row],[Hpoint]]</f>
        <v>231.86</v>
      </c>
      <c r="J106" s="1" t="str">
        <f>IF(testdata[[#This Row],[low]]&lt;MIN(E102:E105,E107:E110),testdata[[#This Row],[low]],"")</f>
        <v/>
      </c>
      <c r="K106" s="14" t="s">
        <v>8</v>
      </c>
      <c r="L106" s="10">
        <f t="shared" ca="1" si="2"/>
        <v>227.5166666666662</v>
      </c>
      <c r="N106" s="2">
        <v>42888</v>
      </c>
      <c r="O106" s="1">
        <v>231.86</v>
      </c>
      <c r="P106" s="14" t="s">
        <v>7</v>
      </c>
      <c r="Q106" s="9">
        <v>231.86</v>
      </c>
      <c r="R106" s="1"/>
      <c r="S106" s="14" t="s">
        <v>8</v>
      </c>
      <c r="T106" s="10">
        <v>227.51669999999999</v>
      </c>
    </row>
    <row r="107" spans="1:20" x14ac:dyDescent="0.35">
      <c r="A107" s="4">
        <v>105</v>
      </c>
      <c r="B107" s="2">
        <v>42891</v>
      </c>
      <c r="C107" s="1">
        <v>231.5</v>
      </c>
      <c r="D107" s="1">
        <v>231.81</v>
      </c>
      <c r="E107" s="1">
        <v>231.3</v>
      </c>
      <c r="F107" s="1">
        <v>231.51</v>
      </c>
      <c r="G107" s="1" t="str">
        <f>IF(testdata[[#This Row],[high]]&gt;MAX(D103:D106,D108:D111),testdata[[#This Row],[high]],"")</f>
        <v/>
      </c>
      <c r="H107" s="14" t="s">
        <v>7</v>
      </c>
      <c r="I107" s="10">
        <f t="shared" ca="1" si="1"/>
        <v>231.98399999999998</v>
      </c>
      <c r="J107" s="1" t="str">
        <f>IF(testdata[[#This Row],[low]]&lt;MIN(E103:E106,E108:E111),testdata[[#This Row],[low]],"")</f>
        <v/>
      </c>
      <c r="K107" s="14" t="s">
        <v>8</v>
      </c>
      <c r="L107" s="10">
        <f t="shared" ca="1" si="2"/>
        <v>227.92933333333292</v>
      </c>
      <c r="N107" s="2">
        <v>42891</v>
      </c>
      <c r="O107" s="1"/>
      <c r="P107" s="14" t="s">
        <v>7</v>
      </c>
      <c r="Q107" s="10">
        <v>231.98400000000001</v>
      </c>
      <c r="R107" s="1"/>
      <c r="S107" s="14" t="s">
        <v>8</v>
      </c>
      <c r="T107" s="10">
        <v>227.92930000000001</v>
      </c>
    </row>
    <row r="108" spans="1:20" x14ac:dyDescent="0.35">
      <c r="A108" s="4">
        <v>106</v>
      </c>
      <c r="B108" s="2">
        <v>42892</v>
      </c>
      <c r="C108" s="1">
        <v>230.9</v>
      </c>
      <c r="D108" s="1">
        <v>231.51</v>
      </c>
      <c r="E108" s="1">
        <v>230.69</v>
      </c>
      <c r="F108" s="1">
        <v>230.77</v>
      </c>
      <c r="G108" s="1" t="str">
        <f>IF(testdata[[#This Row],[high]]&gt;MAX(D104:D107,D109:D112),testdata[[#This Row],[high]],"")</f>
        <v/>
      </c>
      <c r="H108" s="14" t="s">
        <v>7</v>
      </c>
      <c r="I108" s="10">
        <f t="shared" ref="I108:I110" ca="1" si="3">AVERAGE(I107,I109)</f>
        <v>232.10799999999998</v>
      </c>
      <c r="J108" s="1" t="str">
        <f>IF(testdata[[#This Row],[low]]&lt;MIN(E104:E107,E109:E112),testdata[[#This Row],[low]],"")</f>
        <v/>
      </c>
      <c r="K108" s="14" t="s">
        <v>8</v>
      </c>
      <c r="L108" s="10">
        <f t="shared" ca="1" si="2"/>
        <v>228.34199999999967</v>
      </c>
      <c r="N108" s="2">
        <v>42892</v>
      </c>
      <c r="O108" s="1"/>
      <c r="P108" s="14" t="s">
        <v>7</v>
      </c>
      <c r="Q108" s="10">
        <v>232.108</v>
      </c>
      <c r="R108" s="1"/>
      <c r="S108" s="14" t="s">
        <v>8</v>
      </c>
      <c r="T108" s="10">
        <v>228.34200000000001</v>
      </c>
    </row>
    <row r="109" spans="1:20" x14ac:dyDescent="0.35">
      <c r="A109" s="4">
        <v>107</v>
      </c>
      <c r="B109" s="2">
        <v>42893</v>
      </c>
      <c r="C109" s="1">
        <v>231.14</v>
      </c>
      <c r="D109" s="1">
        <v>231.45</v>
      </c>
      <c r="E109" s="1">
        <v>230.41</v>
      </c>
      <c r="F109" s="1">
        <v>231.2</v>
      </c>
      <c r="G109" s="1" t="str">
        <f>IF(testdata[[#This Row],[high]]&gt;MAX(D105:D108,D110:D113),testdata[[#This Row],[high]],"")</f>
        <v/>
      </c>
      <c r="H109" s="14" t="s">
        <v>7</v>
      </c>
      <c r="I109" s="10">
        <f t="shared" ca="1" si="3"/>
        <v>232.23199999999997</v>
      </c>
      <c r="J109" s="1" t="str">
        <f>IF(testdata[[#This Row],[low]]&lt;MIN(E105:E108,E110:E113),testdata[[#This Row],[low]],"")</f>
        <v/>
      </c>
      <c r="K109" s="14" t="s">
        <v>8</v>
      </c>
      <c r="L109" s="10">
        <f t="shared" ca="1" si="2"/>
        <v>228.75466666666642</v>
      </c>
      <c r="N109" s="2">
        <v>42893</v>
      </c>
      <c r="O109" s="1"/>
      <c r="P109" s="14" t="s">
        <v>7</v>
      </c>
      <c r="Q109" s="10">
        <v>232.232</v>
      </c>
      <c r="R109" s="1"/>
      <c r="S109" s="14" t="s">
        <v>8</v>
      </c>
      <c r="T109" s="10">
        <v>228.75470000000001</v>
      </c>
    </row>
    <row r="110" spans="1:20" x14ac:dyDescent="0.35">
      <c r="A110" s="4">
        <v>108</v>
      </c>
      <c r="B110" s="2">
        <v>42894</v>
      </c>
      <c r="C110" s="1">
        <v>231.31</v>
      </c>
      <c r="D110" s="1">
        <v>231.84</v>
      </c>
      <c r="E110" s="1">
        <v>230.74</v>
      </c>
      <c r="F110" s="1">
        <v>231.32</v>
      </c>
      <c r="G110" s="1" t="str">
        <f>IF(testdata[[#This Row],[high]]&gt;MAX(D106:D109,D111:D114),testdata[[#This Row],[high]],"")</f>
        <v/>
      </c>
      <c r="H110" s="14" t="s">
        <v>7</v>
      </c>
      <c r="I110" s="10">
        <f t="shared" ca="1" si="3"/>
        <v>232.35599999999999</v>
      </c>
      <c r="J110" s="1" t="str">
        <f>IF(testdata[[#This Row],[low]]&lt;MIN(E106:E109,E111:E114),testdata[[#This Row],[low]],"")</f>
        <v/>
      </c>
      <c r="K110" s="14" t="s">
        <v>8</v>
      </c>
      <c r="L110" s="10">
        <f t="shared" ca="1" si="2"/>
        <v>229.1673333333332</v>
      </c>
      <c r="N110" s="2">
        <v>42894</v>
      </c>
      <c r="O110" s="1"/>
      <c r="P110" s="14" t="s">
        <v>7</v>
      </c>
      <c r="Q110" s="10">
        <v>232.35599999999999</v>
      </c>
      <c r="R110" s="1"/>
      <c r="S110" s="14" t="s">
        <v>8</v>
      </c>
      <c r="T110" s="10">
        <v>229.16730000000001</v>
      </c>
    </row>
    <row r="111" spans="1:20" x14ac:dyDescent="0.35">
      <c r="A111" s="4">
        <v>109</v>
      </c>
      <c r="B111" s="2">
        <v>42895</v>
      </c>
      <c r="C111" s="1">
        <v>231.61</v>
      </c>
      <c r="D111" s="1">
        <v>232.48</v>
      </c>
      <c r="E111" s="1">
        <v>229.58</v>
      </c>
      <c r="F111" s="1">
        <v>230.96</v>
      </c>
      <c r="G111" s="1">
        <f>IF(testdata[[#This Row],[high]]&gt;MAX(D107:D110,D112:D115),testdata[[#This Row],[high]],"")</f>
        <v>232.48</v>
      </c>
      <c r="H111" s="14" t="s">
        <v>7</v>
      </c>
      <c r="I111" s="9">
        <f>testdata[[#This Row],[Hpoint]]</f>
        <v>232.48</v>
      </c>
      <c r="J111" s="1">
        <f>IF(testdata[[#This Row],[low]]&lt;MIN(E107:E110,E112:E115),testdata[[#This Row],[low]],"")</f>
        <v>229.58</v>
      </c>
      <c r="K111" s="14" t="s">
        <v>8</v>
      </c>
      <c r="L111" s="9">
        <f>testdata[[#This Row],[Lpoint]]</f>
        <v>229.58</v>
      </c>
      <c r="N111" s="2">
        <v>42895</v>
      </c>
      <c r="O111" s="1">
        <v>232.48</v>
      </c>
      <c r="P111" s="14" t="s">
        <v>7</v>
      </c>
      <c r="Q111" s="9">
        <v>232.48</v>
      </c>
      <c r="R111" s="1">
        <v>229.58</v>
      </c>
      <c r="S111" s="14" t="s">
        <v>8</v>
      </c>
      <c r="T111" s="9">
        <v>229.58</v>
      </c>
    </row>
    <row r="112" spans="1:20" x14ac:dyDescent="0.35">
      <c r="A112" s="4">
        <v>110</v>
      </c>
      <c r="B112" s="2">
        <v>42898</v>
      </c>
      <c r="C112" s="1">
        <v>230.7</v>
      </c>
      <c r="D112" s="1">
        <v>230.97</v>
      </c>
      <c r="E112" s="1">
        <v>229.99</v>
      </c>
      <c r="F112" s="1">
        <v>230.92</v>
      </c>
      <c r="G112" s="1" t="str">
        <f>IF(testdata[[#This Row],[high]]&gt;MAX(D108:D111,D113:D116),testdata[[#This Row],[high]],"")</f>
        <v/>
      </c>
      <c r="H112" s="14" t="s">
        <v>7</v>
      </c>
      <c r="I112" s="10">
        <f t="shared" ref="I112:I116" ca="1" si="4">AVERAGE(I111,I113)</f>
        <v>232.62499999999994</v>
      </c>
      <c r="J112" s="1" t="str">
        <f>IF(testdata[[#This Row],[low]]&lt;MIN(E108:E111,E113:E116),testdata[[#This Row],[low]],"")</f>
        <v/>
      </c>
      <c r="K112" s="14" t="s">
        <v>13</v>
      </c>
      <c r="L112" s="10">
        <f t="shared" ca="1" si="2"/>
        <v>229.52428571428584</v>
      </c>
      <c r="N112" s="2">
        <v>42898</v>
      </c>
      <c r="O112" s="1"/>
      <c r="P112" s="14" t="s">
        <v>7</v>
      </c>
      <c r="Q112" s="10">
        <v>232.625</v>
      </c>
      <c r="R112" s="1"/>
      <c r="S112" s="14" t="s">
        <v>13</v>
      </c>
      <c r="T112" s="10">
        <v>229.52430000000001</v>
      </c>
    </row>
    <row r="113" spans="1:20" x14ac:dyDescent="0.35">
      <c r="A113" s="4">
        <v>111</v>
      </c>
      <c r="B113" s="2">
        <v>42899</v>
      </c>
      <c r="C113" s="1">
        <v>231.51</v>
      </c>
      <c r="D113" s="1">
        <v>232.1</v>
      </c>
      <c r="E113" s="1">
        <v>231.13</v>
      </c>
      <c r="F113" s="1">
        <v>232.05</v>
      </c>
      <c r="G113" s="1" t="str">
        <f>IF(testdata[[#This Row],[high]]&gt;MAX(D109:D112,D114:D117),testdata[[#This Row],[high]],"")</f>
        <v/>
      </c>
      <c r="H113" s="14" t="s">
        <v>7</v>
      </c>
      <c r="I113" s="10">
        <f t="shared" ca="1" si="4"/>
        <v>232.76999999999992</v>
      </c>
      <c r="J113" s="1" t="str">
        <f>IF(testdata[[#This Row],[low]]&lt;MIN(E109:E112,E114:E117),testdata[[#This Row],[low]],"")</f>
        <v/>
      </c>
      <c r="K113" s="14" t="s">
        <v>13</v>
      </c>
      <c r="L113" s="10">
        <f t="shared" ref="L113:L176" ca="1" si="5">AVERAGE(L112,L114)</f>
        <v>229.46857142857164</v>
      </c>
      <c r="N113" s="2">
        <v>42899</v>
      </c>
      <c r="O113" s="1"/>
      <c r="P113" s="14" t="s">
        <v>7</v>
      </c>
      <c r="Q113" s="10">
        <v>232.77</v>
      </c>
      <c r="R113" s="1"/>
      <c r="S113" s="14" t="s">
        <v>13</v>
      </c>
      <c r="T113" s="10">
        <v>229.46860000000001</v>
      </c>
    </row>
    <row r="114" spans="1:20" x14ac:dyDescent="0.35">
      <c r="A114" s="4">
        <v>112</v>
      </c>
      <c r="B114" s="2">
        <v>42900</v>
      </c>
      <c r="C114" s="1">
        <v>232.34</v>
      </c>
      <c r="D114" s="1">
        <v>232.35</v>
      </c>
      <c r="E114" s="1">
        <v>230.85</v>
      </c>
      <c r="F114" s="1">
        <v>231.75</v>
      </c>
      <c r="G114" s="1" t="str">
        <f>IF(testdata[[#This Row],[high]]&gt;MAX(D110:D113,D115:D118),testdata[[#This Row],[high]],"")</f>
        <v/>
      </c>
      <c r="H114" s="14" t="s">
        <v>7</v>
      </c>
      <c r="I114" s="10">
        <f t="shared" ca="1" si="4"/>
        <v>232.91499999999994</v>
      </c>
      <c r="J114" s="1" t="str">
        <f>IF(testdata[[#This Row],[low]]&lt;MIN(E110:E113,E115:E118),testdata[[#This Row],[low]],"")</f>
        <v/>
      </c>
      <c r="K114" s="14" t="s">
        <v>13</v>
      </c>
      <c r="L114" s="10">
        <f t="shared" ca="1" si="5"/>
        <v>229.41285714285743</v>
      </c>
      <c r="N114" s="2">
        <v>42900</v>
      </c>
      <c r="O114" s="1"/>
      <c r="P114" s="14" t="s">
        <v>7</v>
      </c>
      <c r="Q114" s="10">
        <v>232.91499999999999</v>
      </c>
      <c r="R114" s="1"/>
      <c r="S114" s="14" t="s">
        <v>13</v>
      </c>
      <c r="T114" s="10">
        <v>229.41290000000001</v>
      </c>
    </row>
    <row r="115" spans="1:20" x14ac:dyDescent="0.35">
      <c r="A115" s="4">
        <v>113</v>
      </c>
      <c r="B115" s="2">
        <v>42901</v>
      </c>
      <c r="C115" s="1">
        <v>230.27</v>
      </c>
      <c r="D115" s="1">
        <v>231.44</v>
      </c>
      <c r="E115" s="1">
        <v>229.97</v>
      </c>
      <c r="F115" s="1">
        <v>231.31</v>
      </c>
      <c r="G115" s="1" t="str">
        <f>IF(testdata[[#This Row],[high]]&gt;MAX(D111:D114,D116:D119),testdata[[#This Row],[high]],"")</f>
        <v/>
      </c>
      <c r="H115" s="14" t="s">
        <v>7</v>
      </c>
      <c r="I115" s="10">
        <f t="shared" ca="1" si="4"/>
        <v>233.05999999999995</v>
      </c>
      <c r="J115" s="1" t="str">
        <f>IF(testdata[[#This Row],[low]]&lt;MIN(E111:E114,E116:E119),testdata[[#This Row],[low]],"")</f>
        <v/>
      </c>
      <c r="K115" s="14" t="s">
        <v>13</v>
      </c>
      <c r="L115" s="10">
        <f t="shared" ca="1" si="5"/>
        <v>229.3571428571432</v>
      </c>
      <c r="N115" s="2">
        <v>42901</v>
      </c>
      <c r="O115" s="1"/>
      <c r="P115" s="14" t="s">
        <v>7</v>
      </c>
      <c r="Q115" s="10">
        <v>233.06</v>
      </c>
      <c r="R115" s="1"/>
      <c r="S115" s="14" t="s">
        <v>13</v>
      </c>
      <c r="T115" s="10">
        <v>229.3571</v>
      </c>
    </row>
    <row r="116" spans="1:20" x14ac:dyDescent="0.35">
      <c r="A116" s="4">
        <v>114</v>
      </c>
      <c r="B116" s="2">
        <v>42902</v>
      </c>
      <c r="C116" s="1">
        <v>231.48</v>
      </c>
      <c r="D116" s="1">
        <v>231.54</v>
      </c>
      <c r="E116" s="1">
        <v>230.4</v>
      </c>
      <c r="F116" s="1">
        <v>231.36</v>
      </c>
      <c r="G116" s="1" t="str">
        <f>IF(testdata[[#This Row],[high]]&gt;MAX(D112:D115,D117:D120),testdata[[#This Row],[high]],"")</f>
        <v/>
      </c>
      <c r="H116" s="14" t="s">
        <v>7</v>
      </c>
      <c r="I116" s="10">
        <f t="shared" ca="1" si="4"/>
        <v>233.20499999999998</v>
      </c>
      <c r="J116" s="1" t="str">
        <f>IF(testdata[[#This Row],[low]]&lt;MIN(E112:E115,E117:E120),testdata[[#This Row],[low]],"")</f>
        <v/>
      </c>
      <c r="K116" s="14" t="s">
        <v>13</v>
      </c>
      <c r="L116" s="10">
        <f t="shared" ca="1" si="5"/>
        <v>229.30142857142897</v>
      </c>
      <c r="N116" s="2">
        <v>42902</v>
      </c>
      <c r="O116" s="1"/>
      <c r="P116" s="14" t="s">
        <v>7</v>
      </c>
      <c r="Q116" s="10">
        <v>233.20500000000001</v>
      </c>
      <c r="R116" s="1"/>
      <c r="S116" s="14" t="s">
        <v>13</v>
      </c>
      <c r="T116" s="10">
        <v>229.3014</v>
      </c>
    </row>
    <row r="117" spans="1:20" x14ac:dyDescent="0.35">
      <c r="A117" s="4">
        <v>115</v>
      </c>
      <c r="B117" s="2">
        <v>42905</v>
      </c>
      <c r="C117" s="1">
        <v>232.26</v>
      </c>
      <c r="D117" s="1">
        <v>233.35</v>
      </c>
      <c r="E117" s="1">
        <v>232.16</v>
      </c>
      <c r="F117" s="1">
        <v>233.28</v>
      </c>
      <c r="G117" s="1">
        <f>IF(testdata[[#This Row],[high]]&gt;MAX(D113:D116,D118:D121),testdata[[#This Row],[high]],"")</f>
        <v>233.35</v>
      </c>
      <c r="H117" s="14" t="s">
        <v>7</v>
      </c>
      <c r="I117" s="9">
        <f>testdata[[#This Row],[Hpoint]]</f>
        <v>233.35</v>
      </c>
      <c r="J117" s="1" t="str">
        <f>IF(testdata[[#This Row],[low]]&lt;MIN(E113:E116,E118:E121),testdata[[#This Row],[low]],"")</f>
        <v/>
      </c>
      <c r="K117" s="14" t="s">
        <v>13</v>
      </c>
      <c r="L117" s="10">
        <f t="shared" ca="1" si="5"/>
        <v>229.24571428571471</v>
      </c>
      <c r="N117" s="2">
        <v>42905</v>
      </c>
      <c r="O117" s="1">
        <v>233.35</v>
      </c>
      <c r="P117" s="14" t="s">
        <v>7</v>
      </c>
      <c r="Q117" s="9">
        <v>233.35</v>
      </c>
      <c r="R117" s="1"/>
      <c r="S117" s="14" t="s">
        <v>13</v>
      </c>
      <c r="T117" s="10">
        <v>229.2457</v>
      </c>
    </row>
    <row r="118" spans="1:20" x14ac:dyDescent="0.35">
      <c r="A118" s="4">
        <v>116</v>
      </c>
      <c r="B118" s="2">
        <v>42906</v>
      </c>
      <c r="C118" s="1">
        <v>232.89</v>
      </c>
      <c r="D118" s="1">
        <v>232.9</v>
      </c>
      <c r="E118" s="1">
        <v>231.69</v>
      </c>
      <c r="F118" s="1">
        <v>231.71</v>
      </c>
      <c r="G118" s="1" t="str">
        <f>IF(testdata[[#This Row],[high]]&gt;MAX(D114:D117,D119:D122),testdata[[#This Row],[high]],"")</f>
        <v/>
      </c>
      <c r="H118" s="14" t="s">
        <v>6</v>
      </c>
      <c r="I118" s="10">
        <f t="shared" ref="I118:I181" ca="1" si="6">AVERAGE(I117,I119)</f>
        <v>233.28399999999999</v>
      </c>
      <c r="J118" s="1" t="str">
        <f>IF(testdata[[#This Row],[low]]&lt;MIN(E114:E117,E119:E122),testdata[[#This Row],[low]],"")</f>
        <v/>
      </c>
      <c r="K118" s="14" t="s">
        <v>13</v>
      </c>
      <c r="L118" s="10">
        <f t="shared" ca="1" si="5"/>
        <v>229.19000000000042</v>
      </c>
      <c r="N118" s="2">
        <v>42906</v>
      </c>
      <c r="O118" s="1"/>
      <c r="P118" s="14" t="s">
        <v>6</v>
      </c>
      <c r="Q118" s="10">
        <v>233.28399999999999</v>
      </c>
      <c r="R118" s="1"/>
      <c r="S118" s="14" t="s">
        <v>13</v>
      </c>
      <c r="T118" s="10">
        <v>229.19</v>
      </c>
    </row>
    <row r="119" spans="1:20" x14ac:dyDescent="0.35">
      <c r="A119" s="4">
        <v>117</v>
      </c>
      <c r="B119" s="2">
        <v>42907</v>
      </c>
      <c r="C119" s="1">
        <v>232.1</v>
      </c>
      <c r="D119" s="1">
        <v>232.26</v>
      </c>
      <c r="E119" s="1">
        <v>231.14</v>
      </c>
      <c r="F119" s="1">
        <v>231.65</v>
      </c>
      <c r="G119" s="1" t="str">
        <f>IF(testdata[[#This Row],[high]]&gt;MAX(D115:D118,D120:D123),testdata[[#This Row],[high]],"")</f>
        <v/>
      </c>
      <c r="H119" s="14" t="s">
        <v>6</v>
      </c>
      <c r="I119" s="10">
        <f t="shared" ca="1" si="6"/>
        <v>233.21799999999999</v>
      </c>
      <c r="J119" s="1" t="str">
        <f>IF(testdata[[#This Row],[low]]&lt;MIN(E115:E118,E120:E123),testdata[[#This Row],[low]],"")</f>
        <v/>
      </c>
      <c r="K119" s="14" t="s">
        <v>13</v>
      </c>
      <c r="L119" s="10">
        <f t="shared" ca="1" si="5"/>
        <v>229.13428571428614</v>
      </c>
      <c r="N119" s="2">
        <v>42907</v>
      </c>
      <c r="O119" s="1"/>
      <c r="P119" s="14" t="s">
        <v>6</v>
      </c>
      <c r="Q119" s="10">
        <v>233.21799999999999</v>
      </c>
      <c r="R119" s="1"/>
      <c r="S119" s="14" t="s">
        <v>13</v>
      </c>
      <c r="T119" s="10">
        <v>229.1343</v>
      </c>
    </row>
    <row r="120" spans="1:20" x14ac:dyDescent="0.35">
      <c r="A120" s="4">
        <v>118</v>
      </c>
      <c r="B120" s="2">
        <v>42908</v>
      </c>
      <c r="C120" s="1">
        <v>231.66</v>
      </c>
      <c r="D120" s="1">
        <v>232.21</v>
      </c>
      <c r="E120" s="1">
        <v>231.36</v>
      </c>
      <c r="F120" s="1">
        <v>231.55</v>
      </c>
      <c r="G120" s="1" t="str">
        <f>IF(testdata[[#This Row],[high]]&gt;MAX(D116:D119,D121:D124),testdata[[#This Row],[high]],"")</f>
        <v/>
      </c>
      <c r="H120" s="14" t="s">
        <v>6</v>
      </c>
      <c r="I120" s="10">
        <f t="shared" ca="1" si="6"/>
        <v>233.15199999999999</v>
      </c>
      <c r="J120" s="1" t="str">
        <f>IF(testdata[[#This Row],[low]]&lt;MIN(E116:E119,E121:E124),testdata[[#This Row],[low]],"")</f>
        <v/>
      </c>
      <c r="K120" s="14" t="s">
        <v>13</v>
      </c>
      <c r="L120" s="10">
        <f t="shared" ca="1" si="5"/>
        <v>229.07857142857182</v>
      </c>
      <c r="N120" s="2">
        <v>42908</v>
      </c>
      <c r="O120" s="1"/>
      <c r="P120" s="14" t="s">
        <v>6</v>
      </c>
      <c r="Q120" s="10">
        <v>233.15199999999999</v>
      </c>
      <c r="R120" s="1"/>
      <c r="S120" s="14" t="s">
        <v>13</v>
      </c>
      <c r="T120" s="10">
        <v>229.07859999999999</v>
      </c>
    </row>
    <row r="121" spans="1:20" x14ac:dyDescent="0.35">
      <c r="A121" s="4">
        <v>119</v>
      </c>
      <c r="B121" s="2">
        <v>42909</v>
      </c>
      <c r="C121" s="1">
        <v>231.61</v>
      </c>
      <c r="D121" s="1">
        <v>232.19</v>
      </c>
      <c r="E121" s="1">
        <v>231.19</v>
      </c>
      <c r="F121" s="1">
        <v>231.82</v>
      </c>
      <c r="G121" s="1" t="str">
        <f>IF(testdata[[#This Row],[high]]&gt;MAX(D117:D120,D122:D125),testdata[[#This Row],[high]],"")</f>
        <v/>
      </c>
      <c r="H121" s="14" t="s">
        <v>6</v>
      </c>
      <c r="I121" s="10">
        <f t="shared" ca="1" si="6"/>
        <v>233.08600000000001</v>
      </c>
      <c r="J121" s="1" t="str">
        <f>IF(testdata[[#This Row],[low]]&lt;MIN(E117:E120,E122:E125),testdata[[#This Row],[low]],"")</f>
        <v/>
      </c>
      <c r="K121" s="14" t="s">
        <v>13</v>
      </c>
      <c r="L121" s="10">
        <f t="shared" ca="1" si="5"/>
        <v>229.02285714285748</v>
      </c>
      <c r="N121" s="2">
        <v>42909</v>
      </c>
      <c r="O121" s="1"/>
      <c r="P121" s="14" t="s">
        <v>6</v>
      </c>
      <c r="Q121" s="10">
        <v>233.08600000000001</v>
      </c>
      <c r="R121" s="1"/>
      <c r="S121" s="14" t="s">
        <v>13</v>
      </c>
      <c r="T121" s="10">
        <v>229.02289999999999</v>
      </c>
    </row>
    <row r="122" spans="1:20" x14ac:dyDescent="0.35">
      <c r="A122" s="4">
        <v>120</v>
      </c>
      <c r="B122" s="2">
        <v>42912</v>
      </c>
      <c r="C122" s="1">
        <v>232.56</v>
      </c>
      <c r="D122" s="1">
        <v>233.02</v>
      </c>
      <c r="E122" s="1">
        <v>231.74</v>
      </c>
      <c r="F122" s="1">
        <v>231.98</v>
      </c>
      <c r="G122" s="7">
        <f>IF(testdata[[#This Row],[high]]&gt;MAX(D118:D121,D123:D126),testdata[[#This Row],[high]],"")</f>
        <v>233.02</v>
      </c>
      <c r="H122" s="15" t="s">
        <v>6</v>
      </c>
      <c r="I122" s="16">
        <f>testdata[[#This Row],[Hpoint]]</f>
        <v>233.02</v>
      </c>
      <c r="J122" s="7" t="str">
        <f>IF(testdata[[#This Row],[low]]&lt;MIN(E118:E121,E123:E126),testdata[[#This Row],[low]],"")</f>
        <v/>
      </c>
      <c r="K122" s="15" t="s">
        <v>13</v>
      </c>
      <c r="L122" s="16">
        <f t="shared" ca="1" si="5"/>
        <v>228.96714285714313</v>
      </c>
      <c r="N122" s="2">
        <v>42912</v>
      </c>
      <c r="O122" s="1">
        <v>233.02</v>
      </c>
      <c r="P122" s="14" t="s">
        <v>6</v>
      </c>
      <c r="Q122" s="9">
        <v>233.02</v>
      </c>
      <c r="R122" s="1"/>
      <c r="S122" s="14" t="s">
        <v>13</v>
      </c>
      <c r="T122" s="10">
        <v>228.96709999999999</v>
      </c>
    </row>
    <row r="123" spans="1:20" x14ac:dyDescent="0.35">
      <c r="A123" s="4">
        <v>121</v>
      </c>
      <c r="B123" s="2">
        <v>42913</v>
      </c>
      <c r="C123" s="1">
        <v>231.74</v>
      </c>
      <c r="D123" s="1">
        <v>232.06</v>
      </c>
      <c r="E123" s="1">
        <v>230.09</v>
      </c>
      <c r="F123" s="1">
        <v>230.11</v>
      </c>
      <c r="G123" s="1" t="str">
        <f>IF(testdata[[#This Row],[high]]&gt;MAX(D119:D122,D124:D127),testdata[[#This Row],[high]],"")</f>
        <v/>
      </c>
      <c r="H123" s="14"/>
      <c r="I123" s="10"/>
      <c r="J123" s="1" t="str">
        <f>IF(testdata[[#This Row],[low]]&lt;MIN(E119:E122,E124:E127),testdata[[#This Row],[low]],"")</f>
        <v/>
      </c>
      <c r="K123" s="14" t="s">
        <v>13</v>
      </c>
      <c r="L123" s="10">
        <f t="shared" ca="1" si="5"/>
        <v>228.91142857142876</v>
      </c>
      <c r="N123" s="2">
        <v>42913</v>
      </c>
      <c r="O123" s="1"/>
      <c r="P123" s="14"/>
      <c r="Q123" s="10"/>
      <c r="R123" s="1"/>
      <c r="S123" s="14" t="s">
        <v>13</v>
      </c>
      <c r="T123" s="10">
        <v>228.91139999999999</v>
      </c>
    </row>
    <row r="124" spans="1:20" x14ac:dyDescent="0.35">
      <c r="A124" s="4">
        <v>122</v>
      </c>
      <c r="B124" s="2">
        <v>42914</v>
      </c>
      <c r="C124" s="1">
        <v>231.22</v>
      </c>
      <c r="D124" s="1">
        <v>232.38</v>
      </c>
      <c r="E124" s="1">
        <v>230.97</v>
      </c>
      <c r="F124" s="1">
        <v>232.17</v>
      </c>
      <c r="G124" s="1" t="str">
        <f>IF(testdata[[#This Row],[high]]&gt;MAX(D120:D123,D125:D128),testdata[[#This Row],[high]],"")</f>
        <v/>
      </c>
      <c r="H124" s="14"/>
      <c r="I124" s="10"/>
      <c r="J124" s="1" t="str">
        <f>IF(testdata[[#This Row],[low]]&lt;MIN(E120:E123,E125:E128),testdata[[#This Row],[low]],"")</f>
        <v/>
      </c>
      <c r="K124" s="14" t="s">
        <v>13</v>
      </c>
      <c r="L124" s="10">
        <f t="shared" ca="1" si="5"/>
        <v>228.85571428571438</v>
      </c>
      <c r="N124" s="2">
        <v>42914</v>
      </c>
      <c r="O124" s="1"/>
      <c r="P124" s="14"/>
      <c r="Q124" s="10"/>
      <c r="R124" s="1"/>
      <c r="S124" s="14" t="s">
        <v>13</v>
      </c>
      <c r="T124" s="10">
        <v>228.85570000000001</v>
      </c>
    </row>
    <row r="125" spans="1:20" x14ac:dyDescent="0.35">
      <c r="A125" s="4">
        <v>123</v>
      </c>
      <c r="B125" s="2">
        <v>42915</v>
      </c>
      <c r="C125" s="1">
        <v>232.33</v>
      </c>
      <c r="D125" s="1">
        <v>232.39</v>
      </c>
      <c r="E125" s="1">
        <v>228.8</v>
      </c>
      <c r="F125" s="1">
        <v>230.13</v>
      </c>
      <c r="G125" s="1" t="str">
        <f>IF(testdata[[#This Row],[high]]&gt;MAX(D121:D124,D126:D129),testdata[[#This Row],[high]],"")</f>
        <v/>
      </c>
      <c r="H125" s="14"/>
      <c r="I125" s="10"/>
      <c r="J125" s="1">
        <f>IF(testdata[[#This Row],[low]]&lt;MIN(E121:E124,E126:E129),testdata[[#This Row],[low]],"")</f>
        <v>228.8</v>
      </c>
      <c r="K125" s="14" t="s">
        <v>13</v>
      </c>
      <c r="L125" s="9">
        <f>testdata[[#This Row],[Lpoint]]</f>
        <v>228.8</v>
      </c>
      <c r="N125" s="2">
        <v>42915</v>
      </c>
      <c r="O125" s="1"/>
      <c r="P125" s="14"/>
      <c r="Q125" s="10"/>
      <c r="R125" s="1">
        <v>228.8</v>
      </c>
      <c r="S125" s="14" t="s">
        <v>13</v>
      </c>
      <c r="T125" s="9">
        <v>228.8</v>
      </c>
    </row>
    <row r="126" spans="1:20" x14ac:dyDescent="0.35">
      <c r="A126" s="4">
        <v>124</v>
      </c>
      <c r="B126" s="2">
        <v>42916</v>
      </c>
      <c r="C126" s="1">
        <v>231.01</v>
      </c>
      <c r="D126" s="1">
        <v>231.42</v>
      </c>
      <c r="E126" s="1">
        <v>230.34</v>
      </c>
      <c r="F126" s="1">
        <v>230.56</v>
      </c>
      <c r="G126" s="1" t="str">
        <f>IF(testdata[[#This Row],[high]]&gt;MAX(D122:D125,D127:D130),testdata[[#This Row],[high]],"")</f>
        <v/>
      </c>
      <c r="H126" s="14"/>
      <c r="I126" s="10"/>
      <c r="J126" s="1" t="str">
        <f>IF(testdata[[#This Row],[low]]&lt;MIN(E122:E125,E127:E130),testdata[[#This Row],[low]],"")</f>
        <v/>
      </c>
      <c r="K126" s="14" t="s">
        <v>8</v>
      </c>
      <c r="L126" s="10">
        <f t="shared" ca="1" si="5"/>
        <v>229.08736842105247</v>
      </c>
      <c r="N126" s="2">
        <v>42916</v>
      </c>
      <c r="O126" s="1"/>
      <c r="P126" s="14"/>
      <c r="Q126" s="10"/>
      <c r="R126" s="1"/>
      <c r="S126" s="14" t="s">
        <v>8</v>
      </c>
      <c r="T126" s="10">
        <v>229.0874</v>
      </c>
    </row>
    <row r="127" spans="1:20" x14ac:dyDescent="0.35">
      <c r="A127" s="4">
        <v>125</v>
      </c>
      <c r="B127" s="2">
        <v>42919</v>
      </c>
      <c r="C127" s="1">
        <v>231.59</v>
      </c>
      <c r="D127" s="1">
        <v>232.06</v>
      </c>
      <c r="E127" s="1">
        <v>230.95</v>
      </c>
      <c r="F127" s="1">
        <v>230.95</v>
      </c>
      <c r="G127" s="1" t="str">
        <f>IF(testdata[[#This Row],[high]]&gt;MAX(D123:D126,D128:D131),testdata[[#This Row],[high]],"")</f>
        <v/>
      </c>
      <c r="H127" s="14"/>
      <c r="I127" s="10"/>
      <c r="J127" s="1" t="str">
        <f>IF(testdata[[#This Row],[low]]&lt;MIN(E123:E126,E128:E131),testdata[[#This Row],[low]],"")</f>
        <v/>
      </c>
      <c r="K127" s="14" t="s">
        <v>8</v>
      </c>
      <c r="L127" s="10">
        <f t="shared" ca="1" si="5"/>
        <v>229.37473684210497</v>
      </c>
      <c r="N127" s="2">
        <v>42919</v>
      </c>
      <c r="O127" s="1"/>
      <c r="P127" s="14"/>
      <c r="Q127" s="10"/>
      <c r="R127" s="1"/>
      <c r="S127" s="14" t="s">
        <v>8</v>
      </c>
      <c r="T127" s="10">
        <v>229.37469999999999</v>
      </c>
    </row>
    <row r="128" spans="1:20" x14ac:dyDescent="0.35">
      <c r="A128" s="4">
        <v>126</v>
      </c>
      <c r="B128" s="2">
        <v>42921</v>
      </c>
      <c r="C128" s="1">
        <v>231.35</v>
      </c>
      <c r="D128" s="1">
        <v>231.71</v>
      </c>
      <c r="E128" s="1">
        <v>230.46</v>
      </c>
      <c r="F128" s="1">
        <v>231.48</v>
      </c>
      <c r="G128" s="1" t="str">
        <f>IF(testdata[[#This Row],[high]]&gt;MAX(D124:D127,D129:D132),testdata[[#This Row],[high]],"")</f>
        <v/>
      </c>
      <c r="H128" s="14"/>
      <c r="I128" s="10"/>
      <c r="J128" s="1" t="str">
        <f>IF(testdata[[#This Row],[low]]&lt;MIN(E124:E127,E129:E132),testdata[[#This Row],[low]],"")</f>
        <v/>
      </c>
      <c r="K128" s="14" t="s">
        <v>8</v>
      </c>
      <c r="L128" s="10">
        <f t="shared" ca="1" si="5"/>
        <v>229.66210526315746</v>
      </c>
      <c r="N128" s="2">
        <v>42921</v>
      </c>
      <c r="O128" s="1"/>
      <c r="P128" s="14"/>
      <c r="Q128" s="10"/>
      <c r="R128" s="1"/>
      <c r="S128" s="14" t="s">
        <v>8</v>
      </c>
      <c r="T128" s="10">
        <v>229.66210000000001</v>
      </c>
    </row>
    <row r="129" spans="1:20" x14ac:dyDescent="0.35">
      <c r="A129" s="4">
        <v>127</v>
      </c>
      <c r="B129" s="2">
        <v>42922</v>
      </c>
      <c r="C129" s="1">
        <v>230.64</v>
      </c>
      <c r="D129" s="1">
        <v>230.77</v>
      </c>
      <c r="E129" s="1">
        <v>229.16</v>
      </c>
      <c r="F129" s="1">
        <v>229.36</v>
      </c>
      <c r="G129" s="1" t="str">
        <f>IF(testdata[[#This Row],[high]]&gt;MAX(D125:D128,D130:D133),testdata[[#This Row],[high]],"")</f>
        <v/>
      </c>
      <c r="H129" s="14"/>
      <c r="I129" s="10"/>
      <c r="J129" s="1" t="str">
        <f>IF(testdata[[#This Row],[low]]&lt;MIN(E125:E128,E130:E133),testdata[[#This Row],[low]],"")</f>
        <v/>
      </c>
      <c r="K129" s="14" t="s">
        <v>8</v>
      </c>
      <c r="L129" s="10">
        <f t="shared" ca="1" si="5"/>
        <v>229.94947368420998</v>
      </c>
      <c r="N129" s="2">
        <v>42922</v>
      </c>
      <c r="O129" s="1"/>
      <c r="P129" s="14"/>
      <c r="Q129" s="10"/>
      <c r="R129" s="1"/>
      <c r="S129" s="14" t="s">
        <v>8</v>
      </c>
      <c r="T129" s="10">
        <v>229.9495</v>
      </c>
    </row>
    <row r="130" spans="1:20" x14ac:dyDescent="0.35">
      <c r="A130" s="4">
        <v>128</v>
      </c>
      <c r="B130" s="2">
        <v>42923</v>
      </c>
      <c r="C130" s="1">
        <v>229.99</v>
      </c>
      <c r="D130" s="1">
        <v>231.01</v>
      </c>
      <c r="E130" s="1">
        <v>229.38</v>
      </c>
      <c r="F130" s="1">
        <v>230.85</v>
      </c>
      <c r="G130" s="1" t="str">
        <f>IF(testdata[[#This Row],[high]]&gt;MAX(D126:D129,D131:D134),testdata[[#This Row],[high]],"")</f>
        <v/>
      </c>
      <c r="H130" s="14"/>
      <c r="I130" s="10"/>
      <c r="J130" s="1" t="str">
        <f>IF(testdata[[#This Row],[low]]&lt;MIN(E126:E129,E131:E134),testdata[[#This Row],[low]],"")</f>
        <v/>
      </c>
      <c r="K130" s="14" t="s">
        <v>8</v>
      </c>
      <c r="L130" s="10">
        <f t="shared" ca="1" si="5"/>
        <v>230.23684210526253</v>
      </c>
      <c r="N130" s="2">
        <v>42923</v>
      </c>
      <c r="O130" s="1"/>
      <c r="P130" s="14"/>
      <c r="Q130" s="10"/>
      <c r="R130" s="1"/>
      <c r="S130" s="14" t="s">
        <v>8</v>
      </c>
      <c r="T130" s="10">
        <v>230.23679999999999</v>
      </c>
    </row>
    <row r="131" spans="1:20" x14ac:dyDescent="0.35">
      <c r="A131" s="4">
        <v>129</v>
      </c>
      <c r="B131" s="2">
        <v>42926</v>
      </c>
      <c r="C131" s="1">
        <v>230.7</v>
      </c>
      <c r="D131" s="1">
        <v>231.51</v>
      </c>
      <c r="E131" s="1">
        <v>230.52</v>
      </c>
      <c r="F131" s="1">
        <v>231.1</v>
      </c>
      <c r="G131" s="1" t="str">
        <f>IF(testdata[[#This Row],[high]]&gt;MAX(D127:D130,D132:D135),testdata[[#This Row],[high]],"")</f>
        <v/>
      </c>
      <c r="H131" s="14"/>
      <c r="I131" s="10"/>
      <c r="J131" s="1" t="str">
        <f>IF(testdata[[#This Row],[low]]&lt;MIN(E127:E130,E132:E135),testdata[[#This Row],[low]],"")</f>
        <v/>
      </c>
      <c r="K131" s="14" t="s">
        <v>8</v>
      </c>
      <c r="L131" s="10">
        <f t="shared" ca="1" si="5"/>
        <v>230.52421052631507</v>
      </c>
      <c r="N131" s="2">
        <v>42926</v>
      </c>
      <c r="O131" s="1"/>
      <c r="P131" s="14"/>
      <c r="Q131" s="10"/>
      <c r="R131" s="1"/>
      <c r="S131" s="14" t="s">
        <v>8</v>
      </c>
      <c r="T131" s="10">
        <v>230.52420000000001</v>
      </c>
    </row>
    <row r="132" spans="1:20" x14ac:dyDescent="0.35">
      <c r="A132" s="4">
        <v>130</v>
      </c>
      <c r="B132" s="2">
        <v>42927</v>
      </c>
      <c r="C132" s="1">
        <v>230.9</v>
      </c>
      <c r="D132" s="1">
        <v>231.27</v>
      </c>
      <c r="E132" s="1">
        <v>229.65</v>
      </c>
      <c r="F132" s="1">
        <v>230.93</v>
      </c>
      <c r="G132" s="1" t="str">
        <f>IF(testdata[[#This Row],[high]]&gt;MAX(D128:D131,D133:D136),testdata[[#This Row],[high]],"")</f>
        <v/>
      </c>
      <c r="H132" s="14"/>
      <c r="I132" s="10"/>
      <c r="J132" s="1" t="str">
        <f>IF(testdata[[#This Row],[low]]&lt;MIN(E128:E131,E133:E136),testdata[[#This Row],[low]],"")</f>
        <v/>
      </c>
      <c r="K132" s="14" t="s">
        <v>8</v>
      </c>
      <c r="L132" s="10">
        <f t="shared" ca="1" si="5"/>
        <v>230.81157894736765</v>
      </c>
      <c r="N132" s="2">
        <v>42927</v>
      </c>
      <c r="O132" s="1"/>
      <c r="P132" s="14"/>
      <c r="Q132" s="10"/>
      <c r="R132" s="1"/>
      <c r="S132" s="14" t="s">
        <v>8</v>
      </c>
      <c r="T132" s="10">
        <v>230.8116</v>
      </c>
    </row>
    <row r="133" spans="1:20" x14ac:dyDescent="0.35">
      <c r="A133" s="4">
        <v>131</v>
      </c>
      <c r="B133" s="2">
        <v>42928</v>
      </c>
      <c r="C133" s="1">
        <v>231.99</v>
      </c>
      <c r="D133" s="1">
        <v>232.84</v>
      </c>
      <c r="E133" s="1">
        <v>231.99</v>
      </c>
      <c r="F133" s="1">
        <v>232.66</v>
      </c>
      <c r="G133" s="1" t="str">
        <f>IF(testdata[[#This Row],[high]]&gt;MAX(D129:D132,D134:D137),testdata[[#This Row],[high]],"")</f>
        <v/>
      </c>
      <c r="H133" s="14"/>
      <c r="I133" s="10"/>
      <c r="J133" s="1" t="str">
        <f>IF(testdata[[#This Row],[low]]&lt;MIN(E129:E132,E134:E137),testdata[[#This Row],[low]],"")</f>
        <v/>
      </c>
      <c r="K133" s="14" t="s">
        <v>8</v>
      </c>
      <c r="L133" s="10">
        <f t="shared" ca="1" si="5"/>
        <v>231.09894736842026</v>
      </c>
      <c r="N133" s="2">
        <v>42928</v>
      </c>
      <c r="O133" s="1"/>
      <c r="P133" s="14"/>
      <c r="Q133" s="10"/>
      <c r="R133" s="1"/>
      <c r="S133" s="14" t="s">
        <v>8</v>
      </c>
      <c r="T133" s="10">
        <v>231.09889999999999</v>
      </c>
    </row>
    <row r="134" spans="1:20" x14ac:dyDescent="0.35">
      <c r="A134" s="4">
        <v>132</v>
      </c>
      <c r="B134" s="2">
        <v>42929</v>
      </c>
      <c r="C134" s="1">
        <v>232.67</v>
      </c>
      <c r="D134" s="1">
        <v>233.18</v>
      </c>
      <c r="E134" s="1">
        <v>232.42</v>
      </c>
      <c r="F134" s="1">
        <v>233.05</v>
      </c>
      <c r="G134" s="1" t="str">
        <f>IF(testdata[[#This Row],[high]]&gt;MAX(D130:D133,D135:D138),testdata[[#This Row],[high]],"")</f>
        <v/>
      </c>
      <c r="H134" s="14"/>
      <c r="I134" s="10"/>
      <c r="J134" s="1" t="str">
        <f>IF(testdata[[#This Row],[low]]&lt;MIN(E130:E133,E135:E138),testdata[[#This Row],[low]],"")</f>
        <v/>
      </c>
      <c r="K134" s="14" t="s">
        <v>8</v>
      </c>
      <c r="L134" s="10">
        <f t="shared" ca="1" si="5"/>
        <v>231.38631578947286</v>
      </c>
      <c r="N134" s="2">
        <v>42929</v>
      </c>
      <c r="O134" s="1"/>
      <c r="P134" s="14"/>
      <c r="Q134" s="10"/>
      <c r="R134" s="1"/>
      <c r="S134" s="14" t="s">
        <v>8</v>
      </c>
      <c r="T134" s="10">
        <v>231.38630000000001</v>
      </c>
    </row>
    <row r="135" spans="1:20" x14ac:dyDescent="0.35">
      <c r="A135" s="4">
        <v>133</v>
      </c>
      <c r="B135" s="2">
        <v>42930</v>
      </c>
      <c r="C135" s="1">
        <v>233.06</v>
      </c>
      <c r="D135" s="1">
        <v>234.53</v>
      </c>
      <c r="E135" s="1">
        <v>232.95</v>
      </c>
      <c r="F135" s="1">
        <v>234.14</v>
      </c>
      <c r="G135" s="1" t="str">
        <f>IF(testdata[[#This Row],[high]]&gt;MAX(D131:D134,D136:D139),testdata[[#This Row],[high]],"")</f>
        <v/>
      </c>
      <c r="H135" s="14"/>
      <c r="I135" s="10"/>
      <c r="J135" s="1" t="str">
        <f>IF(testdata[[#This Row],[low]]&lt;MIN(E131:E134,E136:E139),testdata[[#This Row],[low]],"")</f>
        <v/>
      </c>
      <c r="K135" s="14" t="s">
        <v>8</v>
      </c>
      <c r="L135" s="10">
        <f t="shared" ca="1" si="5"/>
        <v>231.67368421052549</v>
      </c>
      <c r="N135" s="2">
        <v>42930</v>
      </c>
      <c r="O135" s="1"/>
      <c r="P135" s="14"/>
      <c r="Q135" s="10"/>
      <c r="R135" s="1"/>
      <c r="S135" s="14" t="s">
        <v>8</v>
      </c>
      <c r="T135" s="10">
        <v>231.6737</v>
      </c>
    </row>
    <row r="136" spans="1:20" x14ac:dyDescent="0.35">
      <c r="A136" s="4">
        <v>134</v>
      </c>
      <c r="B136" s="2">
        <v>42933</v>
      </c>
      <c r="C136" s="1">
        <v>234.05</v>
      </c>
      <c r="D136" s="1">
        <v>234.47</v>
      </c>
      <c r="E136" s="1">
        <v>233.92</v>
      </c>
      <c r="F136" s="1">
        <v>234.11</v>
      </c>
      <c r="G136" s="1" t="str">
        <f>IF(testdata[[#This Row],[high]]&gt;MAX(D132:D135,D137:D140),testdata[[#This Row],[high]],"")</f>
        <v/>
      </c>
      <c r="H136" s="14"/>
      <c r="I136" s="10"/>
      <c r="J136" s="1" t="str">
        <f>IF(testdata[[#This Row],[low]]&lt;MIN(E132:E135,E137:E140),testdata[[#This Row],[low]],"")</f>
        <v/>
      </c>
      <c r="K136" s="14" t="s">
        <v>8</v>
      </c>
      <c r="L136" s="10">
        <f t="shared" ca="1" si="5"/>
        <v>231.96105263157816</v>
      </c>
      <c r="N136" s="2">
        <v>42933</v>
      </c>
      <c r="O136" s="1"/>
      <c r="P136" s="14"/>
      <c r="Q136" s="10"/>
      <c r="R136" s="1"/>
      <c r="S136" s="14" t="s">
        <v>8</v>
      </c>
      <c r="T136" s="10">
        <v>231.96109999999999</v>
      </c>
    </row>
    <row r="137" spans="1:20" x14ac:dyDescent="0.35">
      <c r="A137" s="4">
        <v>135</v>
      </c>
      <c r="B137" s="2">
        <v>42934</v>
      </c>
      <c r="C137" s="1">
        <v>233.66</v>
      </c>
      <c r="D137" s="1">
        <v>234.29</v>
      </c>
      <c r="E137" s="1">
        <v>233.29</v>
      </c>
      <c r="F137" s="1">
        <v>234.24</v>
      </c>
      <c r="G137" s="1" t="str">
        <f>IF(testdata[[#This Row],[high]]&gt;MAX(D133:D136,D138:D141),testdata[[#This Row],[high]],"")</f>
        <v/>
      </c>
      <c r="H137" s="14"/>
      <c r="I137" s="10"/>
      <c r="J137" s="1" t="str">
        <f>IF(testdata[[#This Row],[low]]&lt;MIN(E133:E136,E138:E141),testdata[[#This Row],[low]],"")</f>
        <v/>
      </c>
      <c r="K137" s="14" t="s">
        <v>8</v>
      </c>
      <c r="L137" s="10">
        <f t="shared" ca="1" si="5"/>
        <v>232.24842105263082</v>
      </c>
      <c r="N137" s="2">
        <v>42934</v>
      </c>
      <c r="O137" s="1"/>
      <c r="P137" s="14"/>
      <c r="Q137" s="10"/>
      <c r="R137" s="1"/>
      <c r="S137" s="14" t="s">
        <v>8</v>
      </c>
      <c r="T137" s="10">
        <v>232.2484</v>
      </c>
    </row>
    <row r="138" spans="1:20" x14ac:dyDescent="0.35">
      <c r="A138" s="4">
        <v>136</v>
      </c>
      <c r="B138" s="2">
        <v>42935</v>
      </c>
      <c r="C138" s="1">
        <v>234.58</v>
      </c>
      <c r="D138" s="1">
        <v>235.51</v>
      </c>
      <c r="E138" s="1">
        <v>234.57</v>
      </c>
      <c r="F138" s="1">
        <v>235.5</v>
      </c>
      <c r="G138" s="1" t="str">
        <f>IF(testdata[[#This Row],[high]]&gt;MAX(D134:D137,D139:D142),testdata[[#This Row],[high]],"")</f>
        <v/>
      </c>
      <c r="H138" s="14"/>
      <c r="I138" s="10"/>
      <c r="J138" s="1" t="str">
        <f>IF(testdata[[#This Row],[low]]&lt;MIN(E134:E137,E139:E142),testdata[[#This Row],[low]],"")</f>
        <v/>
      </c>
      <c r="K138" s="14" t="s">
        <v>8</v>
      </c>
      <c r="L138" s="10">
        <f t="shared" ca="1" si="5"/>
        <v>232.53578947368351</v>
      </c>
      <c r="N138" s="2">
        <v>42935</v>
      </c>
      <c r="O138" s="1"/>
      <c r="P138" s="14"/>
      <c r="Q138" s="10"/>
      <c r="R138" s="1"/>
      <c r="S138" s="14" t="s">
        <v>8</v>
      </c>
      <c r="T138" s="10">
        <v>232.53579999999999</v>
      </c>
    </row>
    <row r="139" spans="1:20" x14ac:dyDescent="0.35">
      <c r="A139" s="4">
        <v>137</v>
      </c>
      <c r="B139" s="2">
        <v>42936</v>
      </c>
      <c r="C139" s="1">
        <v>235.78</v>
      </c>
      <c r="D139" s="1">
        <v>235.91</v>
      </c>
      <c r="E139" s="1">
        <v>235.01</v>
      </c>
      <c r="F139" s="1">
        <v>235.61</v>
      </c>
      <c r="G139" s="1" t="str">
        <f>IF(testdata[[#This Row],[high]]&gt;MAX(D135:D138,D140:D143),testdata[[#This Row],[high]],"")</f>
        <v/>
      </c>
      <c r="H139" s="14"/>
      <c r="I139" s="10"/>
      <c r="J139" s="1" t="str">
        <f>IF(testdata[[#This Row],[low]]&lt;MIN(E135:E138,E140:E143),testdata[[#This Row],[low]],"")</f>
        <v/>
      </c>
      <c r="K139" s="14" t="s">
        <v>8</v>
      </c>
      <c r="L139" s="10">
        <f t="shared" ca="1" si="5"/>
        <v>232.82315789473623</v>
      </c>
      <c r="N139" s="2">
        <v>42936</v>
      </c>
      <c r="O139" s="1"/>
      <c r="P139" s="14"/>
      <c r="Q139" s="10"/>
      <c r="R139" s="1"/>
      <c r="S139" s="14" t="s">
        <v>8</v>
      </c>
      <c r="T139" s="10">
        <v>232.82320000000001</v>
      </c>
    </row>
    <row r="140" spans="1:20" x14ac:dyDescent="0.35">
      <c r="A140" s="4">
        <v>138</v>
      </c>
      <c r="B140" s="2">
        <v>42937</v>
      </c>
      <c r="C140" s="1">
        <v>234.98</v>
      </c>
      <c r="D140" s="1">
        <v>235.43</v>
      </c>
      <c r="E140" s="1">
        <v>234.73</v>
      </c>
      <c r="F140" s="1">
        <v>235.4</v>
      </c>
      <c r="G140" s="1" t="str">
        <f>IF(testdata[[#This Row],[high]]&gt;MAX(D136:D139,D141:D144),testdata[[#This Row],[high]],"")</f>
        <v/>
      </c>
      <c r="H140" s="14"/>
      <c r="I140" s="10"/>
      <c r="J140" s="1" t="str">
        <f>IF(testdata[[#This Row],[low]]&lt;MIN(E136:E139,E141:E144),testdata[[#This Row],[low]],"")</f>
        <v/>
      </c>
      <c r="K140" s="14" t="s">
        <v>8</v>
      </c>
      <c r="L140" s="10">
        <f t="shared" ca="1" si="5"/>
        <v>233.11052631578895</v>
      </c>
      <c r="N140" s="2">
        <v>42937</v>
      </c>
      <c r="O140" s="1"/>
      <c r="P140" s="14"/>
      <c r="Q140" s="10"/>
      <c r="R140" s="1"/>
      <c r="S140" s="14" t="s">
        <v>8</v>
      </c>
      <c r="T140" s="10">
        <v>233.1105</v>
      </c>
    </row>
    <row r="141" spans="1:20" x14ac:dyDescent="0.35">
      <c r="A141" s="4">
        <v>139</v>
      </c>
      <c r="B141" s="2">
        <v>42940</v>
      </c>
      <c r="C141" s="1">
        <v>235.31</v>
      </c>
      <c r="D141" s="1">
        <v>235.49</v>
      </c>
      <c r="E141" s="1">
        <v>234.83</v>
      </c>
      <c r="F141" s="1">
        <v>235.34</v>
      </c>
      <c r="G141" s="1" t="str">
        <f>IF(testdata[[#This Row],[high]]&gt;MAX(D137:D140,D142:D145),testdata[[#This Row],[high]],"")</f>
        <v/>
      </c>
      <c r="H141" s="14"/>
      <c r="I141" s="10"/>
      <c r="J141" s="1" t="str">
        <f>IF(testdata[[#This Row],[low]]&lt;MIN(E137:E140,E142:E145),testdata[[#This Row],[low]],"")</f>
        <v/>
      </c>
      <c r="K141" s="14" t="s">
        <v>8</v>
      </c>
      <c r="L141" s="10">
        <f t="shared" ca="1" si="5"/>
        <v>233.39789473684169</v>
      </c>
      <c r="N141" s="2">
        <v>42940</v>
      </c>
      <c r="O141" s="1"/>
      <c r="P141" s="14"/>
      <c r="Q141" s="10"/>
      <c r="R141" s="1"/>
      <c r="S141" s="14" t="s">
        <v>8</v>
      </c>
      <c r="T141" s="10">
        <v>233.39789999999999</v>
      </c>
    </row>
    <row r="142" spans="1:20" x14ac:dyDescent="0.35">
      <c r="A142" s="4">
        <v>140</v>
      </c>
      <c r="B142" s="2">
        <v>42941</v>
      </c>
      <c r="C142" s="1">
        <v>236.16</v>
      </c>
      <c r="D142" s="1">
        <v>236.28</v>
      </c>
      <c r="E142" s="1">
        <v>235.67</v>
      </c>
      <c r="F142" s="1">
        <v>235.91</v>
      </c>
      <c r="G142" s="1" t="str">
        <f>IF(testdata[[#This Row],[high]]&gt;MAX(D138:D141,D143:D146),testdata[[#This Row],[high]],"")</f>
        <v/>
      </c>
      <c r="H142" s="14"/>
      <c r="I142" s="10"/>
      <c r="J142" s="1" t="str">
        <f>IF(testdata[[#This Row],[low]]&lt;MIN(E138:E141,E143:E146),testdata[[#This Row],[low]],"")</f>
        <v/>
      </c>
      <c r="K142" s="14" t="s">
        <v>8</v>
      </c>
      <c r="L142" s="10">
        <f t="shared" ca="1" si="5"/>
        <v>233.68526315789444</v>
      </c>
      <c r="N142" s="2">
        <v>42941</v>
      </c>
      <c r="O142" s="1"/>
      <c r="P142" s="14"/>
      <c r="Q142" s="10"/>
      <c r="R142" s="1"/>
      <c r="S142" s="14" t="s">
        <v>8</v>
      </c>
      <c r="T142" s="10">
        <v>233.68530000000001</v>
      </c>
    </row>
    <row r="143" spans="1:20" x14ac:dyDescent="0.35">
      <c r="A143" s="4">
        <v>141</v>
      </c>
      <c r="B143" s="2">
        <v>42942</v>
      </c>
      <c r="C143" s="1">
        <v>236.23</v>
      </c>
      <c r="D143" s="1">
        <v>236.27</v>
      </c>
      <c r="E143" s="1">
        <v>235.64</v>
      </c>
      <c r="F143" s="1">
        <v>235.92</v>
      </c>
      <c r="G143" s="1" t="str">
        <f>IF(testdata[[#This Row],[high]]&gt;MAX(D139:D142,D144:D147),testdata[[#This Row],[high]],"")</f>
        <v/>
      </c>
      <c r="H143" s="14"/>
      <c r="I143" s="10"/>
      <c r="J143" s="1" t="str">
        <f>IF(testdata[[#This Row],[low]]&lt;MIN(E139:E142,E144:E147),testdata[[#This Row],[low]],"")</f>
        <v/>
      </c>
      <c r="K143" s="14" t="s">
        <v>8</v>
      </c>
      <c r="L143" s="10">
        <f t="shared" ca="1" si="5"/>
        <v>233.97263157894722</v>
      </c>
      <c r="N143" s="2">
        <v>42942</v>
      </c>
      <c r="O143" s="1"/>
      <c r="P143" s="14"/>
      <c r="Q143" s="10"/>
      <c r="R143" s="1"/>
      <c r="S143" s="14" t="s">
        <v>8</v>
      </c>
      <c r="T143" s="10">
        <v>233.9726</v>
      </c>
    </row>
    <row r="144" spans="1:20" x14ac:dyDescent="0.35">
      <c r="A144" s="4">
        <v>142</v>
      </c>
      <c r="B144" s="2">
        <v>42943</v>
      </c>
      <c r="C144" s="1">
        <v>236.43</v>
      </c>
      <c r="D144" s="1">
        <v>236.47</v>
      </c>
      <c r="E144" s="1">
        <v>234.26</v>
      </c>
      <c r="F144" s="1">
        <v>235.7</v>
      </c>
      <c r="G144" s="1">
        <f>IF(testdata[[#This Row],[high]]&gt;MAX(D140:D143,D145:D148),testdata[[#This Row],[high]],"")</f>
        <v>236.47</v>
      </c>
      <c r="H144" s="14"/>
      <c r="I144" s="9">
        <f>testdata[[#This Row],[Hpoint]]</f>
        <v>236.47</v>
      </c>
      <c r="J144" s="1">
        <f>IF(testdata[[#This Row],[low]]&lt;MIN(E140:E143,E145:E148),testdata[[#This Row],[low]],"")</f>
        <v>234.26</v>
      </c>
      <c r="K144" s="14" t="s">
        <v>8</v>
      </c>
      <c r="L144" s="9">
        <f>testdata[[#This Row],[Lpoint]]</f>
        <v>234.26</v>
      </c>
      <c r="N144" s="2">
        <v>42943</v>
      </c>
      <c r="O144" s="1">
        <v>236.47</v>
      </c>
      <c r="P144" s="14"/>
      <c r="Q144" s="9">
        <v>236.47</v>
      </c>
      <c r="R144" s="1">
        <v>234.26</v>
      </c>
      <c r="S144" s="14" t="s">
        <v>8</v>
      </c>
      <c r="T144" s="9">
        <v>234.26</v>
      </c>
    </row>
    <row r="145" spans="1:20" x14ac:dyDescent="0.35">
      <c r="A145" s="4">
        <v>143</v>
      </c>
      <c r="B145" s="2">
        <v>42944</v>
      </c>
      <c r="C145" s="1">
        <v>235.18</v>
      </c>
      <c r="D145" s="1">
        <v>235.57</v>
      </c>
      <c r="E145" s="1">
        <v>234.68</v>
      </c>
      <c r="F145" s="1">
        <v>235.43</v>
      </c>
      <c r="G145" s="1" t="str">
        <f>IF(testdata[[#This Row],[high]]&gt;MAX(D141:D144,D146:D149),testdata[[#This Row],[high]],"")</f>
        <v/>
      </c>
      <c r="H145" s="14" t="s">
        <v>7</v>
      </c>
      <c r="I145" s="10">
        <f t="shared" ca="1" si="6"/>
        <v>236.57749999999993</v>
      </c>
      <c r="J145" s="1" t="str">
        <f>IF(testdata[[#This Row],[low]]&lt;MIN(E141:E144,E146:E149),testdata[[#This Row],[low]],"")</f>
        <v/>
      </c>
      <c r="K145" s="14" t="s">
        <v>13</v>
      </c>
      <c r="L145" s="10">
        <f t="shared" ca="1" si="5"/>
        <v>234.07099999999991</v>
      </c>
      <c r="N145" s="2">
        <v>42944</v>
      </c>
      <c r="O145" s="1"/>
      <c r="P145" s="14" t="s">
        <v>7</v>
      </c>
      <c r="Q145" s="10">
        <v>236.57749999999999</v>
      </c>
      <c r="R145" s="1"/>
      <c r="S145" s="14" t="s">
        <v>13</v>
      </c>
      <c r="T145" s="10">
        <v>234.071</v>
      </c>
    </row>
    <row r="146" spans="1:20" x14ac:dyDescent="0.35">
      <c r="A146" s="4">
        <v>144</v>
      </c>
      <c r="B146" s="2">
        <v>42947</v>
      </c>
      <c r="C146" s="1">
        <v>235.87</v>
      </c>
      <c r="D146" s="1">
        <v>235.97</v>
      </c>
      <c r="E146" s="1">
        <v>235.07</v>
      </c>
      <c r="F146" s="1">
        <v>235.29</v>
      </c>
      <c r="G146" s="1" t="str">
        <f>IF(testdata[[#This Row],[high]]&gt;MAX(D142:D145,D147:D150),testdata[[#This Row],[high]],"")</f>
        <v/>
      </c>
      <c r="H146" s="14" t="s">
        <v>7</v>
      </c>
      <c r="I146" s="10">
        <f t="shared" ca="1" si="6"/>
        <v>236.68499999999989</v>
      </c>
      <c r="J146" s="1" t="str">
        <f>IF(testdata[[#This Row],[low]]&lt;MIN(E142:E145,E147:E150),testdata[[#This Row],[low]],"")</f>
        <v/>
      </c>
      <c r="K146" s="14" t="s">
        <v>13</v>
      </c>
      <c r="L146" s="10">
        <f t="shared" ca="1" si="5"/>
        <v>233.88199999999986</v>
      </c>
      <c r="N146" s="2">
        <v>42947</v>
      </c>
      <c r="O146" s="1"/>
      <c r="P146" s="14" t="s">
        <v>7</v>
      </c>
      <c r="Q146" s="10">
        <v>236.685</v>
      </c>
      <c r="R146" s="1"/>
      <c r="S146" s="14" t="s">
        <v>13</v>
      </c>
      <c r="T146" s="10">
        <v>233.88200000000001</v>
      </c>
    </row>
    <row r="147" spans="1:20" x14ac:dyDescent="0.35">
      <c r="A147" s="4">
        <v>145</v>
      </c>
      <c r="B147" s="2">
        <v>42948</v>
      </c>
      <c r="C147" s="1">
        <v>235.95</v>
      </c>
      <c r="D147" s="1">
        <v>235.99</v>
      </c>
      <c r="E147" s="1">
        <v>235.24</v>
      </c>
      <c r="F147" s="1">
        <v>235.82</v>
      </c>
      <c r="G147" s="1" t="str">
        <f>IF(testdata[[#This Row],[high]]&gt;MAX(D143:D146,D148:D151),testdata[[#This Row],[high]],"")</f>
        <v/>
      </c>
      <c r="H147" s="14" t="s">
        <v>7</v>
      </c>
      <c r="I147" s="10">
        <f t="shared" ca="1" si="6"/>
        <v>236.79249999999988</v>
      </c>
      <c r="J147" s="1" t="str">
        <f>IF(testdata[[#This Row],[low]]&lt;MIN(E143:E146,E148:E151),testdata[[#This Row],[low]],"")</f>
        <v/>
      </c>
      <c r="K147" s="14" t="s">
        <v>13</v>
      </c>
      <c r="L147" s="10">
        <f t="shared" ca="1" si="5"/>
        <v>233.69299999999981</v>
      </c>
      <c r="N147" s="2">
        <v>42948</v>
      </c>
      <c r="O147" s="1"/>
      <c r="P147" s="14" t="s">
        <v>7</v>
      </c>
      <c r="Q147" s="10">
        <v>236.79249999999999</v>
      </c>
      <c r="R147" s="1"/>
      <c r="S147" s="14" t="s">
        <v>13</v>
      </c>
      <c r="T147" s="10">
        <v>233.69300000000001</v>
      </c>
    </row>
    <row r="148" spans="1:20" x14ac:dyDescent="0.35">
      <c r="A148" s="4">
        <v>146</v>
      </c>
      <c r="B148" s="2">
        <v>42949</v>
      </c>
      <c r="C148" s="1">
        <v>235.96</v>
      </c>
      <c r="D148" s="1">
        <v>236.09</v>
      </c>
      <c r="E148" s="1">
        <v>234.91</v>
      </c>
      <c r="F148" s="1">
        <v>235.93</v>
      </c>
      <c r="G148" s="1" t="str">
        <f>IF(testdata[[#This Row],[high]]&gt;MAX(D144:D147,D149:D152),testdata[[#This Row],[high]],"")</f>
        <v/>
      </c>
      <c r="H148" s="14" t="s">
        <v>7</v>
      </c>
      <c r="I148" s="10">
        <f t="shared" ca="1" si="6"/>
        <v>236.89999999999986</v>
      </c>
      <c r="J148" s="1" t="str">
        <f>IF(testdata[[#This Row],[low]]&lt;MIN(E144:E147,E149:E152),testdata[[#This Row],[low]],"")</f>
        <v/>
      </c>
      <c r="K148" s="14" t="s">
        <v>13</v>
      </c>
      <c r="L148" s="10">
        <f t="shared" ca="1" si="5"/>
        <v>233.50399999999979</v>
      </c>
      <c r="N148" s="2">
        <v>42949</v>
      </c>
      <c r="O148" s="1"/>
      <c r="P148" s="14" t="s">
        <v>7</v>
      </c>
      <c r="Q148" s="10">
        <v>236.9</v>
      </c>
      <c r="R148" s="1"/>
      <c r="S148" s="14" t="s">
        <v>13</v>
      </c>
      <c r="T148" s="10">
        <v>233.50399999999999</v>
      </c>
    </row>
    <row r="149" spans="1:20" x14ac:dyDescent="0.35">
      <c r="A149" s="4">
        <v>147</v>
      </c>
      <c r="B149" s="2">
        <v>42950</v>
      </c>
      <c r="C149" s="1">
        <v>235.81</v>
      </c>
      <c r="D149" s="1">
        <v>235.84</v>
      </c>
      <c r="E149" s="1">
        <v>235.17</v>
      </c>
      <c r="F149" s="1">
        <v>235.48</v>
      </c>
      <c r="G149" s="1" t="str">
        <f>IF(testdata[[#This Row],[high]]&gt;MAX(D145:D148,D150:D153),testdata[[#This Row],[high]],"")</f>
        <v/>
      </c>
      <c r="H149" s="14" t="s">
        <v>7</v>
      </c>
      <c r="I149" s="10">
        <f t="shared" ca="1" si="6"/>
        <v>237.00749999999988</v>
      </c>
      <c r="J149" s="1" t="str">
        <f>IF(testdata[[#This Row],[low]]&lt;MIN(E145:E148,E150:E153),testdata[[#This Row],[low]],"")</f>
        <v/>
      </c>
      <c r="K149" s="14" t="s">
        <v>13</v>
      </c>
      <c r="L149" s="10">
        <f t="shared" ca="1" si="5"/>
        <v>233.3149999999998</v>
      </c>
      <c r="N149" s="2">
        <v>42950</v>
      </c>
      <c r="O149" s="1"/>
      <c r="P149" s="14" t="s">
        <v>7</v>
      </c>
      <c r="Q149" s="10">
        <v>237.00749999999999</v>
      </c>
      <c r="R149" s="1"/>
      <c r="S149" s="14" t="s">
        <v>13</v>
      </c>
      <c r="T149" s="10">
        <v>233.315</v>
      </c>
    </row>
    <row r="150" spans="1:20" x14ac:dyDescent="0.35">
      <c r="A150" s="4">
        <v>148</v>
      </c>
      <c r="B150" s="2">
        <v>42951</v>
      </c>
      <c r="C150" s="1">
        <v>236.01</v>
      </c>
      <c r="D150" s="1">
        <v>236.27</v>
      </c>
      <c r="E150" s="1">
        <v>235.49</v>
      </c>
      <c r="F150" s="1">
        <v>235.9</v>
      </c>
      <c r="G150" s="1" t="str">
        <f>IF(testdata[[#This Row],[high]]&gt;MAX(D146:D149,D151:D154),testdata[[#This Row],[high]],"")</f>
        <v/>
      </c>
      <c r="H150" s="14" t="s">
        <v>7</v>
      </c>
      <c r="I150" s="10">
        <f t="shared" ca="1" si="6"/>
        <v>237.11499999999992</v>
      </c>
      <c r="J150" s="1" t="str">
        <f>IF(testdata[[#This Row],[low]]&lt;MIN(E146:E149,E151:E154),testdata[[#This Row],[low]],"")</f>
        <v/>
      </c>
      <c r="K150" s="14" t="s">
        <v>13</v>
      </c>
      <c r="L150" s="10">
        <f t="shared" ca="1" si="5"/>
        <v>233.12599999999981</v>
      </c>
      <c r="N150" s="2">
        <v>42951</v>
      </c>
      <c r="O150" s="1"/>
      <c r="P150" s="14" t="s">
        <v>7</v>
      </c>
      <c r="Q150" s="10">
        <v>237.11500000000001</v>
      </c>
      <c r="R150" s="1"/>
      <c r="S150" s="14" t="s">
        <v>13</v>
      </c>
      <c r="T150" s="10">
        <v>233.126</v>
      </c>
    </row>
    <row r="151" spans="1:20" x14ac:dyDescent="0.35">
      <c r="A151" s="4">
        <v>149</v>
      </c>
      <c r="B151" s="2">
        <v>42954</v>
      </c>
      <c r="C151" s="1">
        <v>235.98</v>
      </c>
      <c r="D151" s="1">
        <v>236.34</v>
      </c>
      <c r="E151" s="1">
        <v>235.87</v>
      </c>
      <c r="F151" s="1">
        <v>236.34</v>
      </c>
      <c r="G151" s="1" t="str">
        <f>IF(testdata[[#This Row],[high]]&gt;MAX(D147:D150,D152:D155),testdata[[#This Row],[high]],"")</f>
        <v/>
      </c>
      <c r="H151" s="14" t="s">
        <v>7</v>
      </c>
      <c r="I151" s="10">
        <f t="shared" ca="1" si="6"/>
        <v>237.22249999999997</v>
      </c>
      <c r="J151" s="1" t="str">
        <f>IF(testdata[[#This Row],[low]]&lt;MIN(E147:E150,E152:E155),testdata[[#This Row],[low]],"")</f>
        <v/>
      </c>
      <c r="K151" s="14" t="s">
        <v>13</v>
      </c>
      <c r="L151" s="10">
        <f t="shared" ca="1" si="5"/>
        <v>232.93699999999984</v>
      </c>
      <c r="N151" s="2">
        <v>42954</v>
      </c>
      <c r="O151" s="1"/>
      <c r="P151" s="14" t="s">
        <v>7</v>
      </c>
      <c r="Q151" s="10">
        <v>237.2225</v>
      </c>
      <c r="R151" s="1"/>
      <c r="S151" s="14" t="s">
        <v>13</v>
      </c>
      <c r="T151" s="10">
        <v>232.93700000000001</v>
      </c>
    </row>
    <row r="152" spans="1:20" x14ac:dyDescent="0.35">
      <c r="A152" s="4">
        <v>150</v>
      </c>
      <c r="B152" s="2">
        <v>42955</v>
      </c>
      <c r="C152" s="1">
        <v>236</v>
      </c>
      <c r="D152" s="1">
        <v>237.33</v>
      </c>
      <c r="E152" s="1">
        <v>235.35</v>
      </c>
      <c r="F152" s="1">
        <v>235.76</v>
      </c>
      <c r="G152" s="1">
        <f>IF(testdata[[#This Row],[high]]&gt;MAX(D148:D151,D153:D156),testdata[[#This Row],[high]],"")</f>
        <v>237.33</v>
      </c>
      <c r="H152" s="14" t="s">
        <v>7</v>
      </c>
      <c r="I152" s="9">
        <f>testdata[[#This Row],[Hpoint]]</f>
        <v>237.33</v>
      </c>
      <c r="J152" s="1" t="str">
        <f>IF(testdata[[#This Row],[low]]&lt;MIN(E148:E151,E153:E156),testdata[[#This Row],[low]],"")</f>
        <v/>
      </c>
      <c r="K152" s="14" t="s">
        <v>13</v>
      </c>
      <c r="L152" s="10">
        <f t="shared" ca="1" si="5"/>
        <v>232.74799999999988</v>
      </c>
      <c r="N152" s="2">
        <v>42955</v>
      </c>
      <c r="O152" s="1">
        <v>237.33</v>
      </c>
      <c r="P152" s="14" t="s">
        <v>7</v>
      </c>
      <c r="Q152" s="9">
        <v>237.33</v>
      </c>
      <c r="R152" s="1"/>
      <c r="S152" s="14" t="s">
        <v>13</v>
      </c>
      <c r="T152" s="10">
        <v>232.74799999999999</v>
      </c>
    </row>
    <row r="153" spans="1:20" x14ac:dyDescent="0.35">
      <c r="A153" s="4">
        <v>151</v>
      </c>
      <c r="B153" s="2">
        <v>42956</v>
      </c>
      <c r="C153" s="1">
        <v>235.01</v>
      </c>
      <c r="D153" s="1">
        <v>235.81</v>
      </c>
      <c r="E153" s="1">
        <v>234.62</v>
      </c>
      <c r="F153" s="1">
        <v>235.75</v>
      </c>
      <c r="G153" s="1" t="str">
        <f>IF(testdata[[#This Row],[high]]&gt;MAX(D149:D152,D154:D157),testdata[[#This Row],[high]],"")</f>
        <v/>
      </c>
      <c r="H153" s="14" t="s">
        <v>6</v>
      </c>
      <c r="I153" s="10">
        <f t="shared" ca="1" si="6"/>
        <v>237.11833333333334</v>
      </c>
      <c r="J153" s="1" t="str">
        <f>IF(testdata[[#This Row],[low]]&lt;MIN(E149:E152,E154:E157),testdata[[#This Row],[low]],"")</f>
        <v/>
      </c>
      <c r="K153" s="14" t="s">
        <v>13</v>
      </c>
      <c r="L153" s="10">
        <f t="shared" ca="1" si="5"/>
        <v>232.55899999999994</v>
      </c>
      <c r="N153" s="2">
        <v>42956</v>
      </c>
      <c r="O153" s="1"/>
      <c r="P153" s="14" t="s">
        <v>6</v>
      </c>
      <c r="Q153" s="10">
        <v>237.1183</v>
      </c>
      <c r="R153" s="1"/>
      <c r="S153" s="14" t="s">
        <v>13</v>
      </c>
      <c r="T153" s="10">
        <v>232.559</v>
      </c>
    </row>
    <row r="154" spans="1:20" x14ac:dyDescent="0.35">
      <c r="A154" s="4">
        <v>152</v>
      </c>
      <c r="B154" s="2">
        <v>42957</v>
      </c>
      <c r="C154" s="1">
        <v>234.84</v>
      </c>
      <c r="D154" s="1">
        <v>234.98</v>
      </c>
      <c r="E154" s="1">
        <v>232.37</v>
      </c>
      <c r="F154" s="1">
        <v>232.42</v>
      </c>
      <c r="G154" s="1" t="str">
        <f>IF(testdata[[#This Row],[high]]&gt;MAX(D150:D153,D155:D158),testdata[[#This Row],[high]],"")</f>
        <v/>
      </c>
      <c r="H154" s="14" t="s">
        <v>6</v>
      </c>
      <c r="I154" s="10">
        <f t="shared" ca="1" si="6"/>
        <v>236.90666666666664</v>
      </c>
      <c r="J154" s="1">
        <f>IF(testdata[[#This Row],[low]]&lt;MIN(E150:E153,E155:E158),testdata[[#This Row],[low]],"")</f>
        <v>232.37</v>
      </c>
      <c r="K154" s="14" t="s">
        <v>13</v>
      </c>
      <c r="L154" s="9">
        <f>testdata[[#This Row],[Lpoint]]</f>
        <v>232.37</v>
      </c>
      <c r="N154" s="2">
        <v>42957</v>
      </c>
      <c r="O154" s="1"/>
      <c r="P154" s="14" t="s">
        <v>6</v>
      </c>
      <c r="Q154" s="10">
        <v>236.9067</v>
      </c>
      <c r="R154" s="1">
        <v>232.37</v>
      </c>
      <c r="S154" s="14" t="s">
        <v>13</v>
      </c>
      <c r="T154" s="9">
        <v>232.37</v>
      </c>
    </row>
    <row r="155" spans="1:20" x14ac:dyDescent="0.35">
      <c r="A155" s="4">
        <v>153</v>
      </c>
      <c r="B155" s="2">
        <v>42958</v>
      </c>
      <c r="C155" s="1">
        <v>232.67</v>
      </c>
      <c r="D155" s="1">
        <v>233.42</v>
      </c>
      <c r="E155" s="1">
        <v>232.41</v>
      </c>
      <c r="F155" s="1">
        <v>232.77</v>
      </c>
      <c r="G155" s="1" t="str">
        <f>IF(testdata[[#This Row],[high]]&gt;MAX(D151:D154,D156:D159),testdata[[#This Row],[high]],"")</f>
        <v/>
      </c>
      <c r="H155" s="14" t="s">
        <v>6</v>
      </c>
      <c r="I155" s="10">
        <f t="shared" ca="1" si="6"/>
        <v>236.69499999999996</v>
      </c>
      <c r="J155" s="1" t="str">
        <f>IF(testdata[[#This Row],[low]]&lt;MIN(E151:E154,E156:E159),testdata[[#This Row],[low]],"")</f>
        <v/>
      </c>
      <c r="K155" s="14" t="s">
        <v>13</v>
      </c>
      <c r="L155" s="10">
        <f t="shared" ca="1" si="5"/>
        <v>232.11428571428567</v>
      </c>
      <c r="N155" s="2">
        <v>42958</v>
      </c>
      <c r="O155" s="1"/>
      <c r="P155" s="14" t="s">
        <v>6</v>
      </c>
      <c r="Q155" s="10">
        <v>236.69499999999999</v>
      </c>
      <c r="R155" s="1"/>
      <c r="S155" s="14" t="s">
        <v>13</v>
      </c>
      <c r="T155" s="10">
        <v>232.11429999999999</v>
      </c>
    </row>
    <row r="156" spans="1:20" x14ac:dyDescent="0.35">
      <c r="A156" s="4">
        <v>154</v>
      </c>
      <c r="B156" s="2">
        <v>42961</v>
      </c>
      <c r="C156" s="1">
        <v>234.17</v>
      </c>
      <c r="D156" s="1">
        <v>235.31</v>
      </c>
      <c r="E156" s="1">
        <v>234.13</v>
      </c>
      <c r="F156" s="1">
        <v>235.07</v>
      </c>
      <c r="G156" s="1" t="str">
        <f>IF(testdata[[#This Row],[high]]&gt;MAX(D152:D155,D157:D160),testdata[[#This Row],[high]],"")</f>
        <v/>
      </c>
      <c r="H156" s="14" t="s">
        <v>6</v>
      </c>
      <c r="I156" s="10">
        <f t="shared" ca="1" si="6"/>
        <v>236.48333333333329</v>
      </c>
      <c r="J156" s="1" t="str">
        <f>IF(testdata[[#This Row],[low]]&lt;MIN(E152:E155,E157:E160),testdata[[#This Row],[low]],"")</f>
        <v/>
      </c>
      <c r="K156" s="14" t="s">
        <v>13</v>
      </c>
      <c r="L156" s="10">
        <f t="shared" ca="1" si="5"/>
        <v>231.85857142857134</v>
      </c>
      <c r="N156" s="2">
        <v>42961</v>
      </c>
      <c r="O156" s="1"/>
      <c r="P156" s="14" t="s">
        <v>6</v>
      </c>
      <c r="Q156" s="10">
        <v>236.48330000000001</v>
      </c>
      <c r="R156" s="1"/>
      <c r="S156" s="14" t="s">
        <v>13</v>
      </c>
      <c r="T156" s="10">
        <v>231.8586</v>
      </c>
    </row>
    <row r="157" spans="1:20" x14ac:dyDescent="0.35">
      <c r="A157" s="4">
        <v>155</v>
      </c>
      <c r="B157" s="2">
        <v>42962</v>
      </c>
      <c r="C157" s="1">
        <v>235.49</v>
      </c>
      <c r="D157" s="1">
        <v>235.51</v>
      </c>
      <c r="E157" s="1">
        <v>234.71</v>
      </c>
      <c r="F157" s="1">
        <v>235.05</v>
      </c>
      <c r="G157" s="1" t="str">
        <f>IF(testdata[[#This Row],[high]]&gt;MAX(D153:D156,D158:D161),testdata[[#This Row],[high]],"")</f>
        <v/>
      </c>
      <c r="H157" s="14" t="s">
        <v>6</v>
      </c>
      <c r="I157" s="10">
        <f t="shared" ca="1" si="6"/>
        <v>236.27166666666665</v>
      </c>
      <c r="J157" s="1" t="str">
        <f>IF(testdata[[#This Row],[low]]&lt;MIN(E153:E156,E158:E161),testdata[[#This Row],[low]],"")</f>
        <v/>
      </c>
      <c r="K157" s="14" t="s">
        <v>13</v>
      </c>
      <c r="L157" s="10">
        <f t="shared" ca="1" si="5"/>
        <v>231.60285714285703</v>
      </c>
      <c r="N157" s="2">
        <v>42962</v>
      </c>
      <c r="O157" s="1"/>
      <c r="P157" s="14" t="s">
        <v>6</v>
      </c>
      <c r="Q157" s="10">
        <v>236.27170000000001</v>
      </c>
      <c r="R157" s="1"/>
      <c r="S157" s="14" t="s">
        <v>13</v>
      </c>
      <c r="T157" s="10">
        <v>231.60290000000001</v>
      </c>
    </row>
    <row r="158" spans="1:20" x14ac:dyDescent="0.35">
      <c r="A158" s="4">
        <v>156</v>
      </c>
      <c r="B158" s="2">
        <v>42963</v>
      </c>
      <c r="C158" s="1">
        <v>235.62</v>
      </c>
      <c r="D158" s="1">
        <v>236.06</v>
      </c>
      <c r="E158" s="1">
        <v>234.99</v>
      </c>
      <c r="F158" s="1">
        <v>235.46</v>
      </c>
      <c r="G158" s="1">
        <f>IF(testdata[[#This Row],[high]]&gt;MAX(D154:D157,D159:D162),testdata[[#This Row],[high]],"")</f>
        <v>236.06</v>
      </c>
      <c r="H158" s="14" t="s">
        <v>6</v>
      </c>
      <c r="I158" s="9">
        <f>testdata[[#This Row],[Hpoint]]</f>
        <v>236.06</v>
      </c>
      <c r="J158" s="1" t="str">
        <f>IF(testdata[[#This Row],[low]]&lt;MIN(E154:E157,E159:E162),testdata[[#This Row],[low]],"")</f>
        <v/>
      </c>
      <c r="K158" s="14" t="s">
        <v>13</v>
      </c>
      <c r="L158" s="10">
        <f t="shared" ca="1" si="5"/>
        <v>231.34714285714276</v>
      </c>
      <c r="N158" s="2">
        <v>42963</v>
      </c>
      <c r="O158" s="1">
        <v>236.06</v>
      </c>
      <c r="P158" s="14" t="s">
        <v>6</v>
      </c>
      <c r="Q158" s="9">
        <v>236.06</v>
      </c>
      <c r="R158" s="1"/>
      <c r="S158" s="14" t="s">
        <v>13</v>
      </c>
      <c r="T158" s="10">
        <v>231.34710000000001</v>
      </c>
    </row>
    <row r="159" spans="1:20" x14ac:dyDescent="0.35">
      <c r="A159" s="4">
        <v>157</v>
      </c>
      <c r="B159" s="2">
        <v>42964</v>
      </c>
      <c r="C159" s="1">
        <v>234.79</v>
      </c>
      <c r="D159" s="1">
        <v>235.13</v>
      </c>
      <c r="E159" s="1">
        <v>231.79</v>
      </c>
      <c r="F159" s="1">
        <v>231.79</v>
      </c>
      <c r="G159" s="1" t="str">
        <f>IF(testdata[[#This Row],[high]]&gt;MAX(D155:D158,D160:D163),testdata[[#This Row],[high]],"")</f>
        <v/>
      </c>
      <c r="H159" s="14" t="s">
        <v>7</v>
      </c>
      <c r="I159" s="10">
        <f t="shared" ca="1" si="6"/>
        <v>236.11999999999992</v>
      </c>
      <c r="J159" s="1" t="str">
        <f>IF(testdata[[#This Row],[low]]&lt;MIN(E155:E158,E160:E163),testdata[[#This Row],[low]],"")</f>
        <v/>
      </c>
      <c r="K159" s="14" t="s">
        <v>13</v>
      </c>
      <c r="L159" s="10">
        <f t="shared" ca="1" si="5"/>
        <v>231.09142857142848</v>
      </c>
      <c r="N159" s="2">
        <v>42964</v>
      </c>
      <c r="O159" s="1"/>
      <c r="P159" s="14" t="s">
        <v>7</v>
      </c>
      <c r="Q159" s="10">
        <v>236.12</v>
      </c>
      <c r="R159" s="1"/>
      <c r="S159" s="14" t="s">
        <v>13</v>
      </c>
      <c r="T159" s="10">
        <v>231.09139999999999</v>
      </c>
    </row>
    <row r="160" spans="1:20" x14ac:dyDescent="0.35">
      <c r="A160" s="4">
        <v>158</v>
      </c>
      <c r="B160" s="2">
        <v>42965</v>
      </c>
      <c r="C160" s="1">
        <v>231.6</v>
      </c>
      <c r="D160" s="1">
        <v>232.83</v>
      </c>
      <c r="E160" s="1">
        <v>230.94</v>
      </c>
      <c r="F160" s="1">
        <v>231.42</v>
      </c>
      <c r="G160" s="1" t="str">
        <f>IF(testdata[[#This Row],[high]]&gt;MAX(D156:D159,D161:D164),testdata[[#This Row],[high]],"")</f>
        <v/>
      </c>
      <c r="H160" s="14" t="s">
        <v>7</v>
      </c>
      <c r="I160" s="10">
        <f t="shared" ca="1" si="6"/>
        <v>236.17999999999984</v>
      </c>
      <c r="J160" s="1" t="str">
        <f>IF(testdata[[#This Row],[low]]&lt;MIN(E156:E159,E161:E164),testdata[[#This Row],[low]],"")</f>
        <v/>
      </c>
      <c r="K160" s="14" t="s">
        <v>13</v>
      </c>
      <c r="L160" s="10">
        <f t="shared" ca="1" si="5"/>
        <v>230.83571428571423</v>
      </c>
      <c r="N160" s="2">
        <v>42965</v>
      </c>
      <c r="O160" s="1"/>
      <c r="P160" s="14" t="s">
        <v>7</v>
      </c>
      <c r="Q160" s="10">
        <v>236.18</v>
      </c>
      <c r="R160" s="1"/>
      <c r="S160" s="14" t="s">
        <v>13</v>
      </c>
      <c r="T160" s="10">
        <v>230.8357</v>
      </c>
    </row>
    <row r="161" spans="1:20" x14ac:dyDescent="0.35">
      <c r="A161" s="4">
        <v>159</v>
      </c>
      <c r="B161" s="2">
        <v>42968</v>
      </c>
      <c r="C161" s="1">
        <v>231.36</v>
      </c>
      <c r="D161" s="1">
        <v>231.89</v>
      </c>
      <c r="E161" s="1">
        <v>230.58</v>
      </c>
      <c r="F161" s="1">
        <v>231.6</v>
      </c>
      <c r="G161" s="1" t="str">
        <f>IF(testdata[[#This Row],[high]]&gt;MAX(D157:D160,D162:D165),testdata[[#This Row],[high]],"")</f>
        <v/>
      </c>
      <c r="H161" s="14" t="s">
        <v>7</v>
      </c>
      <c r="I161" s="10">
        <f t="shared" ca="1" si="6"/>
        <v>236.23999999999978</v>
      </c>
      <c r="J161" s="1">
        <f>IF(testdata[[#This Row],[low]]&lt;MIN(E157:E160,E162:E165),testdata[[#This Row],[low]],"")</f>
        <v>230.58</v>
      </c>
      <c r="K161" s="14" t="s">
        <v>13</v>
      </c>
      <c r="L161" s="9">
        <f>testdata[[#This Row],[Lpoint]]</f>
        <v>230.58</v>
      </c>
      <c r="N161" s="2">
        <v>42968</v>
      </c>
      <c r="O161" s="1"/>
      <c r="P161" s="14" t="s">
        <v>7</v>
      </c>
      <c r="Q161" s="10">
        <v>236.24</v>
      </c>
      <c r="R161" s="1">
        <v>230.58</v>
      </c>
      <c r="S161" s="14" t="s">
        <v>13</v>
      </c>
      <c r="T161" s="9">
        <v>230.58</v>
      </c>
    </row>
    <row r="162" spans="1:20" x14ac:dyDescent="0.35">
      <c r="A162" s="4">
        <v>160</v>
      </c>
      <c r="B162" s="2">
        <v>42969</v>
      </c>
      <c r="C162" s="1">
        <v>232.24</v>
      </c>
      <c r="D162" s="1">
        <v>234.2</v>
      </c>
      <c r="E162" s="1">
        <v>232.22</v>
      </c>
      <c r="F162" s="1">
        <v>234.03</v>
      </c>
      <c r="G162" s="1" t="str">
        <f>IF(testdata[[#This Row],[high]]&gt;MAX(D158:D161,D163:D166),testdata[[#This Row],[high]],"")</f>
        <v/>
      </c>
      <c r="H162" s="14" t="s">
        <v>7</v>
      </c>
      <c r="I162" s="10">
        <f t="shared" ca="1" si="6"/>
        <v>236.29999999999976</v>
      </c>
      <c r="J162" s="1" t="str">
        <f>IF(testdata[[#This Row],[low]]&lt;MIN(E158:E161,E163:E166),testdata[[#This Row],[low]],"")</f>
        <v/>
      </c>
      <c r="K162" s="14" t="s">
        <v>8</v>
      </c>
      <c r="L162" s="10">
        <f t="shared" ca="1" si="5"/>
        <v>230.755</v>
      </c>
      <c r="N162" s="2">
        <v>42969</v>
      </c>
      <c r="O162" s="1"/>
      <c r="P162" s="14" t="s">
        <v>7</v>
      </c>
      <c r="Q162" s="10">
        <v>236.3</v>
      </c>
      <c r="R162" s="1"/>
      <c r="S162" s="14" t="s">
        <v>8</v>
      </c>
      <c r="T162" s="10">
        <v>230.755</v>
      </c>
    </row>
    <row r="163" spans="1:20" x14ac:dyDescent="0.35">
      <c r="A163" s="4">
        <v>161</v>
      </c>
      <c r="B163" s="2">
        <v>42970</v>
      </c>
      <c r="C163" s="1">
        <v>232.97</v>
      </c>
      <c r="D163" s="1">
        <v>233.65</v>
      </c>
      <c r="E163" s="1">
        <v>232.81</v>
      </c>
      <c r="F163" s="1">
        <v>233.19</v>
      </c>
      <c r="G163" s="1" t="str">
        <f>IF(testdata[[#This Row],[high]]&gt;MAX(D159:D162,D164:D167),testdata[[#This Row],[high]],"")</f>
        <v/>
      </c>
      <c r="H163" s="14" t="s">
        <v>7</v>
      </c>
      <c r="I163" s="10">
        <f t="shared" ca="1" si="6"/>
        <v>236.35999999999973</v>
      </c>
      <c r="J163" s="1" t="str">
        <f>IF(testdata[[#This Row],[low]]&lt;MIN(E159:E162,E164:E167),testdata[[#This Row],[low]],"")</f>
        <v/>
      </c>
      <c r="K163" s="14" t="s">
        <v>8</v>
      </c>
      <c r="L163" s="10">
        <f t="shared" ca="1" si="5"/>
        <v>230.92999999999998</v>
      </c>
      <c r="N163" s="2">
        <v>42970</v>
      </c>
      <c r="O163" s="1"/>
      <c r="P163" s="14" t="s">
        <v>7</v>
      </c>
      <c r="Q163" s="10">
        <v>236.36</v>
      </c>
      <c r="R163" s="1"/>
      <c r="S163" s="14" t="s">
        <v>8</v>
      </c>
      <c r="T163" s="10">
        <v>230.93</v>
      </c>
    </row>
    <row r="164" spans="1:20" x14ac:dyDescent="0.35">
      <c r="A164" s="4">
        <v>162</v>
      </c>
      <c r="B164" s="2">
        <v>42971</v>
      </c>
      <c r="C164" s="1">
        <v>233.61</v>
      </c>
      <c r="D164" s="1">
        <v>233.78</v>
      </c>
      <c r="E164" s="1">
        <v>232.41</v>
      </c>
      <c r="F164" s="1">
        <v>232.64</v>
      </c>
      <c r="G164" s="1" t="str">
        <f>IF(testdata[[#This Row],[high]]&gt;MAX(D160:D163,D165:D168),testdata[[#This Row],[high]],"")</f>
        <v/>
      </c>
      <c r="H164" s="14" t="s">
        <v>7</v>
      </c>
      <c r="I164" s="10">
        <f t="shared" ca="1" si="6"/>
        <v>236.41999999999973</v>
      </c>
      <c r="J164" s="1" t="str">
        <f>IF(testdata[[#This Row],[low]]&lt;MIN(E160:E163,E165:E168),testdata[[#This Row],[low]],"")</f>
        <v/>
      </c>
      <c r="K164" s="14" t="s">
        <v>8</v>
      </c>
      <c r="L164" s="10">
        <f t="shared" ca="1" si="5"/>
        <v>231.10499999999996</v>
      </c>
      <c r="N164" s="2">
        <v>42971</v>
      </c>
      <c r="O164" s="1"/>
      <c r="P164" s="14" t="s">
        <v>7</v>
      </c>
      <c r="Q164" s="10">
        <v>236.42</v>
      </c>
      <c r="R164" s="1"/>
      <c r="S164" s="14" t="s">
        <v>8</v>
      </c>
      <c r="T164" s="10">
        <v>231.10499999999999</v>
      </c>
    </row>
    <row r="165" spans="1:20" x14ac:dyDescent="0.35">
      <c r="A165" s="4">
        <v>163</v>
      </c>
      <c r="B165" s="2">
        <v>42972</v>
      </c>
      <c r="C165" s="1">
        <v>233.51</v>
      </c>
      <c r="D165" s="1">
        <v>234.19</v>
      </c>
      <c r="E165" s="1">
        <v>233.02</v>
      </c>
      <c r="F165" s="1">
        <v>233.19</v>
      </c>
      <c r="G165" s="1" t="str">
        <f>IF(testdata[[#This Row],[high]]&gt;MAX(D161:D164,D166:D169),testdata[[#This Row],[high]],"")</f>
        <v/>
      </c>
      <c r="H165" s="14" t="s">
        <v>7</v>
      </c>
      <c r="I165" s="10">
        <f t="shared" ca="1" si="6"/>
        <v>236.47999999999973</v>
      </c>
      <c r="J165" s="1" t="str">
        <f>IF(testdata[[#This Row],[low]]&lt;MIN(E161:E164,E166:E169),testdata[[#This Row],[low]],"")</f>
        <v/>
      </c>
      <c r="K165" s="14" t="s">
        <v>8</v>
      </c>
      <c r="L165" s="10">
        <f t="shared" ca="1" si="5"/>
        <v>231.27999999999997</v>
      </c>
      <c r="N165" s="2">
        <v>42972</v>
      </c>
      <c r="O165" s="1"/>
      <c r="P165" s="14" t="s">
        <v>7</v>
      </c>
      <c r="Q165" s="10">
        <v>236.48</v>
      </c>
      <c r="R165" s="1"/>
      <c r="S165" s="14" t="s">
        <v>8</v>
      </c>
      <c r="T165" s="10">
        <v>231.28</v>
      </c>
    </row>
    <row r="166" spans="1:20" x14ac:dyDescent="0.35">
      <c r="A166" s="4">
        <v>164</v>
      </c>
      <c r="B166" s="2">
        <v>42975</v>
      </c>
      <c r="C166" s="1">
        <v>233.77</v>
      </c>
      <c r="D166" s="1">
        <v>233.8</v>
      </c>
      <c r="E166" s="1">
        <v>232.74</v>
      </c>
      <c r="F166" s="1">
        <v>233.2</v>
      </c>
      <c r="G166" s="1" t="str">
        <f>IF(testdata[[#This Row],[high]]&gt;MAX(D162:D165,D167:D170),testdata[[#This Row],[high]],"")</f>
        <v/>
      </c>
      <c r="H166" s="14" t="s">
        <v>7</v>
      </c>
      <c r="I166" s="10">
        <f t="shared" ca="1" si="6"/>
        <v>236.53999999999976</v>
      </c>
      <c r="J166" s="1" t="str">
        <f>IF(testdata[[#This Row],[low]]&lt;MIN(E162:E165,E167:E170),testdata[[#This Row],[low]],"")</f>
        <v/>
      </c>
      <c r="K166" s="14" t="s">
        <v>8</v>
      </c>
      <c r="L166" s="10">
        <f t="shared" ca="1" si="5"/>
        <v>231.45499999999998</v>
      </c>
      <c r="N166" s="2">
        <v>42975</v>
      </c>
      <c r="O166" s="1"/>
      <c r="P166" s="14" t="s">
        <v>7</v>
      </c>
      <c r="Q166" s="10">
        <v>236.54</v>
      </c>
      <c r="R166" s="1"/>
      <c r="S166" s="14" t="s">
        <v>8</v>
      </c>
      <c r="T166" s="10">
        <v>231.45500000000001</v>
      </c>
    </row>
    <row r="167" spans="1:20" x14ac:dyDescent="0.35">
      <c r="A167" s="4">
        <v>165</v>
      </c>
      <c r="B167" s="2">
        <v>42976</v>
      </c>
      <c r="C167" s="1">
        <v>231.76</v>
      </c>
      <c r="D167" s="1">
        <v>233.75</v>
      </c>
      <c r="E167" s="1">
        <v>231.63</v>
      </c>
      <c r="F167" s="1">
        <v>233.46</v>
      </c>
      <c r="G167" s="1" t="str">
        <f>IF(testdata[[#This Row],[high]]&gt;MAX(D163:D166,D168:D171),testdata[[#This Row],[high]],"")</f>
        <v/>
      </c>
      <c r="H167" s="14" t="s">
        <v>7</v>
      </c>
      <c r="I167" s="10">
        <f t="shared" ca="1" si="6"/>
        <v>236.5999999999998</v>
      </c>
      <c r="J167" s="1">
        <f>IF(testdata[[#This Row],[low]]&lt;MIN(E163:E166,E168:E171),testdata[[#This Row],[low]],"")</f>
        <v>231.63</v>
      </c>
      <c r="K167" s="14" t="s">
        <v>8</v>
      </c>
      <c r="L167" s="9">
        <f>testdata[[#This Row],[Lpoint]]</f>
        <v>231.63</v>
      </c>
      <c r="N167" s="2">
        <v>42976</v>
      </c>
      <c r="O167" s="1"/>
      <c r="P167" s="14" t="s">
        <v>7</v>
      </c>
      <c r="Q167" s="10">
        <v>236.6</v>
      </c>
      <c r="R167" s="1">
        <v>231.63</v>
      </c>
      <c r="S167" s="14" t="s">
        <v>8</v>
      </c>
      <c r="T167" s="9">
        <v>231.63</v>
      </c>
    </row>
    <row r="168" spans="1:20" x14ac:dyDescent="0.35">
      <c r="A168" s="4">
        <v>166</v>
      </c>
      <c r="B168" s="2">
        <v>42977</v>
      </c>
      <c r="C168" s="1">
        <v>233.44</v>
      </c>
      <c r="D168" s="1">
        <v>234.87</v>
      </c>
      <c r="E168" s="1">
        <v>233.24</v>
      </c>
      <c r="F168" s="1">
        <v>234.57</v>
      </c>
      <c r="G168" s="1" t="str">
        <f>IF(testdata[[#This Row],[high]]&gt;MAX(D164:D167,D169:D172),testdata[[#This Row],[high]],"")</f>
        <v/>
      </c>
      <c r="H168" s="14" t="s">
        <v>7</v>
      </c>
      <c r="I168" s="10">
        <f t="shared" ca="1" si="6"/>
        <v>236.65999999999985</v>
      </c>
      <c r="J168" s="1" t="str">
        <f>IF(testdata[[#This Row],[low]]&lt;MIN(E164:E167,E169:E172),testdata[[#This Row],[low]],"")</f>
        <v/>
      </c>
      <c r="K168" s="14" t="s">
        <v>8</v>
      </c>
      <c r="L168" s="10">
        <f t="shared" ca="1" si="5"/>
        <v>231.96833333333319</v>
      </c>
      <c r="N168" s="2">
        <v>42977</v>
      </c>
      <c r="O168" s="1"/>
      <c r="P168" s="14" t="s">
        <v>7</v>
      </c>
      <c r="Q168" s="10">
        <v>236.66</v>
      </c>
      <c r="R168" s="1"/>
      <c r="S168" s="14" t="s">
        <v>8</v>
      </c>
      <c r="T168" s="10">
        <v>231.9683</v>
      </c>
    </row>
    <row r="169" spans="1:20" x14ac:dyDescent="0.35">
      <c r="A169" s="4">
        <v>167</v>
      </c>
      <c r="B169" s="2">
        <v>42978</v>
      </c>
      <c r="C169" s="1">
        <v>235.25</v>
      </c>
      <c r="D169" s="1">
        <v>236.25</v>
      </c>
      <c r="E169" s="1">
        <v>234.61</v>
      </c>
      <c r="F169" s="1">
        <v>235.98</v>
      </c>
      <c r="G169" s="1" t="str">
        <f>IF(testdata[[#This Row],[high]]&gt;MAX(D165:D168,D170:D173),testdata[[#This Row],[high]],"")</f>
        <v/>
      </c>
      <c r="H169" s="14" t="s">
        <v>7</v>
      </c>
      <c r="I169" s="10">
        <f t="shared" ca="1" si="6"/>
        <v>236.71999999999991</v>
      </c>
      <c r="J169" s="1" t="str">
        <f>IF(testdata[[#This Row],[low]]&lt;MIN(E165:E168,E170:E173),testdata[[#This Row],[low]],"")</f>
        <v/>
      </c>
      <c r="K169" s="14" t="s">
        <v>8</v>
      </c>
      <c r="L169" s="10">
        <f t="shared" ca="1" si="5"/>
        <v>232.30666666666639</v>
      </c>
      <c r="N169" s="2">
        <v>42978</v>
      </c>
      <c r="O169" s="1"/>
      <c r="P169" s="14" t="s">
        <v>7</v>
      </c>
      <c r="Q169" s="10">
        <v>236.72</v>
      </c>
      <c r="R169" s="1"/>
      <c r="S169" s="14" t="s">
        <v>8</v>
      </c>
      <c r="T169" s="10">
        <v>232.30670000000001</v>
      </c>
    </row>
    <row r="170" spans="1:20" x14ac:dyDescent="0.35">
      <c r="A170" s="4">
        <v>168</v>
      </c>
      <c r="B170" s="2">
        <v>42979</v>
      </c>
      <c r="C170" s="1">
        <v>236.39</v>
      </c>
      <c r="D170" s="1">
        <v>236.78</v>
      </c>
      <c r="E170" s="1">
        <v>236.15</v>
      </c>
      <c r="F170" s="1">
        <v>236.31</v>
      </c>
      <c r="G170" s="1">
        <f>IF(testdata[[#This Row],[high]]&gt;MAX(D166:D169,D171:D174),testdata[[#This Row],[high]],"")</f>
        <v>236.78</v>
      </c>
      <c r="H170" s="14" t="s">
        <v>7</v>
      </c>
      <c r="I170" s="9">
        <f>testdata[[#This Row],[Hpoint]]</f>
        <v>236.78</v>
      </c>
      <c r="J170" s="1" t="str">
        <f>IF(testdata[[#This Row],[low]]&lt;MIN(E166:E169,E171:E174),testdata[[#This Row],[low]],"")</f>
        <v/>
      </c>
      <c r="K170" s="14" t="s">
        <v>8</v>
      </c>
      <c r="L170" s="10">
        <f t="shared" ca="1" si="5"/>
        <v>232.64499999999961</v>
      </c>
      <c r="N170" s="2">
        <v>42979</v>
      </c>
      <c r="O170" s="1">
        <v>236.78</v>
      </c>
      <c r="P170" s="14" t="s">
        <v>7</v>
      </c>
      <c r="Q170" s="9">
        <v>236.78</v>
      </c>
      <c r="R170" s="1"/>
      <c r="S170" s="14" t="s">
        <v>8</v>
      </c>
      <c r="T170" s="10">
        <v>232.64500000000001</v>
      </c>
    </row>
    <row r="171" spans="1:20" x14ac:dyDescent="0.35">
      <c r="A171" s="4">
        <v>169</v>
      </c>
      <c r="B171" s="2">
        <v>42983</v>
      </c>
      <c r="C171" s="1">
        <v>235.76</v>
      </c>
      <c r="D171" s="1">
        <v>236.01</v>
      </c>
      <c r="E171" s="1">
        <v>233.56</v>
      </c>
      <c r="F171" s="1">
        <v>234.62</v>
      </c>
      <c r="G171" s="1" t="str">
        <f>IF(testdata[[#This Row],[high]]&gt;MAX(D167:D170,D172:D175),testdata[[#This Row],[high]],"")</f>
        <v/>
      </c>
      <c r="H171" s="14" t="s">
        <v>7</v>
      </c>
      <c r="I171" s="10">
        <f t="shared" ca="1" si="6"/>
        <v>237.02666666666659</v>
      </c>
      <c r="J171" s="1" t="str">
        <f>IF(testdata[[#This Row],[low]]&lt;MIN(E167:E170,E172:E175),testdata[[#This Row],[low]],"")</f>
        <v/>
      </c>
      <c r="K171" s="14" t="s">
        <v>8</v>
      </c>
      <c r="L171" s="10">
        <f t="shared" ca="1" si="5"/>
        <v>232.98333333333284</v>
      </c>
      <c r="N171" s="2">
        <v>42983</v>
      </c>
      <c r="O171" s="1"/>
      <c r="P171" s="14" t="s">
        <v>7</v>
      </c>
      <c r="Q171" s="10">
        <v>237.02670000000001</v>
      </c>
      <c r="R171" s="1"/>
      <c r="S171" s="14" t="s">
        <v>8</v>
      </c>
      <c r="T171" s="10">
        <v>232.98330000000001</v>
      </c>
    </row>
    <row r="172" spans="1:20" x14ac:dyDescent="0.35">
      <c r="A172" s="4">
        <v>170</v>
      </c>
      <c r="B172" s="2">
        <v>42984</v>
      </c>
      <c r="C172" s="1">
        <v>235.36</v>
      </c>
      <c r="D172" s="1">
        <v>235.78</v>
      </c>
      <c r="E172" s="1">
        <v>234.78</v>
      </c>
      <c r="F172" s="1">
        <v>235.42</v>
      </c>
      <c r="G172" s="1" t="str">
        <f>IF(testdata[[#This Row],[high]]&gt;MAX(D168:D171,D173:D176),testdata[[#This Row],[high]],"")</f>
        <v/>
      </c>
      <c r="H172" s="14" t="s">
        <v>7</v>
      </c>
      <c r="I172" s="10">
        <f t="shared" ca="1" si="6"/>
        <v>237.2733333333332</v>
      </c>
      <c r="J172" s="1" t="str">
        <f>IF(testdata[[#This Row],[low]]&lt;MIN(E168:E171,E173:E176),testdata[[#This Row],[low]],"")</f>
        <v/>
      </c>
      <c r="K172" s="14" t="s">
        <v>8</v>
      </c>
      <c r="L172" s="10">
        <f t="shared" ca="1" si="5"/>
        <v>233.32166666666609</v>
      </c>
      <c r="N172" s="2">
        <v>42984</v>
      </c>
      <c r="O172" s="1"/>
      <c r="P172" s="14" t="s">
        <v>7</v>
      </c>
      <c r="Q172" s="10">
        <v>237.27330000000001</v>
      </c>
      <c r="R172" s="1"/>
      <c r="S172" s="14" t="s">
        <v>8</v>
      </c>
      <c r="T172" s="10">
        <v>233.32169999999999</v>
      </c>
    </row>
    <row r="173" spans="1:20" x14ac:dyDescent="0.35">
      <c r="A173" s="4">
        <v>171</v>
      </c>
      <c r="B173" s="2">
        <v>42985</v>
      </c>
      <c r="C173" s="1">
        <v>235.75</v>
      </c>
      <c r="D173" s="1">
        <v>235.77</v>
      </c>
      <c r="E173" s="1">
        <v>234.94</v>
      </c>
      <c r="F173" s="1">
        <v>235.39</v>
      </c>
      <c r="G173" s="1" t="str">
        <f>IF(testdata[[#This Row],[high]]&gt;MAX(D169:D172,D174:D177),testdata[[#This Row],[high]],"")</f>
        <v/>
      </c>
      <c r="H173" s="14" t="s">
        <v>7</v>
      </c>
      <c r="I173" s="10">
        <f t="shared" ca="1" si="6"/>
        <v>237.51999999999981</v>
      </c>
      <c r="J173" s="1" t="str">
        <f>IF(testdata[[#This Row],[low]]&lt;MIN(E169:E172,E174:E177),testdata[[#This Row],[low]],"")</f>
        <v/>
      </c>
      <c r="K173" s="14" t="s">
        <v>8</v>
      </c>
      <c r="L173" s="10">
        <f t="shared" ca="1" si="5"/>
        <v>233.65999999999937</v>
      </c>
      <c r="N173" s="2">
        <v>42985</v>
      </c>
      <c r="O173" s="1"/>
      <c r="P173" s="14" t="s">
        <v>7</v>
      </c>
      <c r="Q173" s="10">
        <v>237.52</v>
      </c>
      <c r="R173" s="1"/>
      <c r="S173" s="14" t="s">
        <v>8</v>
      </c>
      <c r="T173" s="10">
        <v>233.66</v>
      </c>
    </row>
    <row r="174" spans="1:20" x14ac:dyDescent="0.35">
      <c r="A174" s="4">
        <v>172</v>
      </c>
      <c r="B174" s="2">
        <v>42986</v>
      </c>
      <c r="C174" s="1">
        <v>235.07</v>
      </c>
      <c r="D174" s="1">
        <v>235.62</v>
      </c>
      <c r="E174" s="1">
        <v>234.85</v>
      </c>
      <c r="F174" s="1">
        <v>235.11</v>
      </c>
      <c r="G174" s="1" t="str">
        <f>IF(testdata[[#This Row],[high]]&gt;MAX(D170:D173,D175:D178),testdata[[#This Row],[high]],"")</f>
        <v/>
      </c>
      <c r="H174" s="14" t="s">
        <v>7</v>
      </c>
      <c r="I174" s="10">
        <f t="shared" ca="1" si="6"/>
        <v>237.76666666666642</v>
      </c>
      <c r="J174" s="1" t="str">
        <f>IF(testdata[[#This Row],[low]]&lt;MIN(E170:E173,E175:E178),testdata[[#This Row],[low]],"")</f>
        <v/>
      </c>
      <c r="K174" s="14" t="s">
        <v>8</v>
      </c>
      <c r="L174" s="10">
        <f t="shared" ca="1" si="5"/>
        <v>233.99833333333265</v>
      </c>
      <c r="N174" s="2">
        <v>42986</v>
      </c>
      <c r="O174" s="1"/>
      <c r="P174" s="14" t="s">
        <v>7</v>
      </c>
      <c r="Q174" s="10">
        <v>237.76669999999999</v>
      </c>
      <c r="R174" s="1"/>
      <c r="S174" s="14" t="s">
        <v>8</v>
      </c>
      <c r="T174" s="10">
        <v>233.9983</v>
      </c>
    </row>
    <row r="175" spans="1:20" x14ac:dyDescent="0.35">
      <c r="A175" s="4">
        <v>173</v>
      </c>
      <c r="B175" s="2">
        <v>42989</v>
      </c>
      <c r="C175" s="1">
        <v>236.51</v>
      </c>
      <c r="D175" s="1">
        <v>237.71</v>
      </c>
      <c r="E175" s="1">
        <v>236.49</v>
      </c>
      <c r="F175" s="1">
        <v>237.62</v>
      </c>
      <c r="G175" s="1" t="str">
        <f>IF(testdata[[#This Row],[high]]&gt;MAX(D171:D174,D176:D179),testdata[[#This Row],[high]],"")</f>
        <v/>
      </c>
      <c r="H175" s="14" t="s">
        <v>7</v>
      </c>
      <c r="I175" s="10">
        <f t="shared" ca="1" si="6"/>
        <v>238.01333333333307</v>
      </c>
      <c r="J175" s="1" t="str">
        <f>IF(testdata[[#This Row],[low]]&lt;MIN(E171:E174,E176:E179),testdata[[#This Row],[low]],"")</f>
        <v/>
      </c>
      <c r="K175" s="14" t="s">
        <v>8</v>
      </c>
      <c r="L175" s="10">
        <f t="shared" ca="1" si="5"/>
        <v>234.33666666666596</v>
      </c>
      <c r="N175" s="2">
        <v>42989</v>
      </c>
      <c r="O175" s="1"/>
      <c r="P175" s="14" t="s">
        <v>7</v>
      </c>
      <c r="Q175" s="10">
        <v>238.01329999999999</v>
      </c>
      <c r="R175" s="1"/>
      <c r="S175" s="14" t="s">
        <v>8</v>
      </c>
      <c r="T175" s="10">
        <v>234.33670000000001</v>
      </c>
    </row>
    <row r="176" spans="1:20" x14ac:dyDescent="0.35">
      <c r="A176" s="4">
        <v>174</v>
      </c>
      <c r="B176" s="2">
        <v>42990</v>
      </c>
      <c r="C176" s="1">
        <v>238.02</v>
      </c>
      <c r="D176" s="1">
        <v>238.46</v>
      </c>
      <c r="E176" s="1">
        <v>237.82</v>
      </c>
      <c r="F176" s="1">
        <v>238.42</v>
      </c>
      <c r="G176" s="1" t="str">
        <f>IF(testdata[[#This Row],[high]]&gt;MAX(D172:D175,D177:D180),testdata[[#This Row],[high]],"")</f>
        <v/>
      </c>
      <c r="H176" s="14" t="s">
        <v>7</v>
      </c>
      <c r="I176" s="10">
        <f t="shared" ca="1" si="6"/>
        <v>238.25999999999971</v>
      </c>
      <c r="J176" s="1" t="str">
        <f>IF(testdata[[#This Row],[low]]&lt;MIN(E172:E175,E177:E180),testdata[[#This Row],[low]],"")</f>
        <v/>
      </c>
      <c r="K176" s="14" t="s">
        <v>8</v>
      </c>
      <c r="L176" s="10">
        <f t="shared" ca="1" si="5"/>
        <v>234.6749999999993</v>
      </c>
      <c r="N176" s="2">
        <v>42990</v>
      </c>
      <c r="O176" s="1"/>
      <c r="P176" s="14" t="s">
        <v>7</v>
      </c>
      <c r="Q176" s="10">
        <v>238.26</v>
      </c>
      <c r="R176" s="1"/>
      <c r="S176" s="14" t="s">
        <v>8</v>
      </c>
      <c r="T176" s="10">
        <v>234.67500000000001</v>
      </c>
    </row>
    <row r="177" spans="1:20" x14ac:dyDescent="0.35">
      <c r="A177" s="4">
        <v>175</v>
      </c>
      <c r="B177" s="2">
        <v>42991</v>
      </c>
      <c r="C177" s="1">
        <v>238.11</v>
      </c>
      <c r="D177" s="1">
        <v>238.57</v>
      </c>
      <c r="E177" s="1">
        <v>237.98</v>
      </c>
      <c r="F177" s="1">
        <v>238.54</v>
      </c>
      <c r="G177" s="1" t="str">
        <f>IF(testdata[[#This Row],[high]]&gt;MAX(D173:D176,D178:D181),testdata[[#This Row],[high]],"")</f>
        <v/>
      </c>
      <c r="H177" s="14" t="s">
        <v>7</v>
      </c>
      <c r="I177" s="10">
        <f t="shared" ca="1" si="6"/>
        <v>238.50666666666638</v>
      </c>
      <c r="J177" s="1" t="str">
        <f>IF(testdata[[#This Row],[low]]&lt;MIN(E173:E176,E178:E181),testdata[[#This Row],[low]],"")</f>
        <v/>
      </c>
      <c r="K177" s="14" t="s">
        <v>8</v>
      </c>
      <c r="L177" s="10">
        <f t="shared" ref="L177:L184" ca="1" si="7">AVERAGE(L176,L178)</f>
        <v>235.01333333333264</v>
      </c>
      <c r="N177" s="2">
        <v>42991</v>
      </c>
      <c r="O177" s="1"/>
      <c r="P177" s="14" t="s">
        <v>7</v>
      </c>
      <c r="Q177" s="10">
        <v>238.5067</v>
      </c>
      <c r="R177" s="1"/>
      <c r="S177" s="14" t="s">
        <v>8</v>
      </c>
      <c r="T177" s="10">
        <v>235.01329999999999</v>
      </c>
    </row>
    <row r="178" spans="1:20" x14ac:dyDescent="0.35">
      <c r="A178" s="4">
        <v>176</v>
      </c>
      <c r="B178" s="2">
        <v>42992</v>
      </c>
      <c r="C178" s="1">
        <v>238.18</v>
      </c>
      <c r="D178" s="1">
        <v>238.68</v>
      </c>
      <c r="E178" s="1">
        <v>237.99</v>
      </c>
      <c r="F178" s="1">
        <v>238.46</v>
      </c>
      <c r="G178" s="1" t="str">
        <f>IF(testdata[[#This Row],[high]]&gt;MAX(D174:D177,D179:D182),testdata[[#This Row],[high]],"")</f>
        <v/>
      </c>
      <c r="H178" s="14" t="s">
        <v>7</v>
      </c>
      <c r="I178" s="10">
        <f t="shared" ca="1" si="6"/>
        <v>238.75333333333307</v>
      </c>
      <c r="J178" s="1" t="str">
        <f>IF(testdata[[#This Row],[low]]&lt;MIN(E174:E177,E179:E182),testdata[[#This Row],[low]],"")</f>
        <v/>
      </c>
      <c r="K178" s="14" t="s">
        <v>8</v>
      </c>
      <c r="L178" s="10">
        <f t="shared" ca="1" si="7"/>
        <v>235.35166666666601</v>
      </c>
      <c r="N178" s="2">
        <v>42992</v>
      </c>
      <c r="O178" s="1"/>
      <c r="P178" s="14" t="s">
        <v>7</v>
      </c>
      <c r="Q178" s="10">
        <v>238.7533</v>
      </c>
      <c r="R178" s="1"/>
      <c r="S178" s="14" t="s">
        <v>8</v>
      </c>
      <c r="T178" s="10">
        <v>235.35169999999999</v>
      </c>
    </row>
    <row r="179" spans="1:20" x14ac:dyDescent="0.35">
      <c r="A179" s="4">
        <v>177</v>
      </c>
      <c r="B179" s="2">
        <v>42993</v>
      </c>
      <c r="C179" s="1">
        <v>238.3</v>
      </c>
      <c r="D179" s="1">
        <v>238.88</v>
      </c>
      <c r="E179" s="1">
        <v>238.19</v>
      </c>
      <c r="F179" s="1">
        <v>238.78</v>
      </c>
      <c r="G179" s="1" t="str">
        <f>IF(testdata[[#This Row],[high]]&gt;MAX(D175:D178,D180:D183),testdata[[#This Row],[high]],"")</f>
        <v/>
      </c>
      <c r="H179" s="14" t="s">
        <v>7</v>
      </c>
      <c r="I179" s="10">
        <f t="shared" ca="1" si="6"/>
        <v>238.99999999999977</v>
      </c>
      <c r="J179" s="1" t="str">
        <f>IF(testdata[[#This Row],[low]]&lt;MIN(E175:E178,E180:E183),testdata[[#This Row],[low]],"")</f>
        <v/>
      </c>
      <c r="K179" s="14" t="s">
        <v>8</v>
      </c>
      <c r="L179" s="10">
        <f t="shared" ca="1" si="7"/>
        <v>235.6899999999994</v>
      </c>
      <c r="N179" s="2">
        <v>42993</v>
      </c>
      <c r="O179" s="1"/>
      <c r="P179" s="14" t="s">
        <v>7</v>
      </c>
      <c r="Q179" s="10">
        <v>239</v>
      </c>
      <c r="R179" s="1"/>
      <c r="S179" s="14" t="s">
        <v>8</v>
      </c>
      <c r="T179" s="10">
        <v>235.69</v>
      </c>
    </row>
    <row r="180" spans="1:20" x14ac:dyDescent="0.35">
      <c r="A180" s="4">
        <v>178</v>
      </c>
      <c r="B180" s="2">
        <v>42996</v>
      </c>
      <c r="C180" s="1">
        <v>239.18</v>
      </c>
      <c r="D180" s="1">
        <v>239.67</v>
      </c>
      <c r="E180" s="1">
        <v>238.87</v>
      </c>
      <c r="F180" s="1">
        <v>239.29</v>
      </c>
      <c r="G180" s="1" t="str">
        <f>IF(testdata[[#This Row],[high]]&gt;MAX(D176:D179,D181:D184),testdata[[#This Row],[high]],"")</f>
        <v/>
      </c>
      <c r="H180" s="14" t="s">
        <v>7</v>
      </c>
      <c r="I180" s="10">
        <f t="shared" ca="1" si="6"/>
        <v>239.2466666666665</v>
      </c>
      <c r="J180" s="1" t="str">
        <f>IF(testdata[[#This Row],[low]]&lt;MIN(E176:E179,E181:E184),testdata[[#This Row],[low]],"")</f>
        <v/>
      </c>
      <c r="K180" s="14" t="s">
        <v>8</v>
      </c>
      <c r="L180" s="10">
        <f t="shared" ca="1" si="7"/>
        <v>236.0283333333328</v>
      </c>
      <c r="N180" s="2">
        <v>42996</v>
      </c>
      <c r="O180" s="1"/>
      <c r="P180" s="14" t="s">
        <v>7</v>
      </c>
      <c r="Q180" s="10">
        <v>239.2467</v>
      </c>
      <c r="R180" s="1"/>
      <c r="S180" s="14" t="s">
        <v>8</v>
      </c>
      <c r="T180" s="10">
        <v>236.0283</v>
      </c>
    </row>
    <row r="181" spans="1:20" x14ac:dyDescent="0.35">
      <c r="A181" s="4">
        <v>179</v>
      </c>
      <c r="B181" s="2">
        <v>42997</v>
      </c>
      <c r="C181" s="1">
        <v>239.56</v>
      </c>
      <c r="D181" s="1">
        <v>239.62</v>
      </c>
      <c r="E181" s="1">
        <v>239.17</v>
      </c>
      <c r="F181" s="1">
        <v>239.53</v>
      </c>
      <c r="G181" s="1" t="str">
        <f>IF(testdata[[#This Row],[high]]&gt;MAX(D177:D180,D182:D185),testdata[[#This Row],[high]],"")</f>
        <v/>
      </c>
      <c r="H181" s="14" t="s">
        <v>7</v>
      </c>
      <c r="I181" s="10">
        <f t="shared" ca="1" si="6"/>
        <v>239.49333333333325</v>
      </c>
      <c r="J181" s="1" t="str">
        <f>IF(testdata[[#This Row],[low]]&lt;MIN(E177:E180,E182:E185),testdata[[#This Row],[low]],"")</f>
        <v/>
      </c>
      <c r="K181" s="14" t="s">
        <v>8</v>
      </c>
      <c r="L181" s="10">
        <f t="shared" ca="1" si="7"/>
        <v>236.36666666666622</v>
      </c>
      <c r="N181" s="2">
        <v>42997</v>
      </c>
      <c r="O181" s="1"/>
      <c r="P181" s="14" t="s">
        <v>7</v>
      </c>
      <c r="Q181" s="10">
        <v>239.4933</v>
      </c>
      <c r="R181" s="1"/>
      <c r="S181" s="14" t="s">
        <v>8</v>
      </c>
      <c r="T181" s="10">
        <v>236.36670000000001</v>
      </c>
    </row>
    <row r="182" spans="1:20" x14ac:dyDescent="0.35">
      <c r="A182" s="4">
        <v>180</v>
      </c>
      <c r="B182" s="2">
        <v>42998</v>
      </c>
      <c r="C182" s="1">
        <v>239.62</v>
      </c>
      <c r="D182" s="1">
        <v>239.74</v>
      </c>
      <c r="E182" s="1">
        <v>238.52</v>
      </c>
      <c r="F182" s="1">
        <v>239.61</v>
      </c>
      <c r="G182" s="7">
        <f>IF(testdata[[#This Row],[high]]&gt;MAX(D178:D181,D183:D186),testdata[[#This Row],[high]],"")</f>
        <v>239.74</v>
      </c>
      <c r="H182" s="15" t="s">
        <v>7</v>
      </c>
      <c r="I182" s="16">
        <f>testdata[[#This Row],[Hpoint]]</f>
        <v>239.74</v>
      </c>
      <c r="J182" s="7" t="str">
        <f>IF(testdata[[#This Row],[low]]&lt;MIN(E178:E181,E183:E186),testdata[[#This Row],[low]],"")</f>
        <v/>
      </c>
      <c r="K182" s="15" t="s">
        <v>8</v>
      </c>
      <c r="L182" s="16">
        <f t="shared" ca="1" si="7"/>
        <v>236.70499999999964</v>
      </c>
      <c r="N182" s="2">
        <v>42998</v>
      </c>
      <c r="O182" s="1">
        <v>239.74</v>
      </c>
      <c r="P182" s="14" t="s">
        <v>7</v>
      </c>
      <c r="Q182" s="9">
        <v>239.74</v>
      </c>
      <c r="R182" s="1"/>
      <c r="S182" s="14" t="s">
        <v>8</v>
      </c>
      <c r="T182" s="10">
        <v>236.70500000000001</v>
      </c>
    </row>
    <row r="183" spans="1:20" x14ac:dyDescent="0.35">
      <c r="A183" s="4">
        <v>181</v>
      </c>
      <c r="B183" s="2">
        <v>42999</v>
      </c>
      <c r="C183" s="1">
        <v>239.44</v>
      </c>
      <c r="D183" s="1">
        <v>239.54</v>
      </c>
      <c r="E183" s="1">
        <v>238.78</v>
      </c>
      <c r="F183" s="1">
        <v>238.97</v>
      </c>
      <c r="G183" s="1" t="str">
        <f>IF(testdata[[#This Row],[high]]&gt;MAX(D179:D182,D184:D187),testdata[[#This Row],[high]],"")</f>
        <v/>
      </c>
      <c r="H183" s="14"/>
      <c r="I183" s="9"/>
      <c r="J183" s="1" t="str">
        <f>IF(testdata[[#This Row],[low]]&lt;MIN(E179:E182,E184:E187),testdata[[#This Row],[low]],"")</f>
        <v/>
      </c>
      <c r="K183" s="14" t="s">
        <v>8</v>
      </c>
      <c r="L183" s="10">
        <f t="shared" ca="1" si="7"/>
        <v>237.04333333333309</v>
      </c>
      <c r="N183" s="2">
        <v>42999</v>
      </c>
      <c r="O183" s="1"/>
      <c r="P183" s="14"/>
      <c r="Q183" s="9"/>
      <c r="R183" s="1"/>
      <c r="S183" s="14" t="s">
        <v>8</v>
      </c>
      <c r="T183" s="10">
        <v>237.04329999999999</v>
      </c>
    </row>
    <row r="184" spans="1:20" x14ac:dyDescent="0.35">
      <c r="A184" s="4">
        <v>182</v>
      </c>
      <c r="B184" s="2">
        <v>43000</v>
      </c>
      <c r="C184" s="1">
        <v>238.65</v>
      </c>
      <c r="D184" s="1">
        <v>239.2</v>
      </c>
      <c r="E184" s="1">
        <v>238.62</v>
      </c>
      <c r="F184" s="1">
        <v>239.02</v>
      </c>
      <c r="G184" s="1" t="str">
        <f>IF(testdata[[#This Row],[high]]&gt;MAX(D180:D183,D185:D188),testdata[[#This Row],[high]],"")</f>
        <v/>
      </c>
      <c r="H184" s="14"/>
      <c r="I184" s="9"/>
      <c r="J184" s="1" t="str">
        <f>IF(testdata[[#This Row],[low]]&lt;MIN(E180:E183,E185:E188),testdata[[#This Row],[low]],"")</f>
        <v/>
      </c>
      <c r="K184" s="14" t="s">
        <v>8</v>
      </c>
      <c r="L184" s="10">
        <f t="shared" ca="1" si="7"/>
        <v>237.38166666666655</v>
      </c>
      <c r="N184" s="2">
        <v>43000</v>
      </c>
      <c r="O184" s="1"/>
      <c r="P184" s="14"/>
      <c r="Q184" s="9"/>
      <c r="R184" s="1"/>
      <c r="S184" s="14" t="s">
        <v>8</v>
      </c>
      <c r="T184" s="10">
        <v>237.3817</v>
      </c>
    </row>
    <row r="185" spans="1:20" x14ac:dyDescent="0.35">
      <c r="A185" s="4">
        <v>183</v>
      </c>
      <c r="B185" s="2">
        <v>43003</v>
      </c>
      <c r="C185" s="1">
        <v>238.74</v>
      </c>
      <c r="D185" s="1">
        <v>239.13</v>
      </c>
      <c r="E185" s="1">
        <v>237.72</v>
      </c>
      <c r="F185" s="1">
        <v>238.53</v>
      </c>
      <c r="G185" s="1" t="str">
        <f>IF(testdata[[#This Row],[high]]&gt;MAX(D181:D184,D186:D189),testdata[[#This Row],[high]],"")</f>
        <v/>
      </c>
      <c r="H185" s="14"/>
      <c r="I185" s="9"/>
      <c r="J185" s="1">
        <f>IF(testdata[[#This Row],[low]]&lt;MIN(E181:E184,E186:E189),testdata[[#This Row],[low]],"")</f>
        <v>237.72</v>
      </c>
      <c r="K185" s="14" t="s">
        <v>8</v>
      </c>
      <c r="L185" s="9">
        <f>testdata[[#This Row],[Lpoint]]</f>
        <v>237.72</v>
      </c>
      <c r="N185" s="2">
        <v>43003</v>
      </c>
      <c r="O185" s="1"/>
      <c r="P185" s="14"/>
      <c r="Q185" s="9"/>
      <c r="R185" s="1">
        <v>237.72</v>
      </c>
      <c r="S185" s="14" t="s">
        <v>8</v>
      </c>
      <c r="T185" s="9">
        <v>237.72</v>
      </c>
    </row>
    <row r="186" spans="1:20" x14ac:dyDescent="0.35">
      <c r="A186" s="4">
        <v>184</v>
      </c>
      <c r="B186" s="2">
        <v>43004</v>
      </c>
      <c r="C186" s="1">
        <v>239</v>
      </c>
      <c r="D186" s="1">
        <v>239.27</v>
      </c>
      <c r="E186" s="1">
        <v>238.41</v>
      </c>
      <c r="F186" s="1">
        <v>238.68</v>
      </c>
      <c r="G186" s="1" t="str">
        <f>IF(testdata[[#This Row],[high]]&gt;MAX(D182:D185,D187:D190),testdata[[#This Row],[high]],"")</f>
        <v/>
      </c>
      <c r="H186" s="14"/>
      <c r="I186" s="9"/>
      <c r="J186" s="1" t="str">
        <f>IF(testdata[[#This Row],[low]]&lt;MIN(E182:E185,E187:E190),testdata[[#This Row],[low]],"")</f>
        <v/>
      </c>
      <c r="K186" s="14"/>
      <c r="L186" s="9"/>
      <c r="N186" s="2">
        <v>43004</v>
      </c>
      <c r="O186" s="1"/>
      <c r="P186" s="14"/>
      <c r="Q186" s="9"/>
      <c r="R186" s="1"/>
      <c r="S186" s="14"/>
      <c r="T186" s="9"/>
    </row>
    <row r="187" spans="1:20" x14ac:dyDescent="0.35">
      <c r="A187" s="4">
        <v>185</v>
      </c>
      <c r="B187" s="2">
        <v>43005</v>
      </c>
      <c r="C187" s="1">
        <v>239.44</v>
      </c>
      <c r="D187" s="1">
        <v>240.03</v>
      </c>
      <c r="E187" s="1">
        <v>238.47</v>
      </c>
      <c r="F187" s="1">
        <v>239.6</v>
      </c>
      <c r="G187" s="1" t="str">
        <f>IF(testdata[[#This Row],[high]]&gt;MAX(D183:D186,D188:D191),testdata[[#This Row],[high]],"")</f>
        <v/>
      </c>
      <c r="H187" s="14"/>
      <c r="I187" s="9"/>
      <c r="J187" s="1" t="str">
        <f>IF(testdata[[#This Row],[low]]&lt;MIN(E183:E186,E188:E191),testdata[[#This Row],[low]],"")</f>
        <v/>
      </c>
      <c r="K187" s="14"/>
      <c r="L187" s="9"/>
      <c r="N187" s="2">
        <v>43005</v>
      </c>
      <c r="O187" s="1"/>
      <c r="P187" s="14"/>
      <c r="Q187" s="9"/>
      <c r="R187" s="1"/>
      <c r="S187" s="14"/>
      <c r="T187" s="9"/>
    </row>
    <row r="188" spans="1:20" x14ac:dyDescent="0.35">
      <c r="A188" s="4">
        <v>186</v>
      </c>
      <c r="B188" s="2">
        <v>43006</v>
      </c>
      <c r="C188" s="1">
        <v>239.3</v>
      </c>
      <c r="D188" s="1">
        <v>239.98</v>
      </c>
      <c r="E188" s="1">
        <v>239.2</v>
      </c>
      <c r="F188" s="1">
        <v>239.89</v>
      </c>
      <c r="G188" s="1" t="str">
        <f>IF(testdata[[#This Row],[high]]&gt;MAX(D184:D187,D189:D192),testdata[[#This Row],[high]],"")</f>
        <v/>
      </c>
      <c r="H188" s="14"/>
      <c r="I188" s="9"/>
      <c r="J188" s="1" t="str">
        <f>IF(testdata[[#This Row],[low]]&lt;MIN(E184:E187,E189:E192),testdata[[#This Row],[low]],"")</f>
        <v/>
      </c>
      <c r="K188" s="14"/>
      <c r="L188" s="9"/>
      <c r="N188" s="2">
        <v>43006</v>
      </c>
      <c r="O188" s="1"/>
      <c r="P188" s="14"/>
      <c r="Q188" s="9"/>
      <c r="R188" s="1"/>
      <c r="S188" s="14"/>
      <c r="T188" s="9"/>
    </row>
    <row r="189" spans="1:20" x14ac:dyDescent="0.35">
      <c r="A189" s="4">
        <v>187</v>
      </c>
      <c r="B189" s="2">
        <v>43007</v>
      </c>
      <c r="C189" s="1">
        <v>239.88</v>
      </c>
      <c r="D189" s="1">
        <v>240.82</v>
      </c>
      <c r="E189" s="1">
        <v>239.68</v>
      </c>
      <c r="F189" s="1">
        <v>240.74</v>
      </c>
      <c r="G189" s="1" t="str">
        <f>IF(testdata[[#This Row],[high]]&gt;MAX(D185:D188,D190:D193),testdata[[#This Row],[high]],"")</f>
        <v/>
      </c>
      <c r="H189" s="14"/>
      <c r="I189" s="9"/>
      <c r="J189" s="1" t="str">
        <f>IF(testdata[[#This Row],[low]]&lt;MIN(E185:E188,E190:E193),testdata[[#This Row],[low]],"")</f>
        <v/>
      </c>
      <c r="K189" s="14"/>
      <c r="L189" s="9"/>
      <c r="N189" s="2">
        <v>43007</v>
      </c>
      <c r="O189" s="1"/>
      <c r="P189" s="14"/>
      <c r="Q189" s="9"/>
      <c r="R189" s="1"/>
      <c r="S189" s="14"/>
      <c r="T189" s="9"/>
    </row>
    <row r="190" spans="1:20" x14ac:dyDescent="0.35">
      <c r="A190" s="4">
        <v>188</v>
      </c>
      <c r="B190" s="2">
        <v>43010</v>
      </c>
      <c r="C190" s="1">
        <v>240.98</v>
      </c>
      <c r="D190" s="1">
        <v>241.78</v>
      </c>
      <c r="E190" s="1">
        <v>240.8</v>
      </c>
      <c r="F190" s="1">
        <v>241.78</v>
      </c>
      <c r="G190" s="1" t="str">
        <f>IF(testdata[[#This Row],[high]]&gt;MAX(D186:D189,D191:D194),testdata[[#This Row],[high]],"")</f>
        <v/>
      </c>
      <c r="H190" s="14"/>
      <c r="I190" s="9"/>
      <c r="J190" s="1" t="str">
        <f>IF(testdata[[#This Row],[low]]&lt;MIN(E186:E189,E191:E194),testdata[[#This Row],[low]],"")</f>
        <v/>
      </c>
      <c r="K190" s="14"/>
      <c r="L190" s="9"/>
      <c r="N190" s="2">
        <v>43010</v>
      </c>
      <c r="O190" s="1"/>
      <c r="P190" s="14"/>
      <c r="Q190" s="9"/>
      <c r="R190" s="1"/>
      <c r="S190" s="14"/>
      <c r="T190" s="9"/>
    </row>
    <row r="191" spans="1:20" x14ac:dyDescent="0.35">
      <c r="A191" s="4">
        <v>189</v>
      </c>
      <c r="B191" s="2">
        <v>43011</v>
      </c>
      <c r="C191" s="1">
        <v>241.91</v>
      </c>
      <c r="D191" s="1">
        <v>242.33</v>
      </c>
      <c r="E191" s="1">
        <v>241.69</v>
      </c>
      <c r="F191" s="1">
        <v>242.3</v>
      </c>
      <c r="G191" s="1" t="str">
        <f>IF(testdata[[#This Row],[high]]&gt;MAX(D187:D190,D192:D195),testdata[[#This Row],[high]],"")</f>
        <v/>
      </c>
      <c r="H191" s="14"/>
      <c r="I191" s="9"/>
      <c r="J191" s="1" t="str">
        <f>IF(testdata[[#This Row],[low]]&lt;MIN(E187:E190,E192:E195),testdata[[#This Row],[low]],"")</f>
        <v/>
      </c>
      <c r="K191" s="14"/>
      <c r="L191" s="9"/>
      <c r="N191" s="2">
        <v>43011</v>
      </c>
      <c r="O191" s="1"/>
      <c r="P191" s="14"/>
      <c r="Q191" s="9"/>
      <c r="R191" s="1"/>
      <c r="S191" s="14"/>
      <c r="T191" s="9"/>
    </row>
    <row r="192" spans="1:20" x14ac:dyDescent="0.35">
      <c r="A192" s="4">
        <v>190</v>
      </c>
      <c r="B192" s="2">
        <v>43012</v>
      </c>
      <c r="C192" s="1">
        <v>242.13</v>
      </c>
      <c r="D192" s="1">
        <v>242.85</v>
      </c>
      <c r="E192" s="1">
        <v>242.01</v>
      </c>
      <c r="F192" s="1">
        <v>242.58</v>
      </c>
      <c r="G192" s="1" t="str">
        <f>IF(testdata[[#This Row],[high]]&gt;MAX(D188:D191,D193:D196),testdata[[#This Row],[high]],"")</f>
        <v/>
      </c>
      <c r="H192" s="14"/>
      <c r="I192" s="9"/>
      <c r="J192" s="1" t="str">
        <f>IF(testdata[[#This Row],[low]]&lt;MIN(E188:E191,E193:E196),testdata[[#This Row],[low]],"")</f>
        <v/>
      </c>
      <c r="K192" s="14"/>
      <c r="L192" s="9"/>
      <c r="N192" s="2">
        <v>43012</v>
      </c>
      <c r="O192" s="1"/>
      <c r="P192" s="14"/>
      <c r="Q192" s="9"/>
      <c r="R192" s="1"/>
      <c r="S192" s="14"/>
      <c r="T192" s="9"/>
    </row>
    <row r="193" spans="1:20" x14ac:dyDescent="0.35">
      <c r="A193" s="4">
        <v>191</v>
      </c>
      <c r="B193" s="2">
        <v>43013</v>
      </c>
      <c r="C193" s="1">
        <v>242.95</v>
      </c>
      <c r="D193" s="1">
        <v>244.04</v>
      </c>
      <c r="E193" s="1">
        <v>242.62</v>
      </c>
      <c r="F193" s="1">
        <v>244.02</v>
      </c>
      <c r="G193" s="1" t="str">
        <f>IF(testdata[[#This Row],[high]]&gt;MAX(D189:D192,D194:D197),testdata[[#This Row],[high]],"")</f>
        <v/>
      </c>
      <c r="H193" s="14"/>
      <c r="I193" s="9"/>
      <c r="J193" s="1" t="str">
        <f>IF(testdata[[#This Row],[low]]&lt;MIN(E189:E192,E194:E197),testdata[[#This Row],[low]],"")</f>
        <v/>
      </c>
      <c r="K193" s="14"/>
      <c r="L193" s="9"/>
      <c r="N193" s="2">
        <v>43013</v>
      </c>
      <c r="O193" s="1"/>
      <c r="P193" s="14"/>
      <c r="Q193" s="9"/>
      <c r="R193" s="1"/>
      <c r="S193" s="14"/>
      <c r="T193" s="9"/>
    </row>
    <row r="194" spans="1:20" x14ac:dyDescent="0.35">
      <c r="A194" s="4">
        <v>192</v>
      </c>
      <c r="B194" s="2">
        <v>43014</v>
      </c>
      <c r="C194" s="1">
        <v>243.53</v>
      </c>
      <c r="D194" s="1">
        <v>244.06</v>
      </c>
      <c r="E194" s="1">
        <v>243.25</v>
      </c>
      <c r="F194" s="1">
        <v>243.74</v>
      </c>
      <c r="G194" s="1" t="str">
        <f>IF(testdata[[#This Row],[high]]&gt;MAX(D190:D193,D195:D198),testdata[[#This Row],[high]],"")</f>
        <v/>
      </c>
      <c r="H194" s="14"/>
      <c r="I194" s="9"/>
      <c r="J194" s="1" t="str">
        <f>IF(testdata[[#This Row],[low]]&lt;MIN(E190:E193,E195:E198),testdata[[#This Row],[low]],"")</f>
        <v/>
      </c>
      <c r="K194" s="14"/>
      <c r="L194" s="9"/>
      <c r="N194" s="2">
        <v>43014</v>
      </c>
      <c r="O194" s="1"/>
      <c r="P194" s="14"/>
      <c r="Q194" s="9"/>
      <c r="R194" s="1"/>
      <c r="S194" s="14"/>
      <c r="T194" s="9"/>
    </row>
    <row r="195" spans="1:20" x14ac:dyDescent="0.35">
      <c r="A195" s="4">
        <v>193</v>
      </c>
      <c r="B195" s="2">
        <v>43017</v>
      </c>
      <c r="C195" s="1">
        <v>243.99</v>
      </c>
      <c r="D195" s="1">
        <v>244.06</v>
      </c>
      <c r="E195" s="1">
        <v>243.05</v>
      </c>
      <c r="F195" s="1">
        <v>243.34</v>
      </c>
      <c r="G195" s="1" t="str">
        <f>IF(testdata[[#This Row],[high]]&gt;MAX(D191:D194,D196:D199),testdata[[#This Row],[high]],"")</f>
        <v/>
      </c>
      <c r="H195" s="14"/>
      <c r="I195" s="9"/>
      <c r="J195" s="1" t="str">
        <f>IF(testdata[[#This Row],[low]]&lt;MIN(E191:E194,E196:E199),testdata[[#This Row],[low]],"")</f>
        <v/>
      </c>
      <c r="K195" s="14"/>
      <c r="L195" s="9"/>
      <c r="N195" s="2">
        <v>43017</v>
      </c>
      <c r="O195" s="1"/>
      <c r="P195" s="14"/>
      <c r="Q195" s="9"/>
      <c r="R195" s="1"/>
      <c r="S195" s="14"/>
      <c r="T195" s="9"/>
    </row>
    <row r="196" spans="1:20" x14ac:dyDescent="0.35">
      <c r="A196" s="4">
        <v>194</v>
      </c>
      <c r="B196" s="2">
        <v>43018</v>
      </c>
      <c r="C196" s="1">
        <v>243.96</v>
      </c>
      <c r="D196" s="1">
        <v>244.4</v>
      </c>
      <c r="E196" s="1">
        <v>243.37</v>
      </c>
      <c r="F196" s="1">
        <v>243.98</v>
      </c>
      <c r="G196" s="1" t="str">
        <f>IF(testdata[[#This Row],[high]]&gt;MAX(D192:D195,D197:D200),testdata[[#This Row],[high]],"")</f>
        <v/>
      </c>
      <c r="H196" s="14"/>
      <c r="I196" s="9"/>
      <c r="J196" s="1" t="str">
        <f>IF(testdata[[#This Row],[low]]&lt;MIN(E192:E195,E197:E200),testdata[[#This Row],[low]],"")</f>
        <v/>
      </c>
      <c r="K196" s="14"/>
      <c r="L196" s="9"/>
      <c r="N196" s="2">
        <v>43018</v>
      </c>
      <c r="O196" s="1"/>
      <c r="P196" s="14"/>
      <c r="Q196" s="9"/>
      <c r="R196" s="1"/>
      <c r="S196" s="14"/>
      <c r="T196" s="9"/>
    </row>
    <row r="197" spans="1:20" x14ac:dyDescent="0.35">
      <c r="A197" s="4">
        <v>195</v>
      </c>
      <c r="B197" s="2">
        <v>43019</v>
      </c>
      <c r="C197" s="1">
        <v>243.88</v>
      </c>
      <c r="D197" s="1">
        <v>244.37</v>
      </c>
      <c r="E197" s="1">
        <v>243.7</v>
      </c>
      <c r="F197" s="1">
        <v>244.37</v>
      </c>
      <c r="G197" s="1" t="str">
        <f>IF(testdata[[#This Row],[high]]&gt;MAX(D193:D196,D198:D201),testdata[[#This Row],[high]],"")</f>
        <v/>
      </c>
      <c r="H197" s="14"/>
      <c r="I197" s="9"/>
      <c r="J197" s="1" t="str">
        <f>IF(testdata[[#This Row],[low]]&lt;MIN(E193:E196,E198:E201),testdata[[#This Row],[low]],"")</f>
        <v/>
      </c>
      <c r="K197" s="14"/>
      <c r="L197" s="9"/>
      <c r="N197" s="2">
        <v>43019</v>
      </c>
      <c r="O197" s="1"/>
      <c r="P197" s="14"/>
      <c r="Q197" s="9"/>
      <c r="R197" s="1"/>
      <c r="S197" s="14"/>
      <c r="T197" s="9"/>
    </row>
    <row r="198" spans="1:20" x14ac:dyDescent="0.35">
      <c r="A198" s="4">
        <v>196</v>
      </c>
      <c r="B198" s="2">
        <v>43020</v>
      </c>
      <c r="C198" s="1">
        <v>244.02</v>
      </c>
      <c r="D198" s="1">
        <v>244.41</v>
      </c>
      <c r="E198" s="1">
        <v>243.74</v>
      </c>
      <c r="F198" s="1">
        <v>244</v>
      </c>
      <c r="G198" s="1" t="str">
        <f>IF(testdata[[#This Row],[high]]&gt;MAX(D194:D197,D199:D202),testdata[[#This Row],[high]],"")</f>
        <v/>
      </c>
      <c r="H198" s="14"/>
      <c r="I198" s="9"/>
      <c r="J198" s="1" t="str">
        <f>IF(testdata[[#This Row],[low]]&lt;MIN(E194:E197,E199:E202),testdata[[#This Row],[low]],"")</f>
        <v/>
      </c>
      <c r="K198" s="14"/>
      <c r="L198" s="9"/>
      <c r="N198" s="2">
        <v>43020</v>
      </c>
      <c r="O198" s="1"/>
      <c r="P198" s="14"/>
      <c r="Q198" s="9"/>
      <c r="R198" s="1"/>
      <c r="S198" s="14"/>
      <c r="T198" s="9"/>
    </row>
    <row r="199" spans="1:20" x14ac:dyDescent="0.35">
      <c r="A199" s="4">
        <v>197</v>
      </c>
      <c r="B199" s="2">
        <v>43021</v>
      </c>
      <c r="C199" s="1">
        <v>244.48</v>
      </c>
      <c r="D199" s="1">
        <v>244.61</v>
      </c>
      <c r="E199" s="1">
        <v>244</v>
      </c>
      <c r="F199" s="1">
        <v>244.3</v>
      </c>
      <c r="G199" s="1" t="str">
        <f>IF(testdata[[#This Row],[high]]&gt;MAX(D195:D198,D200:D203),testdata[[#This Row],[high]],"")</f>
        <v/>
      </c>
      <c r="H199" s="14"/>
      <c r="I199" s="9"/>
      <c r="J199" s="1" t="str">
        <f>IF(testdata[[#This Row],[low]]&lt;MIN(E195:E198,E200:E203),testdata[[#This Row],[low]],"")</f>
        <v/>
      </c>
      <c r="K199" s="14"/>
      <c r="L199" s="9"/>
      <c r="N199" s="2">
        <v>43021</v>
      </c>
      <c r="O199" s="1"/>
      <c r="P199" s="14"/>
      <c r="Q199" s="9"/>
      <c r="R199" s="1"/>
      <c r="S199" s="14"/>
      <c r="T199" s="9"/>
    </row>
    <row r="200" spans="1:20" x14ac:dyDescent="0.35">
      <c r="A200" s="4">
        <v>198</v>
      </c>
      <c r="B200" s="2">
        <v>43024</v>
      </c>
      <c r="C200" s="1">
        <v>244.55</v>
      </c>
      <c r="D200" s="1">
        <v>244.84</v>
      </c>
      <c r="E200" s="1">
        <v>244.18</v>
      </c>
      <c r="F200" s="1">
        <v>244.63</v>
      </c>
      <c r="G200" s="1" t="str">
        <f>IF(testdata[[#This Row],[high]]&gt;MAX(D196:D199,D201:D204),testdata[[#This Row],[high]],"")</f>
        <v/>
      </c>
      <c r="H200" s="14"/>
      <c r="I200" s="9"/>
      <c r="J200" s="1" t="str">
        <f>IF(testdata[[#This Row],[low]]&lt;MIN(E196:E199,E201:E204),testdata[[#This Row],[low]],"")</f>
        <v/>
      </c>
      <c r="K200" s="14"/>
      <c r="L200" s="9"/>
      <c r="N200" s="2">
        <v>43024</v>
      </c>
      <c r="O200" s="1"/>
      <c r="P200" s="14"/>
      <c r="Q200" s="9"/>
      <c r="R200" s="1"/>
      <c r="S200" s="14"/>
      <c r="T200" s="9"/>
    </row>
    <row r="201" spans="1:20" x14ac:dyDescent="0.35">
      <c r="A201" s="4">
        <v>199</v>
      </c>
      <c r="B201" s="2">
        <v>43025</v>
      </c>
      <c r="C201" s="1">
        <v>244.57</v>
      </c>
      <c r="D201" s="1">
        <v>244.85</v>
      </c>
      <c r="E201" s="1">
        <v>244.33</v>
      </c>
      <c r="F201" s="1">
        <v>244.8</v>
      </c>
      <c r="G201" s="1" t="str">
        <f>IF(testdata[[#This Row],[high]]&gt;MAX(D197:D200,D202:D205),testdata[[#This Row],[high]],"")</f>
        <v/>
      </c>
      <c r="H201" s="14"/>
      <c r="I201" s="9"/>
      <c r="J201" s="1" t="str">
        <f>IF(testdata[[#This Row],[low]]&lt;MIN(E197:E200,E202:E205),testdata[[#This Row],[low]],"")</f>
        <v/>
      </c>
      <c r="K201" s="14"/>
      <c r="L201" s="9"/>
      <c r="N201" s="2">
        <v>43025</v>
      </c>
      <c r="O201" s="1"/>
      <c r="P201" s="14"/>
      <c r="Q201" s="9"/>
      <c r="R201" s="1"/>
      <c r="S201" s="14"/>
      <c r="T201" s="9"/>
    </row>
    <row r="202" spans="1:20" x14ac:dyDescent="0.35">
      <c r="A202" s="4">
        <v>200</v>
      </c>
      <c r="B202" s="2">
        <v>43026</v>
      </c>
      <c r="C202" s="1">
        <v>245.21</v>
      </c>
      <c r="D202" s="1">
        <v>245.26</v>
      </c>
      <c r="E202" s="1">
        <v>244.83</v>
      </c>
      <c r="F202" s="1">
        <v>245.04</v>
      </c>
      <c r="G202" s="1" t="str">
        <f>IF(testdata[[#This Row],[high]]&gt;MAX(D198:D201,D203:D206),testdata[[#This Row],[high]],"")</f>
        <v/>
      </c>
      <c r="H202" s="14"/>
      <c r="I202" s="9"/>
      <c r="J202" s="1" t="str">
        <f>IF(testdata[[#This Row],[low]]&lt;MIN(E198:E201,E203:E206),testdata[[#This Row],[low]],"")</f>
        <v/>
      </c>
      <c r="K202" s="14"/>
      <c r="L202" s="9"/>
      <c r="N202" s="2">
        <v>43026</v>
      </c>
      <c r="O202" s="1"/>
      <c r="P202" s="14"/>
      <c r="Q202" s="9"/>
      <c r="R202" s="1"/>
      <c r="S202" s="14"/>
      <c r="T202" s="9"/>
    </row>
    <row r="203" spans="1:20" x14ac:dyDescent="0.35">
      <c r="A203" s="4">
        <v>201</v>
      </c>
      <c r="B203" s="2">
        <v>43027</v>
      </c>
      <c r="C203" s="1">
        <v>244.18</v>
      </c>
      <c r="D203" s="1">
        <v>245.14</v>
      </c>
      <c r="E203" s="1">
        <v>243.72</v>
      </c>
      <c r="F203" s="1">
        <v>245.1</v>
      </c>
      <c r="G203" s="1" t="str">
        <f>IF(testdata[[#This Row],[high]]&gt;MAX(D199:D202,D204:D207),testdata[[#This Row],[high]],"")</f>
        <v/>
      </c>
      <c r="H203" s="14"/>
      <c r="I203" s="9"/>
      <c r="J203" s="1" t="str">
        <f>IF(testdata[[#This Row],[low]]&lt;MIN(E199:E202,E204:E207),testdata[[#This Row],[low]],"")</f>
        <v/>
      </c>
      <c r="K203" s="14"/>
      <c r="L203" s="9"/>
      <c r="N203" s="2">
        <v>43027</v>
      </c>
      <c r="O203" s="1"/>
      <c r="P203" s="14"/>
      <c r="Q203" s="9"/>
      <c r="R203" s="1"/>
      <c r="S203" s="14"/>
      <c r="T203" s="9"/>
    </row>
    <row r="204" spans="1:20" x14ac:dyDescent="0.35">
      <c r="A204" s="4">
        <v>202</v>
      </c>
      <c r="B204" s="2">
        <v>43028</v>
      </c>
      <c r="C204" s="1">
        <v>245.98</v>
      </c>
      <c r="D204" s="1">
        <v>246.4</v>
      </c>
      <c r="E204" s="1">
        <v>245.09</v>
      </c>
      <c r="F204" s="1">
        <v>246.37</v>
      </c>
      <c r="G204" s="1" t="str">
        <f>IF(testdata[[#This Row],[high]]&gt;MAX(D200:D203,D205:D208),testdata[[#This Row],[high]],"")</f>
        <v/>
      </c>
      <c r="H204" s="14"/>
      <c r="I204" s="9"/>
      <c r="J204" s="1" t="str">
        <f>IF(testdata[[#This Row],[low]]&lt;MIN(E200:E203,E205:E208),testdata[[#This Row],[low]],"")</f>
        <v/>
      </c>
      <c r="K204" s="14"/>
      <c r="L204" s="9"/>
      <c r="N204" s="2">
        <v>43028</v>
      </c>
      <c r="O204" s="1"/>
      <c r="P204" s="14"/>
      <c r="Q204" s="9"/>
      <c r="R204" s="1"/>
      <c r="S204" s="14"/>
      <c r="T204" s="9"/>
    </row>
    <row r="205" spans="1:20" x14ac:dyDescent="0.35">
      <c r="A205" s="4">
        <v>203</v>
      </c>
      <c r="B205" s="2">
        <v>43031</v>
      </c>
      <c r="C205" s="1">
        <v>246.72</v>
      </c>
      <c r="D205" s="1">
        <v>246.75</v>
      </c>
      <c r="E205" s="1">
        <v>245.33</v>
      </c>
      <c r="F205" s="1">
        <v>245.41</v>
      </c>
      <c r="G205" s="1" t="str">
        <f>IF(testdata[[#This Row],[high]]&gt;MAX(D201:D204,D206:D209),testdata[[#This Row],[high]],"")</f>
        <v/>
      </c>
      <c r="H205" s="14"/>
      <c r="I205" s="9"/>
      <c r="J205" s="1" t="str">
        <f>IF(testdata[[#This Row],[low]]&lt;MIN(E201:E204,E206:E209),testdata[[#This Row],[low]],"")</f>
        <v/>
      </c>
      <c r="K205" s="14"/>
      <c r="L205" s="9"/>
      <c r="N205" s="2">
        <v>43031</v>
      </c>
      <c r="O205" s="1"/>
      <c r="P205" s="14"/>
      <c r="Q205" s="9"/>
      <c r="R205" s="1"/>
      <c r="S205" s="14"/>
      <c r="T205" s="9"/>
    </row>
    <row r="206" spans="1:20" x14ac:dyDescent="0.35">
      <c r="A206" s="4">
        <v>204</v>
      </c>
      <c r="B206" s="2">
        <v>43032</v>
      </c>
      <c r="C206" s="1">
        <v>245.88</v>
      </c>
      <c r="D206" s="1">
        <v>246.1</v>
      </c>
      <c r="E206" s="1">
        <v>245.45</v>
      </c>
      <c r="F206" s="1">
        <v>245.84</v>
      </c>
      <c r="G206" s="1" t="str">
        <f>IF(testdata[[#This Row],[high]]&gt;MAX(D202:D205,D207:D210),testdata[[#This Row],[high]],"")</f>
        <v/>
      </c>
      <c r="H206" s="14"/>
      <c r="I206" s="9"/>
      <c r="J206" s="1" t="str">
        <f>IF(testdata[[#This Row],[low]]&lt;MIN(E202:E205,E207:E210),testdata[[#This Row],[low]],"")</f>
        <v/>
      </c>
      <c r="K206" s="14"/>
      <c r="L206" s="9"/>
      <c r="N206" s="2">
        <v>43032</v>
      </c>
      <c r="O206" s="1"/>
      <c r="P206" s="14"/>
      <c r="Q206" s="9"/>
      <c r="R206" s="1"/>
      <c r="S206" s="14"/>
      <c r="T206" s="9"/>
    </row>
    <row r="207" spans="1:20" x14ac:dyDescent="0.35">
      <c r="A207" s="4">
        <v>205</v>
      </c>
      <c r="B207" s="2">
        <v>43033</v>
      </c>
      <c r="C207" s="1">
        <v>245.48</v>
      </c>
      <c r="D207" s="1">
        <v>245.6</v>
      </c>
      <c r="E207" s="1">
        <v>243.39</v>
      </c>
      <c r="F207" s="1">
        <v>244.63</v>
      </c>
      <c r="G207" s="1" t="str">
        <f>IF(testdata[[#This Row],[high]]&gt;MAX(D203:D206,D208:D211),testdata[[#This Row],[high]],"")</f>
        <v/>
      </c>
      <c r="H207" s="14"/>
      <c r="I207" s="9"/>
      <c r="J207" s="1">
        <f>IF(testdata[[#This Row],[low]]&lt;MIN(E203:E206,E208:E211),testdata[[#This Row],[low]],"")</f>
        <v>243.39</v>
      </c>
      <c r="K207" s="14"/>
      <c r="L207" s="9">
        <f>testdata[[#This Row],[Lpoint]]</f>
        <v>243.39</v>
      </c>
      <c r="N207" s="2">
        <v>43033</v>
      </c>
      <c r="O207" s="1"/>
      <c r="P207" s="14"/>
      <c r="Q207" s="9"/>
      <c r="R207" s="1">
        <v>243.39</v>
      </c>
      <c r="S207" s="14"/>
      <c r="T207" s="9">
        <v>243.39</v>
      </c>
    </row>
    <row r="208" spans="1:20" x14ac:dyDescent="0.35">
      <c r="A208" s="4">
        <v>206</v>
      </c>
      <c r="B208" s="2">
        <v>43034</v>
      </c>
      <c r="C208" s="1">
        <v>245.3</v>
      </c>
      <c r="D208" s="1">
        <v>245.59</v>
      </c>
      <c r="E208" s="1">
        <v>244.81</v>
      </c>
      <c r="F208" s="1">
        <v>244.94</v>
      </c>
      <c r="G208" s="1" t="str">
        <f>IF(testdata[[#This Row],[high]]&gt;MAX(D204:D207,D209:D212),testdata[[#This Row],[high]],"")</f>
        <v/>
      </c>
      <c r="H208" s="14"/>
      <c r="I208" s="9"/>
      <c r="J208" s="1" t="str">
        <f>IF(testdata[[#This Row],[low]]&lt;MIN(E204:E207,E209:E212),testdata[[#This Row],[low]],"")</f>
        <v/>
      </c>
      <c r="K208" s="14" t="s">
        <v>8</v>
      </c>
      <c r="L208" s="10">
        <f t="shared" ref="L208:L221" ca="1" si="8">AVERAGE(L207,L209)</f>
        <v>243.49399999999986</v>
      </c>
      <c r="N208" s="2">
        <v>43034</v>
      </c>
      <c r="O208" s="1"/>
      <c r="P208" s="14"/>
      <c r="Q208" s="9"/>
      <c r="R208" s="1"/>
      <c r="S208" s="14" t="s">
        <v>8</v>
      </c>
      <c r="T208" s="10">
        <v>243.494</v>
      </c>
    </row>
    <row r="209" spans="1:20" x14ac:dyDescent="0.35">
      <c r="A209" s="4">
        <v>207</v>
      </c>
      <c r="B209" s="2">
        <v>43035</v>
      </c>
      <c r="C209" s="1">
        <v>245.76</v>
      </c>
      <c r="D209" s="1">
        <v>247.12</v>
      </c>
      <c r="E209" s="1">
        <v>244.95</v>
      </c>
      <c r="F209" s="1">
        <v>246.94</v>
      </c>
      <c r="G209" s="1" t="str">
        <f>IF(testdata[[#This Row],[high]]&gt;MAX(D205:D208,D210:D213),testdata[[#This Row],[high]],"")</f>
        <v/>
      </c>
      <c r="H209" s="14"/>
      <c r="I209" s="9"/>
      <c r="J209" s="1" t="str">
        <f>IF(testdata[[#This Row],[low]]&lt;MIN(E205:E208,E210:E213),testdata[[#This Row],[low]],"")</f>
        <v/>
      </c>
      <c r="K209" s="14" t="s">
        <v>8</v>
      </c>
      <c r="L209" s="10">
        <f t="shared" ca="1" si="8"/>
        <v>243.59799999999976</v>
      </c>
      <c r="N209" s="2">
        <v>43035</v>
      </c>
      <c r="O209" s="1"/>
      <c r="P209" s="14"/>
      <c r="Q209" s="9"/>
      <c r="R209" s="1"/>
      <c r="S209" s="14" t="s">
        <v>8</v>
      </c>
      <c r="T209" s="10">
        <v>243.59800000000001</v>
      </c>
    </row>
    <row r="210" spans="1:20" x14ac:dyDescent="0.35">
      <c r="A210" s="4">
        <v>208</v>
      </c>
      <c r="B210" s="2">
        <v>43038</v>
      </c>
      <c r="C210" s="1">
        <v>246.33</v>
      </c>
      <c r="D210" s="1">
        <v>246.84</v>
      </c>
      <c r="E210" s="1">
        <v>245.7</v>
      </c>
      <c r="F210" s="1">
        <v>246.02</v>
      </c>
      <c r="G210" s="1" t="str">
        <f>IF(testdata[[#This Row],[high]]&gt;MAX(D206:D209,D211:D214),testdata[[#This Row],[high]],"")</f>
        <v/>
      </c>
      <c r="H210" s="14"/>
      <c r="I210" s="9"/>
      <c r="J210" s="1" t="str">
        <f>IF(testdata[[#This Row],[low]]&lt;MIN(E206:E209,E211:E214),testdata[[#This Row],[low]],"")</f>
        <v/>
      </c>
      <c r="K210" s="14" t="s">
        <v>8</v>
      </c>
      <c r="L210" s="10">
        <f t="shared" ca="1" si="8"/>
        <v>243.70199999999966</v>
      </c>
      <c r="N210" s="2">
        <v>43038</v>
      </c>
      <c r="O210" s="1"/>
      <c r="P210" s="14"/>
      <c r="Q210" s="9"/>
      <c r="R210" s="1"/>
      <c r="S210" s="14" t="s">
        <v>8</v>
      </c>
      <c r="T210" s="10">
        <v>243.702</v>
      </c>
    </row>
    <row r="211" spans="1:20" x14ac:dyDescent="0.35">
      <c r="A211" s="4">
        <v>209</v>
      </c>
      <c r="B211" s="2">
        <v>43039</v>
      </c>
      <c r="C211" s="1">
        <v>246.44</v>
      </c>
      <c r="D211" s="1">
        <v>246.69</v>
      </c>
      <c r="E211" s="1">
        <v>246.08</v>
      </c>
      <c r="F211" s="1">
        <v>246.41</v>
      </c>
      <c r="G211" s="1" t="str">
        <f>IF(testdata[[#This Row],[high]]&gt;MAX(D207:D210,D212:D215),testdata[[#This Row],[high]],"")</f>
        <v/>
      </c>
      <c r="H211" s="14"/>
      <c r="I211" s="9"/>
      <c r="J211" s="1" t="str">
        <f>IF(testdata[[#This Row],[low]]&lt;MIN(E207:E210,E212:E215),testdata[[#This Row],[low]],"")</f>
        <v/>
      </c>
      <c r="K211" s="14" t="s">
        <v>8</v>
      </c>
      <c r="L211" s="10">
        <f t="shared" ca="1" si="8"/>
        <v>243.80599999999959</v>
      </c>
      <c r="N211" s="2">
        <v>43039</v>
      </c>
      <c r="O211" s="1"/>
      <c r="P211" s="14"/>
      <c r="Q211" s="9"/>
      <c r="R211" s="1"/>
      <c r="S211" s="14" t="s">
        <v>8</v>
      </c>
      <c r="T211" s="10">
        <v>243.80600000000001</v>
      </c>
    </row>
    <row r="212" spans="1:20" x14ac:dyDescent="0.35">
      <c r="A212" s="4">
        <v>210</v>
      </c>
      <c r="B212" s="2">
        <v>43040</v>
      </c>
      <c r="C212" s="1">
        <v>247.26</v>
      </c>
      <c r="D212" s="1">
        <v>247.63</v>
      </c>
      <c r="E212" s="1">
        <v>246.33</v>
      </c>
      <c r="F212" s="1">
        <v>246.73</v>
      </c>
      <c r="G212" s="1" t="str">
        <f>IF(testdata[[#This Row],[high]]&gt;MAX(D208:D211,D213:D216),testdata[[#This Row],[high]],"")</f>
        <v/>
      </c>
      <c r="H212" s="14"/>
      <c r="I212" s="9"/>
      <c r="J212" s="1" t="str">
        <f>IF(testdata[[#This Row],[low]]&lt;MIN(E208:E211,E213:E216),testdata[[#This Row],[low]],"")</f>
        <v/>
      </c>
      <c r="K212" s="14" t="s">
        <v>8</v>
      </c>
      <c r="L212" s="10">
        <f t="shared" ca="1" si="8"/>
        <v>243.90999999999954</v>
      </c>
      <c r="N212" s="2">
        <v>43040</v>
      </c>
      <c r="O212" s="1"/>
      <c r="P212" s="14"/>
      <c r="Q212" s="9"/>
      <c r="R212" s="1"/>
      <c r="S212" s="14" t="s">
        <v>8</v>
      </c>
      <c r="T212" s="10">
        <v>243.91</v>
      </c>
    </row>
    <row r="213" spans="1:20" x14ac:dyDescent="0.35">
      <c r="A213" s="4">
        <v>211</v>
      </c>
      <c r="B213" s="2">
        <v>43041</v>
      </c>
      <c r="C213" s="1">
        <v>246.66</v>
      </c>
      <c r="D213" s="1">
        <v>246.98</v>
      </c>
      <c r="E213" s="1">
        <v>245.49</v>
      </c>
      <c r="F213" s="1">
        <v>246.83</v>
      </c>
      <c r="G213" s="1" t="str">
        <f>IF(testdata[[#This Row],[high]]&gt;MAX(D209:D212,D214:D217),testdata[[#This Row],[high]],"")</f>
        <v/>
      </c>
      <c r="H213" s="14"/>
      <c r="I213" s="9"/>
      <c r="J213" s="1" t="str">
        <f>IF(testdata[[#This Row],[low]]&lt;MIN(E209:E212,E214:E217),testdata[[#This Row],[low]],"")</f>
        <v/>
      </c>
      <c r="K213" s="14" t="s">
        <v>8</v>
      </c>
      <c r="L213" s="10">
        <f t="shared" ca="1" si="8"/>
        <v>244.0139999999995</v>
      </c>
      <c r="N213" s="2">
        <v>43041</v>
      </c>
      <c r="O213" s="1"/>
      <c r="P213" s="14"/>
      <c r="Q213" s="9"/>
      <c r="R213" s="1"/>
      <c r="S213" s="14" t="s">
        <v>8</v>
      </c>
      <c r="T213" s="10">
        <v>244.01400000000001</v>
      </c>
    </row>
    <row r="214" spans="1:20" x14ac:dyDescent="0.35">
      <c r="A214" s="4">
        <v>212</v>
      </c>
      <c r="B214" s="2">
        <v>43042</v>
      </c>
      <c r="C214" s="1">
        <v>247</v>
      </c>
      <c r="D214" s="1">
        <v>247.7</v>
      </c>
      <c r="E214" s="1">
        <v>246.55</v>
      </c>
      <c r="F214" s="1">
        <v>247.65</v>
      </c>
      <c r="G214" s="1" t="str">
        <f>IF(testdata[[#This Row],[high]]&gt;MAX(D210:D213,D215:D218),testdata[[#This Row],[high]],"")</f>
        <v/>
      </c>
      <c r="H214" s="14"/>
      <c r="I214" s="9"/>
      <c r="J214" s="1" t="str">
        <f>IF(testdata[[#This Row],[low]]&lt;MIN(E210:E213,E215:E218),testdata[[#This Row],[low]],"")</f>
        <v/>
      </c>
      <c r="K214" s="14" t="s">
        <v>8</v>
      </c>
      <c r="L214" s="10">
        <f t="shared" ca="1" si="8"/>
        <v>244.11799999999948</v>
      </c>
      <c r="N214" s="2">
        <v>43042</v>
      </c>
      <c r="O214" s="1"/>
      <c r="P214" s="14"/>
      <c r="Q214" s="9"/>
      <c r="R214" s="1"/>
      <c r="S214" s="14" t="s">
        <v>8</v>
      </c>
      <c r="T214" s="10">
        <v>244.11799999999999</v>
      </c>
    </row>
    <row r="215" spans="1:20" x14ac:dyDescent="0.35">
      <c r="A215" s="4">
        <v>213</v>
      </c>
      <c r="B215" s="2">
        <v>43045</v>
      </c>
      <c r="C215" s="1">
        <v>247.51</v>
      </c>
      <c r="D215" s="1">
        <v>248.18</v>
      </c>
      <c r="E215" s="1">
        <v>247.43</v>
      </c>
      <c r="F215" s="1">
        <v>248.04</v>
      </c>
      <c r="G215" s="1" t="str">
        <f>IF(testdata[[#This Row],[high]]&gt;MAX(D211:D214,D216:D219),testdata[[#This Row],[high]],"")</f>
        <v/>
      </c>
      <c r="H215" s="14"/>
      <c r="I215" s="9"/>
      <c r="J215" s="1" t="str">
        <f>IF(testdata[[#This Row],[low]]&lt;MIN(E211:E214,E216:E219),testdata[[#This Row],[low]],"")</f>
        <v/>
      </c>
      <c r="K215" s="14" t="s">
        <v>8</v>
      </c>
      <c r="L215" s="10">
        <f t="shared" ca="1" si="8"/>
        <v>244.2219999999995</v>
      </c>
      <c r="N215" s="2">
        <v>43045</v>
      </c>
      <c r="O215" s="1"/>
      <c r="P215" s="14"/>
      <c r="Q215" s="9"/>
      <c r="R215" s="1"/>
      <c r="S215" s="14" t="s">
        <v>8</v>
      </c>
      <c r="T215" s="10">
        <v>244.22200000000001</v>
      </c>
    </row>
    <row r="216" spans="1:20" x14ac:dyDescent="0.35">
      <c r="A216" s="4">
        <v>214</v>
      </c>
      <c r="B216" s="2">
        <v>43046</v>
      </c>
      <c r="C216" s="1">
        <v>248.15</v>
      </c>
      <c r="D216" s="1">
        <v>248.52</v>
      </c>
      <c r="E216" s="1">
        <v>247.31</v>
      </c>
      <c r="F216" s="1">
        <v>247.86</v>
      </c>
      <c r="G216" s="1">
        <f>IF(testdata[[#This Row],[high]]&gt;MAX(D212:D215,D217:D220),testdata[[#This Row],[high]],"")</f>
        <v>248.52</v>
      </c>
      <c r="H216" s="14"/>
      <c r="I216" s="9">
        <f>testdata[[#This Row],[Hpoint]]</f>
        <v>248.52</v>
      </c>
      <c r="J216" s="1" t="str">
        <f>IF(testdata[[#This Row],[low]]&lt;MIN(E212:E215,E217:E220),testdata[[#This Row],[low]],"")</f>
        <v/>
      </c>
      <c r="K216" s="14" t="s">
        <v>8</v>
      </c>
      <c r="L216" s="10">
        <f t="shared" ca="1" si="8"/>
        <v>244.32599999999951</v>
      </c>
      <c r="N216" s="2">
        <v>43046</v>
      </c>
      <c r="O216" s="1">
        <v>248.52</v>
      </c>
      <c r="P216" s="14"/>
      <c r="Q216" s="9">
        <v>248.52</v>
      </c>
      <c r="R216" s="1"/>
      <c r="S216" s="14" t="s">
        <v>8</v>
      </c>
      <c r="T216" s="10">
        <v>244.32599999999999</v>
      </c>
    </row>
    <row r="217" spans="1:20" x14ac:dyDescent="0.35">
      <c r="A217" s="4">
        <v>215</v>
      </c>
      <c r="B217" s="2">
        <v>43047</v>
      </c>
      <c r="C217" s="1">
        <v>247.67</v>
      </c>
      <c r="D217" s="1">
        <v>248.39</v>
      </c>
      <c r="E217" s="1">
        <v>247.37</v>
      </c>
      <c r="F217" s="1">
        <v>248.29</v>
      </c>
      <c r="G217" s="1" t="str">
        <f>IF(testdata[[#This Row],[high]]&gt;MAX(D213:D216,D218:D221),testdata[[#This Row],[high]],"")</f>
        <v/>
      </c>
      <c r="H217" s="14" t="s">
        <v>7</v>
      </c>
      <c r="I217" s="10">
        <f t="shared" ref="I217:I233" ca="1" si="9">AVERAGE(I216,I218)</f>
        <v>248.91611111111098</v>
      </c>
      <c r="J217" s="1" t="str">
        <f>IF(testdata[[#This Row],[low]]&lt;MIN(E213:E216,E218:E221),testdata[[#This Row],[low]],"")</f>
        <v/>
      </c>
      <c r="K217" s="14" t="s">
        <v>8</v>
      </c>
      <c r="L217" s="10">
        <f t="shared" ca="1" si="8"/>
        <v>244.42999999999955</v>
      </c>
      <c r="N217" s="2">
        <v>43047</v>
      </c>
      <c r="O217" s="1"/>
      <c r="P217" s="14" t="s">
        <v>7</v>
      </c>
      <c r="Q217" s="10">
        <v>248.9161</v>
      </c>
      <c r="R217" s="1"/>
      <c r="S217" s="14" t="s">
        <v>8</v>
      </c>
      <c r="T217" s="10">
        <v>244.43</v>
      </c>
    </row>
    <row r="218" spans="1:20" x14ac:dyDescent="0.35">
      <c r="A218" s="4">
        <v>216</v>
      </c>
      <c r="B218" s="2">
        <v>43048</v>
      </c>
      <c r="C218" s="1">
        <v>246.96</v>
      </c>
      <c r="D218" s="1">
        <v>247.6</v>
      </c>
      <c r="E218" s="1">
        <v>245.65</v>
      </c>
      <c r="F218" s="1">
        <v>247.39</v>
      </c>
      <c r="G218" s="1" t="str">
        <f>IF(testdata[[#This Row],[high]]&gt;MAX(D214:D217,D219:D222),testdata[[#This Row],[high]],"")</f>
        <v/>
      </c>
      <c r="H218" s="14" t="s">
        <v>7</v>
      </c>
      <c r="I218" s="10">
        <f t="shared" ca="1" si="9"/>
        <v>249.31222222222198</v>
      </c>
      <c r="J218" s="1" t="str">
        <f>IF(testdata[[#This Row],[low]]&lt;MIN(E214:E217,E219:E222),testdata[[#This Row],[low]],"")</f>
        <v/>
      </c>
      <c r="K218" s="14" t="s">
        <v>8</v>
      </c>
      <c r="L218" s="10">
        <f t="shared" ca="1" si="8"/>
        <v>244.53399999999962</v>
      </c>
      <c r="N218" s="2">
        <v>43048</v>
      </c>
      <c r="O218" s="1"/>
      <c r="P218" s="14" t="s">
        <v>7</v>
      </c>
      <c r="Q218" s="10">
        <v>249.31219999999999</v>
      </c>
      <c r="R218" s="1"/>
      <c r="S218" s="14" t="s">
        <v>8</v>
      </c>
      <c r="T218" s="10">
        <v>244.53399999999999</v>
      </c>
    </row>
    <row r="219" spans="1:20" x14ac:dyDescent="0.35">
      <c r="A219" s="4">
        <v>217</v>
      </c>
      <c r="B219" s="2">
        <v>43049</v>
      </c>
      <c r="C219" s="1">
        <v>246.96</v>
      </c>
      <c r="D219" s="1">
        <v>247.5</v>
      </c>
      <c r="E219" s="1">
        <v>246.62</v>
      </c>
      <c r="F219" s="1">
        <v>247.31</v>
      </c>
      <c r="G219" s="1" t="str">
        <f>IF(testdata[[#This Row],[high]]&gt;MAX(D215:D218,D220:D223),testdata[[#This Row],[high]],"")</f>
        <v/>
      </c>
      <c r="H219" s="14" t="s">
        <v>7</v>
      </c>
      <c r="I219" s="10">
        <f t="shared" ca="1" si="9"/>
        <v>249.70833333333297</v>
      </c>
      <c r="J219" s="1" t="str">
        <f>IF(testdata[[#This Row],[low]]&lt;MIN(E215:E218,E220:E223),testdata[[#This Row],[low]],"")</f>
        <v/>
      </c>
      <c r="K219" s="14" t="s">
        <v>8</v>
      </c>
      <c r="L219" s="10">
        <f t="shared" ca="1" si="8"/>
        <v>244.63799999999969</v>
      </c>
      <c r="N219" s="2">
        <v>43049</v>
      </c>
      <c r="O219" s="1"/>
      <c r="P219" s="14" t="s">
        <v>7</v>
      </c>
      <c r="Q219" s="10">
        <v>249.70830000000001</v>
      </c>
      <c r="R219" s="1"/>
      <c r="S219" s="14" t="s">
        <v>8</v>
      </c>
      <c r="T219" s="10">
        <v>244.63800000000001</v>
      </c>
    </row>
    <row r="220" spans="1:20" x14ac:dyDescent="0.35">
      <c r="A220" s="4">
        <v>218</v>
      </c>
      <c r="B220" s="2">
        <v>43052</v>
      </c>
      <c r="C220" s="1">
        <v>246.56</v>
      </c>
      <c r="D220" s="1">
        <v>247.79</v>
      </c>
      <c r="E220" s="1">
        <v>246.52</v>
      </c>
      <c r="F220" s="1">
        <v>247.54</v>
      </c>
      <c r="G220" s="1" t="str">
        <f>IF(testdata[[#This Row],[high]]&gt;MAX(D216:D219,D221:D224),testdata[[#This Row],[high]],"")</f>
        <v/>
      </c>
      <c r="H220" s="14" t="s">
        <v>7</v>
      </c>
      <c r="I220" s="10">
        <f t="shared" ca="1" si="9"/>
        <v>250.104444444444</v>
      </c>
      <c r="J220" s="1" t="str">
        <f>IF(testdata[[#This Row],[low]]&lt;MIN(E216:E219,E221:E224),testdata[[#This Row],[low]],"")</f>
        <v/>
      </c>
      <c r="K220" s="14" t="s">
        <v>8</v>
      </c>
      <c r="L220" s="10">
        <f t="shared" ca="1" si="8"/>
        <v>244.74199999999979</v>
      </c>
      <c r="N220" s="2">
        <v>43052</v>
      </c>
      <c r="O220" s="1"/>
      <c r="P220" s="14" t="s">
        <v>7</v>
      </c>
      <c r="Q220" s="10">
        <v>250.1044</v>
      </c>
      <c r="R220" s="1"/>
      <c r="S220" s="14" t="s">
        <v>8</v>
      </c>
      <c r="T220" s="10">
        <v>244.74199999999999</v>
      </c>
    </row>
    <row r="221" spans="1:20" x14ac:dyDescent="0.35">
      <c r="A221" s="4">
        <v>219</v>
      </c>
      <c r="B221" s="2">
        <v>43053</v>
      </c>
      <c r="C221" s="1">
        <v>246.66</v>
      </c>
      <c r="D221" s="1">
        <v>247.08</v>
      </c>
      <c r="E221" s="1">
        <v>245.8</v>
      </c>
      <c r="F221" s="1">
        <v>246.96</v>
      </c>
      <c r="G221" s="1" t="str">
        <f>IF(testdata[[#This Row],[high]]&gt;MAX(D217:D220,D222:D225),testdata[[#This Row],[high]],"")</f>
        <v/>
      </c>
      <c r="H221" s="14" t="s">
        <v>7</v>
      </c>
      <c r="I221" s="10">
        <f t="shared" ca="1" si="9"/>
        <v>250.50055555555502</v>
      </c>
      <c r="J221" s="1" t="str">
        <f>IF(testdata[[#This Row],[low]]&lt;MIN(E217:E220,E222:E225),testdata[[#This Row],[low]],"")</f>
        <v/>
      </c>
      <c r="K221" s="14" t="s">
        <v>8</v>
      </c>
      <c r="L221" s="10">
        <f t="shared" ca="1" si="8"/>
        <v>244.84599999999989</v>
      </c>
      <c r="N221" s="2">
        <v>43053</v>
      </c>
      <c r="O221" s="1"/>
      <c r="P221" s="14" t="s">
        <v>7</v>
      </c>
      <c r="Q221" s="10">
        <v>250.50059999999999</v>
      </c>
      <c r="R221" s="1"/>
      <c r="S221" s="14" t="s">
        <v>8</v>
      </c>
      <c r="T221" s="10">
        <v>244.846</v>
      </c>
    </row>
    <row r="222" spans="1:20" x14ac:dyDescent="0.35">
      <c r="A222" s="4">
        <v>220</v>
      </c>
      <c r="B222" s="2">
        <v>43054</v>
      </c>
      <c r="C222" s="1">
        <v>245.9</v>
      </c>
      <c r="D222" s="1">
        <v>246.48</v>
      </c>
      <c r="E222" s="1">
        <v>244.95</v>
      </c>
      <c r="F222" s="1">
        <v>245.73</v>
      </c>
      <c r="G222" s="1" t="str">
        <f>IF(testdata[[#This Row],[high]]&gt;MAX(D218:D221,D223:D226),testdata[[#This Row],[high]],"")</f>
        <v/>
      </c>
      <c r="H222" s="14" t="s">
        <v>7</v>
      </c>
      <c r="I222" s="10">
        <f t="shared" ca="1" si="9"/>
        <v>250.89666666666608</v>
      </c>
      <c r="J222" s="1">
        <f>IF(testdata[[#This Row],[low]]&lt;MIN(E218:E221,E223:E226),testdata[[#This Row],[low]],"")</f>
        <v>244.95</v>
      </c>
      <c r="K222" s="14" t="s">
        <v>8</v>
      </c>
      <c r="L222" s="9">
        <f>testdata[[#This Row],[Lpoint]]</f>
        <v>244.95</v>
      </c>
      <c r="N222" s="2">
        <v>43054</v>
      </c>
      <c r="O222" s="1"/>
      <c r="P222" s="14" t="s">
        <v>7</v>
      </c>
      <c r="Q222" s="10">
        <v>250.89670000000001</v>
      </c>
      <c r="R222" s="1">
        <v>244.95</v>
      </c>
      <c r="S222" s="14" t="s">
        <v>8</v>
      </c>
      <c r="T222" s="9">
        <v>244.95</v>
      </c>
    </row>
    <row r="223" spans="1:20" x14ac:dyDescent="0.35">
      <c r="A223" s="4">
        <v>221</v>
      </c>
      <c r="B223" s="2">
        <v>43055</v>
      </c>
      <c r="C223" s="1">
        <v>246.76</v>
      </c>
      <c r="D223" s="1">
        <v>248.22</v>
      </c>
      <c r="E223" s="1">
        <v>246.72</v>
      </c>
      <c r="F223" s="1">
        <v>247.82</v>
      </c>
      <c r="G223" s="1" t="str">
        <f>IF(testdata[[#This Row],[high]]&gt;MAX(D219:D222,D224:D227),testdata[[#This Row],[high]],"")</f>
        <v/>
      </c>
      <c r="H223" s="14" t="s">
        <v>7</v>
      </c>
      <c r="I223" s="10">
        <f t="shared" ca="1" si="9"/>
        <v>251.29277777777716</v>
      </c>
      <c r="J223" s="1" t="str">
        <f>IF(testdata[[#This Row],[low]]&lt;MIN(E219:E222,E224:E227),testdata[[#This Row],[low]],"")</f>
        <v/>
      </c>
      <c r="K223" s="14"/>
      <c r="L223" s="9"/>
      <c r="N223" s="2">
        <v>43055</v>
      </c>
      <c r="O223" s="1"/>
      <c r="P223" s="14" t="s">
        <v>7</v>
      </c>
      <c r="Q223" s="10">
        <v>251.2928</v>
      </c>
      <c r="R223" s="1"/>
      <c r="S223" s="14"/>
      <c r="T223" s="9"/>
    </row>
    <row r="224" spans="1:20" x14ac:dyDescent="0.35">
      <c r="A224" s="4">
        <v>222</v>
      </c>
      <c r="B224" s="2">
        <v>43056</v>
      </c>
      <c r="C224" s="1">
        <v>247.43</v>
      </c>
      <c r="D224" s="1">
        <v>247.79</v>
      </c>
      <c r="E224" s="1">
        <v>247</v>
      </c>
      <c r="F224" s="1">
        <v>247.09</v>
      </c>
      <c r="G224" s="1" t="str">
        <f>IF(testdata[[#This Row],[high]]&gt;MAX(D220:D223,D225:D228),testdata[[#This Row],[high]],"")</f>
        <v/>
      </c>
      <c r="H224" s="14" t="s">
        <v>7</v>
      </c>
      <c r="I224" s="10">
        <f t="shared" ca="1" si="9"/>
        <v>251.68888888888824</v>
      </c>
      <c r="J224" s="1" t="str">
        <f>IF(testdata[[#This Row],[low]]&lt;MIN(E220:E223,E225:E228),testdata[[#This Row],[low]],"")</f>
        <v/>
      </c>
      <c r="K224" s="14"/>
      <c r="L224" s="9"/>
      <c r="N224" s="2">
        <v>43056</v>
      </c>
      <c r="O224" s="1"/>
      <c r="P224" s="14" t="s">
        <v>7</v>
      </c>
      <c r="Q224" s="10">
        <v>251.68889999999999</v>
      </c>
      <c r="R224" s="1"/>
      <c r="S224" s="14"/>
      <c r="T224" s="9"/>
    </row>
    <row r="225" spans="1:20" x14ac:dyDescent="0.35">
      <c r="A225" s="4">
        <v>223</v>
      </c>
      <c r="B225" s="2">
        <v>43059</v>
      </c>
      <c r="C225" s="1">
        <v>247.36</v>
      </c>
      <c r="D225" s="1">
        <v>247.73</v>
      </c>
      <c r="E225" s="1">
        <v>247.09</v>
      </c>
      <c r="F225" s="1">
        <v>247.51</v>
      </c>
      <c r="G225" s="1" t="str">
        <f>IF(testdata[[#This Row],[high]]&gt;MAX(D221:D224,D226:D229),testdata[[#This Row],[high]],"")</f>
        <v/>
      </c>
      <c r="H225" s="14" t="s">
        <v>7</v>
      </c>
      <c r="I225" s="10">
        <f t="shared" ca="1" si="9"/>
        <v>252.08499999999935</v>
      </c>
      <c r="J225" s="1" t="str">
        <f>IF(testdata[[#This Row],[low]]&lt;MIN(E221:E224,E226:E229),testdata[[#This Row],[low]],"")</f>
        <v/>
      </c>
      <c r="K225" s="14"/>
      <c r="L225" s="9"/>
      <c r="N225" s="2">
        <v>43059</v>
      </c>
      <c r="O225" s="1"/>
      <c r="P225" s="14" t="s">
        <v>7</v>
      </c>
      <c r="Q225" s="10">
        <v>252.08500000000001</v>
      </c>
      <c r="R225" s="1"/>
      <c r="S225" s="14"/>
      <c r="T225" s="9"/>
    </row>
    <row r="226" spans="1:20" x14ac:dyDescent="0.35">
      <c r="A226" s="4">
        <v>224</v>
      </c>
      <c r="B226" s="2">
        <v>43060</v>
      </c>
      <c r="C226" s="1">
        <v>248.35</v>
      </c>
      <c r="D226" s="1">
        <v>249.33</v>
      </c>
      <c r="E226" s="1">
        <v>247.47</v>
      </c>
      <c r="F226" s="1">
        <v>249.13</v>
      </c>
      <c r="G226" s="1" t="str">
        <f>IF(testdata[[#This Row],[high]]&gt;MAX(D222:D225,D227:D230),testdata[[#This Row],[high]],"")</f>
        <v/>
      </c>
      <c r="H226" s="14" t="s">
        <v>7</v>
      </c>
      <c r="I226" s="10">
        <f t="shared" ca="1" si="9"/>
        <v>252.48111111111047</v>
      </c>
      <c r="J226" s="1" t="str">
        <f>IF(testdata[[#This Row],[low]]&lt;MIN(E222:E225,E227:E230),testdata[[#This Row],[low]],"")</f>
        <v/>
      </c>
      <c r="K226" s="14"/>
      <c r="L226" s="9"/>
      <c r="N226" s="2">
        <v>43060</v>
      </c>
      <c r="O226" s="1"/>
      <c r="P226" s="14" t="s">
        <v>7</v>
      </c>
      <c r="Q226" s="10">
        <v>252.4811</v>
      </c>
      <c r="R226" s="1"/>
      <c r="S226" s="14"/>
      <c r="T226" s="9"/>
    </row>
    <row r="227" spans="1:20" x14ac:dyDescent="0.35">
      <c r="A227" s="4">
        <v>225</v>
      </c>
      <c r="B227" s="2">
        <v>43061</v>
      </c>
      <c r="C227" s="1">
        <v>249.14</v>
      </c>
      <c r="D227" s="1">
        <v>249.28</v>
      </c>
      <c r="E227" s="1">
        <v>248.73</v>
      </c>
      <c r="F227" s="1">
        <v>248.91</v>
      </c>
      <c r="G227" s="1" t="str">
        <f>IF(testdata[[#This Row],[high]]&gt;MAX(D223:D226,D228:D231),testdata[[#This Row],[high]],"")</f>
        <v/>
      </c>
      <c r="H227" s="14" t="s">
        <v>7</v>
      </c>
      <c r="I227" s="10">
        <f t="shared" ca="1" si="9"/>
        <v>252.8772222222216</v>
      </c>
      <c r="J227" s="1" t="str">
        <f>IF(testdata[[#This Row],[low]]&lt;MIN(E223:E226,E228:E231),testdata[[#This Row],[low]],"")</f>
        <v/>
      </c>
      <c r="K227" s="14"/>
      <c r="L227" s="9"/>
      <c r="N227" s="2">
        <v>43061</v>
      </c>
      <c r="O227" s="1"/>
      <c r="P227" s="14" t="s">
        <v>7</v>
      </c>
      <c r="Q227" s="10">
        <v>252.87719999999999</v>
      </c>
      <c r="R227" s="1"/>
      <c r="S227" s="14"/>
      <c r="T227" s="9"/>
    </row>
    <row r="228" spans="1:20" x14ac:dyDescent="0.35">
      <c r="A228" s="4">
        <v>226</v>
      </c>
      <c r="B228" s="2">
        <v>43063</v>
      </c>
      <c r="C228" s="1">
        <v>249.45</v>
      </c>
      <c r="D228" s="1">
        <v>249.6</v>
      </c>
      <c r="E228" s="1">
        <v>249.29</v>
      </c>
      <c r="F228" s="1">
        <v>249.48</v>
      </c>
      <c r="G228" s="1" t="str">
        <f>IF(testdata[[#This Row],[high]]&gt;MAX(D224:D227,D229:D232),testdata[[#This Row],[high]],"")</f>
        <v/>
      </c>
      <c r="H228" s="14" t="s">
        <v>7</v>
      </c>
      <c r="I228" s="10">
        <f t="shared" ca="1" si="9"/>
        <v>253.27333333333274</v>
      </c>
      <c r="J228" s="1" t="str">
        <f>IF(testdata[[#This Row],[low]]&lt;MIN(E224:E227,E229:E232),testdata[[#This Row],[low]],"")</f>
        <v/>
      </c>
      <c r="K228" s="14"/>
      <c r="L228" s="9"/>
      <c r="N228" s="2">
        <v>43063</v>
      </c>
      <c r="O228" s="1"/>
      <c r="P228" s="14" t="s">
        <v>7</v>
      </c>
      <c r="Q228" s="10">
        <v>253.27330000000001</v>
      </c>
      <c r="R228" s="1"/>
      <c r="S228" s="14"/>
      <c r="T228" s="9"/>
    </row>
    <row r="229" spans="1:20" x14ac:dyDescent="0.35">
      <c r="A229" s="4">
        <v>227</v>
      </c>
      <c r="B229" s="2">
        <v>43066</v>
      </c>
      <c r="C229" s="1">
        <v>249.53</v>
      </c>
      <c r="D229" s="1">
        <v>249.86</v>
      </c>
      <c r="E229" s="1">
        <v>249.14</v>
      </c>
      <c r="F229" s="1">
        <v>249.36</v>
      </c>
      <c r="G229" s="1" t="str">
        <f>IF(testdata[[#This Row],[high]]&gt;MAX(D225:D228,D230:D233),testdata[[#This Row],[high]],"")</f>
        <v/>
      </c>
      <c r="H229" s="14" t="s">
        <v>7</v>
      </c>
      <c r="I229" s="10">
        <f t="shared" ca="1" si="9"/>
        <v>253.66944444444391</v>
      </c>
      <c r="J229" s="1" t="str">
        <f>IF(testdata[[#This Row],[low]]&lt;MIN(E225:E228,E230:E233),testdata[[#This Row],[low]],"")</f>
        <v/>
      </c>
      <c r="K229" s="14"/>
      <c r="L229" s="9"/>
      <c r="N229" s="2">
        <v>43066</v>
      </c>
      <c r="O229" s="1"/>
      <c r="P229" s="14" t="s">
        <v>7</v>
      </c>
      <c r="Q229" s="10">
        <v>253.6694</v>
      </c>
      <c r="R229" s="1"/>
      <c r="S229" s="14"/>
      <c r="T229" s="9"/>
    </row>
    <row r="230" spans="1:20" x14ac:dyDescent="0.35">
      <c r="A230" s="4">
        <v>228</v>
      </c>
      <c r="B230" s="2">
        <v>43067</v>
      </c>
      <c r="C230" s="1">
        <v>249.87</v>
      </c>
      <c r="D230" s="1">
        <v>251.92</v>
      </c>
      <c r="E230" s="1">
        <v>249.77</v>
      </c>
      <c r="F230" s="1">
        <v>251.89</v>
      </c>
      <c r="G230" s="1" t="str">
        <f>IF(testdata[[#This Row],[high]]&gt;MAX(D226:D229,D231:D234),testdata[[#This Row],[high]],"")</f>
        <v/>
      </c>
      <c r="H230" s="14" t="s">
        <v>7</v>
      </c>
      <c r="I230" s="10">
        <f t="shared" ca="1" si="9"/>
        <v>254.06555555555511</v>
      </c>
      <c r="J230" s="1" t="str">
        <f>IF(testdata[[#This Row],[low]]&lt;MIN(E226:E229,E231:E234),testdata[[#This Row],[low]],"")</f>
        <v/>
      </c>
      <c r="K230" s="14"/>
      <c r="L230" s="9"/>
      <c r="N230" s="2">
        <v>43067</v>
      </c>
      <c r="O230" s="1"/>
      <c r="P230" s="14" t="s">
        <v>7</v>
      </c>
      <c r="Q230" s="10">
        <v>254.06559999999999</v>
      </c>
      <c r="R230" s="1"/>
      <c r="S230" s="14"/>
      <c r="T230" s="9"/>
    </row>
    <row r="231" spans="1:20" x14ac:dyDescent="0.35">
      <c r="A231" s="4">
        <v>229</v>
      </c>
      <c r="B231" s="2">
        <v>43068</v>
      </c>
      <c r="C231" s="1">
        <v>252.03</v>
      </c>
      <c r="D231" s="1">
        <v>252.62</v>
      </c>
      <c r="E231" s="1">
        <v>251.25</v>
      </c>
      <c r="F231" s="1">
        <v>251.74</v>
      </c>
      <c r="G231" s="1" t="str">
        <f>IF(testdata[[#This Row],[high]]&gt;MAX(D227:D230,D232:D235),testdata[[#This Row],[high]],"")</f>
        <v/>
      </c>
      <c r="H231" s="14" t="s">
        <v>7</v>
      </c>
      <c r="I231" s="10">
        <f t="shared" ca="1" si="9"/>
        <v>254.4616666666663</v>
      </c>
      <c r="J231" s="1" t="str">
        <f>IF(testdata[[#This Row],[low]]&lt;MIN(E227:E230,E232:E235),testdata[[#This Row],[low]],"")</f>
        <v/>
      </c>
      <c r="K231" s="14"/>
      <c r="L231" s="9"/>
      <c r="N231" s="2">
        <v>43068</v>
      </c>
      <c r="O231" s="1"/>
      <c r="P231" s="14" t="s">
        <v>7</v>
      </c>
      <c r="Q231" s="10">
        <v>254.46170000000001</v>
      </c>
      <c r="R231" s="1"/>
      <c r="S231" s="14"/>
      <c r="T231" s="9"/>
    </row>
    <row r="232" spans="1:20" x14ac:dyDescent="0.35">
      <c r="A232" s="4">
        <v>230</v>
      </c>
      <c r="B232" s="2">
        <v>43069</v>
      </c>
      <c r="C232" s="1">
        <v>252.74</v>
      </c>
      <c r="D232" s="1">
        <v>254.94</v>
      </c>
      <c r="E232" s="1">
        <v>252.66</v>
      </c>
      <c r="F232" s="1">
        <v>253.94</v>
      </c>
      <c r="G232" s="1" t="str">
        <f>IF(testdata[[#This Row],[high]]&gt;MAX(D228:D231,D233:D236),testdata[[#This Row],[high]],"")</f>
        <v/>
      </c>
      <c r="H232" s="14" t="s">
        <v>7</v>
      </c>
      <c r="I232" s="10">
        <f t="shared" ca="1" si="9"/>
        <v>254.85777777777753</v>
      </c>
      <c r="J232" s="1" t="str">
        <f>IF(testdata[[#This Row],[low]]&lt;MIN(E228:E231,E233:E236),testdata[[#This Row],[low]],"")</f>
        <v/>
      </c>
      <c r="K232" s="14"/>
      <c r="L232" s="9"/>
      <c r="N232" s="2">
        <v>43069</v>
      </c>
      <c r="O232" s="1"/>
      <c r="P232" s="14" t="s">
        <v>7</v>
      </c>
      <c r="Q232" s="10">
        <v>254.8578</v>
      </c>
      <c r="R232" s="1"/>
      <c r="S232" s="14"/>
      <c r="T232" s="9"/>
    </row>
    <row r="233" spans="1:20" x14ac:dyDescent="0.35">
      <c r="A233" s="4">
        <v>231</v>
      </c>
      <c r="B233" s="2">
        <v>43070</v>
      </c>
      <c r="C233" s="1">
        <v>253.7</v>
      </c>
      <c r="D233" s="1">
        <v>254.23</v>
      </c>
      <c r="E233" s="1">
        <v>249.87</v>
      </c>
      <c r="F233" s="1">
        <v>253.41</v>
      </c>
      <c r="G233" s="1" t="str">
        <f>IF(testdata[[#This Row],[high]]&gt;MAX(D229:D232,D234:D237),testdata[[#This Row],[high]],"")</f>
        <v/>
      </c>
      <c r="H233" s="14" t="s">
        <v>7</v>
      </c>
      <c r="I233" s="10">
        <f t="shared" ca="1" si="9"/>
        <v>255.25388888888875</v>
      </c>
      <c r="J233" s="1" t="str">
        <f>IF(testdata[[#This Row],[low]]&lt;MIN(E229:E232,E234:E237),testdata[[#This Row],[low]],"")</f>
        <v/>
      </c>
      <c r="K233" s="14"/>
      <c r="L233" s="9"/>
      <c r="N233" s="2">
        <v>43070</v>
      </c>
      <c r="O233" s="1"/>
      <c r="P233" s="14" t="s">
        <v>7</v>
      </c>
      <c r="Q233" s="10">
        <v>255.25389999999999</v>
      </c>
      <c r="R233" s="1"/>
      <c r="S233" s="14"/>
      <c r="T233" s="9"/>
    </row>
    <row r="234" spans="1:20" x14ac:dyDescent="0.35">
      <c r="A234" s="4">
        <v>232</v>
      </c>
      <c r="B234" s="2">
        <v>43073</v>
      </c>
      <c r="C234" s="1">
        <v>255.19</v>
      </c>
      <c r="D234" s="1">
        <v>255.65</v>
      </c>
      <c r="E234" s="1">
        <v>253.05</v>
      </c>
      <c r="F234" s="1">
        <v>253.11</v>
      </c>
      <c r="G234" s="1">
        <f>IF(testdata[[#This Row],[high]]&gt;MAX(D230:D233,D235:D238),testdata[[#This Row],[high]],"")</f>
        <v>255.65</v>
      </c>
      <c r="H234" s="14" t="s">
        <v>7</v>
      </c>
      <c r="I234" s="9">
        <f>testdata[[#This Row],[Hpoint]]</f>
        <v>255.65</v>
      </c>
      <c r="J234" s="1" t="str">
        <f>IF(testdata[[#This Row],[low]]&lt;MIN(E230:E233,E235:E238),testdata[[#This Row],[low]],"")</f>
        <v/>
      </c>
      <c r="K234" s="14"/>
      <c r="L234" s="9"/>
      <c r="N234" s="2">
        <v>43073</v>
      </c>
      <c r="O234" s="1">
        <v>255.65</v>
      </c>
      <c r="P234" s="14" t="s">
        <v>7</v>
      </c>
      <c r="Q234" s="9">
        <v>255.65</v>
      </c>
      <c r="R234" s="1"/>
      <c r="S234" s="14"/>
      <c r="T234" s="9"/>
    </row>
    <row r="235" spans="1:20" x14ac:dyDescent="0.35">
      <c r="A235" s="4">
        <v>233</v>
      </c>
      <c r="B235" s="2">
        <v>43074</v>
      </c>
      <c r="C235" s="1">
        <v>253.38</v>
      </c>
      <c r="D235" s="1">
        <v>254.07</v>
      </c>
      <c r="E235" s="1">
        <v>252.05</v>
      </c>
      <c r="F235" s="1">
        <v>252.2</v>
      </c>
      <c r="G235" s="1" t="str">
        <f>IF(testdata[[#This Row],[high]]&gt;MAX(D231:D234,D236:D239),testdata[[#This Row],[high]],"")</f>
        <v/>
      </c>
      <c r="H235" s="14" t="s">
        <v>7</v>
      </c>
      <c r="I235" s="10">
        <f t="shared" ref="I235:I243" ca="1" si="10">AVERAGE(I234,I236)</f>
        <v>255.95499999999987</v>
      </c>
      <c r="J235" s="1" t="str">
        <f>IF(testdata[[#This Row],[low]]&lt;MIN(E231:E234,E236:E239),testdata[[#This Row],[low]],"")</f>
        <v/>
      </c>
      <c r="K235" s="14"/>
      <c r="L235" s="9"/>
      <c r="N235" s="2">
        <v>43074</v>
      </c>
      <c r="O235" s="1"/>
      <c r="P235" s="14" t="s">
        <v>7</v>
      </c>
      <c r="Q235" s="10">
        <v>255.95500000000001</v>
      </c>
      <c r="R235" s="1"/>
      <c r="S235" s="14"/>
      <c r="T235" s="9"/>
    </row>
    <row r="236" spans="1:20" x14ac:dyDescent="0.35">
      <c r="A236" s="4">
        <v>234</v>
      </c>
      <c r="B236" s="2">
        <v>43075</v>
      </c>
      <c r="C236" s="1">
        <v>251.89</v>
      </c>
      <c r="D236" s="1">
        <v>252.71</v>
      </c>
      <c r="E236" s="1">
        <v>251.74</v>
      </c>
      <c r="F236" s="1">
        <v>252.24</v>
      </c>
      <c r="G236" s="1" t="str">
        <f>IF(testdata[[#This Row],[high]]&gt;MAX(D232:D235,D237:D240),testdata[[#This Row],[high]],"")</f>
        <v/>
      </c>
      <c r="H236" s="14" t="s">
        <v>7</v>
      </c>
      <c r="I236" s="10">
        <f t="shared" ca="1" si="10"/>
        <v>256.25999999999976</v>
      </c>
      <c r="J236" s="1" t="str">
        <f>IF(testdata[[#This Row],[low]]&lt;MIN(E232:E235,E237:E240),testdata[[#This Row],[low]],"")</f>
        <v/>
      </c>
      <c r="K236" s="14"/>
      <c r="L236" s="9"/>
      <c r="N236" s="2">
        <v>43075</v>
      </c>
      <c r="O236" s="1"/>
      <c r="P236" s="14" t="s">
        <v>7</v>
      </c>
      <c r="Q236" s="10">
        <v>256.26</v>
      </c>
      <c r="R236" s="1"/>
      <c r="S236" s="14"/>
      <c r="T236" s="9"/>
    </row>
    <row r="237" spans="1:20" x14ac:dyDescent="0.35">
      <c r="A237" s="4">
        <v>235</v>
      </c>
      <c r="B237" s="2">
        <v>43076</v>
      </c>
      <c r="C237" s="1">
        <v>252.1</v>
      </c>
      <c r="D237" s="1">
        <v>253.38</v>
      </c>
      <c r="E237" s="1">
        <v>251.96</v>
      </c>
      <c r="F237" s="1">
        <v>253.04</v>
      </c>
      <c r="G237" s="1" t="str">
        <f>IF(testdata[[#This Row],[high]]&gt;MAX(D233:D236,D238:D241),testdata[[#This Row],[high]],"")</f>
        <v/>
      </c>
      <c r="H237" s="14" t="s">
        <v>7</v>
      </c>
      <c r="I237" s="10">
        <f t="shared" ca="1" si="10"/>
        <v>256.56499999999971</v>
      </c>
      <c r="J237" s="1" t="str">
        <f>IF(testdata[[#This Row],[low]]&lt;MIN(E233:E236,E238:E241),testdata[[#This Row],[low]],"")</f>
        <v/>
      </c>
      <c r="K237" s="14"/>
      <c r="L237" s="9"/>
      <c r="N237" s="2">
        <v>43076</v>
      </c>
      <c r="O237" s="1"/>
      <c r="P237" s="14" t="s">
        <v>7</v>
      </c>
      <c r="Q237" s="10">
        <v>256.565</v>
      </c>
      <c r="R237" s="1"/>
      <c r="S237" s="14"/>
      <c r="T237" s="9"/>
    </row>
    <row r="238" spans="1:20" x14ac:dyDescent="0.35">
      <c r="A238" s="4">
        <v>236</v>
      </c>
      <c r="B238" s="2">
        <v>43077</v>
      </c>
      <c r="C238" s="1">
        <v>253.92</v>
      </c>
      <c r="D238" s="1">
        <v>254.43</v>
      </c>
      <c r="E238" s="1">
        <v>253</v>
      </c>
      <c r="F238" s="1">
        <v>254.42</v>
      </c>
      <c r="G238" s="1" t="str">
        <f>IF(testdata[[#This Row],[high]]&gt;MAX(D234:D237,D239:D242),testdata[[#This Row],[high]],"")</f>
        <v/>
      </c>
      <c r="H238" s="14" t="s">
        <v>7</v>
      </c>
      <c r="I238" s="10">
        <f t="shared" ca="1" si="10"/>
        <v>256.86999999999966</v>
      </c>
      <c r="J238" s="1" t="str">
        <f>IF(testdata[[#This Row],[low]]&lt;MIN(E234:E237,E239:E242),testdata[[#This Row],[low]],"")</f>
        <v/>
      </c>
      <c r="K238" s="14"/>
      <c r="L238" s="9"/>
      <c r="N238" s="2">
        <v>43077</v>
      </c>
      <c r="O238" s="1"/>
      <c r="P238" s="14" t="s">
        <v>7</v>
      </c>
      <c r="Q238" s="10">
        <v>256.87</v>
      </c>
      <c r="R238" s="1"/>
      <c r="S238" s="14"/>
      <c r="T238" s="9"/>
    </row>
    <row r="239" spans="1:20" x14ac:dyDescent="0.35">
      <c r="A239" s="4">
        <v>237</v>
      </c>
      <c r="B239" s="2">
        <v>43080</v>
      </c>
      <c r="C239" s="1">
        <v>254.49</v>
      </c>
      <c r="D239" s="1">
        <v>255.25</v>
      </c>
      <c r="E239" s="1">
        <v>254.39</v>
      </c>
      <c r="F239" s="1">
        <v>255.19</v>
      </c>
      <c r="G239" s="1" t="str">
        <f>IF(testdata[[#This Row],[high]]&gt;MAX(D235:D238,D240:D243),testdata[[#This Row],[high]],"")</f>
        <v/>
      </c>
      <c r="H239" s="14" t="s">
        <v>7</v>
      </c>
      <c r="I239" s="10">
        <f t="shared" ca="1" si="10"/>
        <v>257.17499999999967</v>
      </c>
      <c r="J239" s="1" t="str">
        <f>IF(testdata[[#This Row],[low]]&lt;MIN(E235:E238,E240:E243),testdata[[#This Row],[low]],"")</f>
        <v/>
      </c>
      <c r="K239" s="14"/>
      <c r="L239" s="9"/>
      <c r="N239" s="2">
        <v>43080</v>
      </c>
      <c r="O239" s="1"/>
      <c r="P239" s="14" t="s">
        <v>7</v>
      </c>
      <c r="Q239" s="10">
        <v>257.17500000000001</v>
      </c>
      <c r="R239" s="1"/>
      <c r="S239" s="14"/>
      <c r="T239" s="9"/>
    </row>
    <row r="240" spans="1:20" x14ac:dyDescent="0.35">
      <c r="A240" s="4">
        <v>238</v>
      </c>
      <c r="B240" s="2">
        <v>43081</v>
      </c>
      <c r="C240" s="1">
        <v>255.43</v>
      </c>
      <c r="D240" s="1">
        <v>256.14999999999998</v>
      </c>
      <c r="E240" s="1">
        <v>255.22</v>
      </c>
      <c r="F240" s="1">
        <v>255.64</v>
      </c>
      <c r="G240" s="1" t="str">
        <f>IF(testdata[[#This Row],[high]]&gt;MAX(D236:D239,D241:D244),testdata[[#This Row],[high]],"")</f>
        <v/>
      </c>
      <c r="H240" s="14" t="s">
        <v>7</v>
      </c>
      <c r="I240" s="10">
        <f t="shared" ca="1" si="10"/>
        <v>257.47999999999968</v>
      </c>
      <c r="J240" s="1" t="str">
        <f>IF(testdata[[#This Row],[low]]&lt;MIN(E236:E239,E241:E244),testdata[[#This Row],[low]],"")</f>
        <v/>
      </c>
      <c r="K240" s="14"/>
      <c r="L240" s="9"/>
      <c r="N240" s="2">
        <v>43081</v>
      </c>
      <c r="O240" s="1"/>
      <c r="P240" s="14" t="s">
        <v>7</v>
      </c>
      <c r="Q240" s="10">
        <v>257.48</v>
      </c>
      <c r="R240" s="1"/>
      <c r="S240" s="14"/>
      <c r="T240" s="9"/>
    </row>
    <row r="241" spans="1:20" x14ac:dyDescent="0.35">
      <c r="A241" s="4">
        <v>239</v>
      </c>
      <c r="B241" s="2">
        <v>43082</v>
      </c>
      <c r="C241" s="1">
        <v>255.9</v>
      </c>
      <c r="D241" s="1">
        <v>256.38</v>
      </c>
      <c r="E241" s="1">
        <v>255.51</v>
      </c>
      <c r="F241" s="1">
        <v>255.61</v>
      </c>
      <c r="G241" s="1" t="str">
        <f>IF(testdata[[#This Row],[high]]&gt;MAX(D237:D240,D242:D245),testdata[[#This Row],[high]],"")</f>
        <v/>
      </c>
      <c r="H241" s="14" t="s">
        <v>7</v>
      </c>
      <c r="I241" s="10">
        <f t="shared" ca="1" si="10"/>
        <v>257.78499999999974</v>
      </c>
      <c r="J241" s="1" t="str">
        <f>IF(testdata[[#This Row],[low]]&lt;MIN(E237:E240,E242:E245),testdata[[#This Row],[low]],"")</f>
        <v/>
      </c>
      <c r="K241" s="14"/>
      <c r="L241" s="9"/>
      <c r="N241" s="2">
        <v>43082</v>
      </c>
      <c r="O241" s="1"/>
      <c r="P241" s="14" t="s">
        <v>7</v>
      </c>
      <c r="Q241" s="10">
        <v>257.78500000000003</v>
      </c>
      <c r="R241" s="1"/>
      <c r="S241" s="14"/>
      <c r="T241" s="9"/>
    </row>
    <row r="242" spans="1:20" x14ac:dyDescent="0.35">
      <c r="A242" s="4">
        <v>240</v>
      </c>
      <c r="B242" s="2">
        <v>43083</v>
      </c>
      <c r="C242" s="1">
        <v>255.93</v>
      </c>
      <c r="D242" s="1">
        <v>256.06</v>
      </c>
      <c r="E242" s="1">
        <v>254.51</v>
      </c>
      <c r="F242" s="1">
        <v>254.56</v>
      </c>
      <c r="G242" s="1" t="str">
        <f>IF(testdata[[#This Row],[high]]&gt;MAX(D238:D241,D243:D246),testdata[[#This Row],[high]],"")</f>
        <v/>
      </c>
      <c r="H242" s="14" t="s">
        <v>7</v>
      </c>
      <c r="I242" s="10">
        <f t="shared" ca="1" si="10"/>
        <v>258.0899999999998</v>
      </c>
      <c r="J242" s="1" t="str">
        <f>IF(testdata[[#This Row],[low]]&lt;MIN(E238:E241,E243:E246),testdata[[#This Row],[low]],"")</f>
        <v/>
      </c>
      <c r="K242" s="14"/>
      <c r="L242" s="9"/>
      <c r="N242" s="2">
        <v>43083</v>
      </c>
      <c r="O242" s="1"/>
      <c r="P242" s="14" t="s">
        <v>7</v>
      </c>
      <c r="Q242" s="10">
        <v>258.08999999999997</v>
      </c>
      <c r="R242" s="1"/>
      <c r="S242" s="14"/>
      <c r="T242" s="9"/>
    </row>
    <row r="243" spans="1:20" x14ac:dyDescent="0.35">
      <c r="A243" s="4">
        <v>241</v>
      </c>
      <c r="B243" s="2">
        <v>43084</v>
      </c>
      <c r="C243" s="1">
        <v>255.66</v>
      </c>
      <c r="D243" s="1">
        <v>257.19</v>
      </c>
      <c r="E243" s="1">
        <v>255.6</v>
      </c>
      <c r="F243" s="1">
        <v>256.68</v>
      </c>
      <c r="G243" s="1" t="str">
        <f>IF(testdata[[#This Row],[high]]&gt;MAX(D239:D242,D244:D247),testdata[[#This Row],[high]],"")</f>
        <v/>
      </c>
      <c r="H243" s="14" t="s">
        <v>7</v>
      </c>
      <c r="I243" s="10">
        <f t="shared" ca="1" si="10"/>
        <v>258.39499999999987</v>
      </c>
      <c r="J243" s="1" t="str">
        <f>IF(testdata[[#This Row],[low]]&lt;MIN(E239:E242,E244:E247),testdata[[#This Row],[low]],"")</f>
        <v/>
      </c>
      <c r="K243" s="14"/>
      <c r="L243" s="9"/>
      <c r="N243" s="2">
        <v>43084</v>
      </c>
      <c r="O243" s="1"/>
      <c r="P243" s="14" t="s">
        <v>7</v>
      </c>
      <c r="Q243" s="10">
        <v>258.39499999999998</v>
      </c>
      <c r="R243" s="1"/>
      <c r="S243" s="14"/>
      <c r="T243" s="9"/>
    </row>
    <row r="244" spans="1:20" x14ac:dyDescent="0.35">
      <c r="A244" s="4">
        <v>242</v>
      </c>
      <c r="B244" s="2">
        <v>43087</v>
      </c>
      <c r="C244" s="1">
        <v>258.20999999999998</v>
      </c>
      <c r="D244" s="1">
        <v>258.7</v>
      </c>
      <c r="E244" s="1">
        <v>258.10000000000002</v>
      </c>
      <c r="F244" s="1">
        <v>258.31</v>
      </c>
      <c r="G244" s="1">
        <f>IF(testdata[[#This Row],[high]]&gt;MAX(D240:D243,D245:D248),testdata[[#This Row],[high]],"")</f>
        <v>258.7</v>
      </c>
      <c r="H244" s="14" t="s">
        <v>7</v>
      </c>
      <c r="I244" s="9">
        <f>testdata[[#This Row],[Hpoint]]</f>
        <v>258.7</v>
      </c>
      <c r="J244" s="1" t="str">
        <f>IF(testdata[[#This Row],[low]]&lt;MIN(E240:E243,E245:E248),testdata[[#This Row],[low]],"")</f>
        <v/>
      </c>
      <c r="K244" s="14"/>
      <c r="L244" s="9"/>
      <c r="N244" s="2">
        <v>43087</v>
      </c>
      <c r="O244" s="1">
        <v>258.7</v>
      </c>
      <c r="P244" s="14" t="s">
        <v>7</v>
      </c>
      <c r="Q244" s="9">
        <v>258.7</v>
      </c>
      <c r="R244" s="1"/>
      <c r="S244" s="14"/>
      <c r="T244" s="9"/>
    </row>
    <row r="245" spans="1:20" x14ac:dyDescent="0.35">
      <c r="A245" s="4">
        <v>243</v>
      </c>
      <c r="B245" s="2">
        <v>43088</v>
      </c>
      <c r="C245" s="1">
        <v>258.58</v>
      </c>
      <c r="D245" s="1">
        <v>258.63</v>
      </c>
      <c r="E245" s="1">
        <v>257.24</v>
      </c>
      <c r="F245" s="1">
        <v>257.32</v>
      </c>
      <c r="G245" s="1" t="str">
        <f>IF(testdata[[#This Row],[high]]&gt;MAX(D241:D244,D246:D249),testdata[[#This Row],[high]],"")</f>
        <v/>
      </c>
      <c r="H245" s="14"/>
      <c r="I245" s="9"/>
      <c r="J245" s="1" t="str">
        <f>IF(testdata[[#This Row],[low]]&lt;MIN(E241:E244,E246:E249),testdata[[#This Row],[low]],"")</f>
        <v/>
      </c>
      <c r="K245" s="14"/>
      <c r="L245" s="9"/>
      <c r="N245" s="2">
        <v>43088</v>
      </c>
      <c r="O245" s="1"/>
      <c r="P245" s="14"/>
      <c r="Q245" s="9"/>
      <c r="R245" s="1"/>
      <c r="S245" s="14"/>
      <c r="T245" s="9"/>
    </row>
    <row r="246" spans="1:20" x14ac:dyDescent="0.35">
      <c r="A246" s="4">
        <v>244</v>
      </c>
      <c r="B246" s="2">
        <v>43089</v>
      </c>
      <c r="C246" s="1">
        <v>258.38</v>
      </c>
      <c r="D246" s="1">
        <v>258.44</v>
      </c>
      <c r="E246" s="1">
        <v>256.86</v>
      </c>
      <c r="F246" s="1">
        <v>257.18</v>
      </c>
      <c r="G246" s="1" t="str">
        <f>IF(testdata[[#This Row],[high]]&gt;MAX(D242:D245,D247:D250),testdata[[#This Row],[high]],"")</f>
        <v/>
      </c>
      <c r="H246" s="14"/>
      <c r="I246" s="9"/>
      <c r="J246" s="1" t="str">
        <f>IF(testdata[[#This Row],[low]]&lt;MIN(E242:E245,E247:E250),testdata[[#This Row],[low]],"")</f>
        <v/>
      </c>
      <c r="K246" s="14"/>
      <c r="L246" s="9"/>
      <c r="N246" s="2">
        <v>43089</v>
      </c>
      <c r="O246" s="1"/>
      <c r="P246" s="14"/>
      <c r="Q246" s="9"/>
      <c r="R246" s="1"/>
      <c r="S246" s="14"/>
      <c r="T246" s="9"/>
    </row>
    <row r="247" spans="1:20" x14ac:dyDescent="0.35">
      <c r="A247" s="4">
        <v>245</v>
      </c>
      <c r="B247" s="2">
        <v>43090</v>
      </c>
      <c r="C247" s="1">
        <v>257.87</v>
      </c>
      <c r="D247" s="1">
        <v>258.49</v>
      </c>
      <c r="E247" s="1">
        <v>257.44</v>
      </c>
      <c r="F247" s="1">
        <v>257.70999999999998</v>
      </c>
      <c r="G247" s="1" t="str">
        <f>IF(testdata[[#This Row],[high]]&gt;MAX(D243:D246,D248:D251),testdata[[#This Row],[high]],"")</f>
        <v/>
      </c>
      <c r="H247" s="14"/>
      <c r="I247" s="9"/>
      <c r="J247" s="1" t="str">
        <f>IF(testdata[[#This Row],[low]]&lt;MIN(E243:E246,E248:E251),testdata[[#This Row],[low]],"")</f>
        <v/>
      </c>
      <c r="K247" s="14"/>
      <c r="L247" s="9"/>
      <c r="N247" s="2">
        <v>43090</v>
      </c>
      <c r="O247" s="1"/>
      <c r="P247" s="14"/>
      <c r="Q247" s="9"/>
      <c r="R247" s="1"/>
      <c r="S247" s="14"/>
      <c r="T247" s="9"/>
    </row>
    <row r="248" spans="1:20" x14ac:dyDescent="0.35">
      <c r="A248" s="4">
        <v>246</v>
      </c>
      <c r="B248" s="2">
        <v>43091</v>
      </c>
      <c r="C248" s="1">
        <v>257.73</v>
      </c>
      <c r="D248" s="1">
        <v>257.77</v>
      </c>
      <c r="E248" s="1">
        <v>257.06</v>
      </c>
      <c r="F248" s="1">
        <v>257.64999999999998</v>
      </c>
      <c r="G248" s="1" t="str">
        <f>IF(testdata[[#This Row],[high]]&gt;MAX(D244:D247,D249:D252),testdata[[#This Row],[high]],"")</f>
        <v/>
      </c>
      <c r="H248" s="14"/>
      <c r="I248" s="9"/>
      <c r="J248" s="1" t="str">
        <f>IF(testdata[[#This Row],[low]]&lt;MIN(E244:E247,E249:E252),testdata[[#This Row],[low]],"")</f>
        <v/>
      </c>
      <c r="K248" s="14"/>
      <c r="L248" s="9"/>
      <c r="N248" s="2">
        <v>43091</v>
      </c>
      <c r="O248" s="1"/>
      <c r="P248" s="14"/>
      <c r="Q248" s="9"/>
      <c r="R248" s="1"/>
      <c r="S248" s="14"/>
      <c r="T248" s="9"/>
    </row>
    <row r="249" spans="1:20" x14ac:dyDescent="0.35">
      <c r="A249" s="4">
        <v>247</v>
      </c>
      <c r="B249" s="2">
        <v>43095</v>
      </c>
      <c r="C249" s="1">
        <v>257.2</v>
      </c>
      <c r="D249" s="1">
        <v>257.58</v>
      </c>
      <c r="E249" s="1">
        <v>257.04000000000002</v>
      </c>
      <c r="F249" s="1">
        <v>257.33999999999997</v>
      </c>
      <c r="G249" s="1" t="str">
        <f>IF(testdata[[#This Row],[high]]&gt;MAX(D245:D248,D250:D253),testdata[[#This Row],[high]],"")</f>
        <v/>
      </c>
      <c r="H249" s="14"/>
      <c r="I249" s="9"/>
      <c r="J249" s="1" t="str">
        <f>IF(testdata[[#This Row],[low]]&lt;MIN(E245:E248,E250:E253),testdata[[#This Row],[low]],"")</f>
        <v/>
      </c>
      <c r="K249" s="14"/>
      <c r="L249" s="9"/>
      <c r="N249" s="2">
        <v>43095</v>
      </c>
      <c r="O249" s="1"/>
      <c r="P249" s="14"/>
      <c r="Q249" s="9"/>
      <c r="R249" s="1"/>
      <c r="S249" s="14"/>
      <c r="T249" s="9"/>
    </row>
    <row r="250" spans="1:20" x14ac:dyDescent="0.35">
      <c r="A250" s="4">
        <v>248</v>
      </c>
      <c r="B250" s="2">
        <v>43096</v>
      </c>
      <c r="C250" s="1">
        <v>257.52</v>
      </c>
      <c r="D250" s="1">
        <v>257.86</v>
      </c>
      <c r="E250" s="1">
        <v>257.16000000000003</v>
      </c>
      <c r="F250" s="1">
        <v>257.45999999999998</v>
      </c>
      <c r="G250" s="1" t="str">
        <f>IF(testdata[[#This Row],[high]]&gt;MAX(D246:D249,D251:D254),testdata[[#This Row],[high]],"")</f>
        <v/>
      </c>
      <c r="H250" s="14"/>
      <c r="I250" s="9"/>
      <c r="J250" s="1" t="str">
        <f>IF(testdata[[#This Row],[low]]&lt;MIN(E246:E249,E251:E254),testdata[[#This Row],[low]],"")</f>
        <v/>
      </c>
      <c r="K250" s="14"/>
      <c r="L250" s="9"/>
      <c r="N250" s="2">
        <v>43096</v>
      </c>
      <c r="O250" s="1"/>
      <c r="P250" s="14"/>
      <c r="Q250" s="9"/>
      <c r="R250" s="1"/>
      <c r="S250" s="14"/>
      <c r="T250" s="9"/>
    </row>
    <row r="251" spans="1:20" x14ac:dyDescent="0.35">
      <c r="A251" s="4">
        <v>249</v>
      </c>
      <c r="B251" s="2">
        <v>43097</v>
      </c>
      <c r="C251" s="1">
        <v>258.01</v>
      </c>
      <c r="D251" s="1">
        <v>258.04000000000002</v>
      </c>
      <c r="E251" s="1">
        <v>257.58999999999997</v>
      </c>
      <c r="F251" s="1">
        <v>257.99</v>
      </c>
      <c r="G251" s="1" t="str">
        <f>IF(testdata[[#This Row],[high]]&gt;MAX(D247:D250,D252:D255),testdata[[#This Row],[high]],"")</f>
        <v/>
      </c>
      <c r="H251" s="14"/>
      <c r="I251" s="9"/>
      <c r="J251" s="1" t="str">
        <f>IF(testdata[[#This Row],[low]]&lt;MIN(E247:E250,E252:E255),testdata[[#This Row],[low]],"")</f>
        <v/>
      </c>
      <c r="K251" s="14"/>
      <c r="L251" s="9"/>
      <c r="N251" s="2">
        <v>43097</v>
      </c>
      <c r="O251" s="1"/>
      <c r="P251" s="14"/>
      <c r="Q251" s="9"/>
      <c r="R251" s="1"/>
      <c r="S251" s="14"/>
      <c r="T251" s="9"/>
    </row>
    <row r="252" spans="1:20" x14ac:dyDescent="0.35">
      <c r="A252" s="4">
        <v>250</v>
      </c>
      <c r="B252" s="2">
        <v>43098</v>
      </c>
      <c r="C252" s="1">
        <v>258.63</v>
      </c>
      <c r="D252" s="1">
        <v>258.64999999999998</v>
      </c>
      <c r="E252" s="1">
        <v>256.81</v>
      </c>
      <c r="F252" s="1">
        <v>257.02</v>
      </c>
      <c r="G252" s="7" t="str">
        <f>IF(testdata[[#This Row],[high]]&gt;MAX(D248:D251,D253:D256),testdata[[#This Row],[high]],"")</f>
        <v/>
      </c>
      <c r="H252" s="15"/>
      <c r="I252" s="16"/>
      <c r="J252" s="7">
        <f>IF(testdata[[#This Row],[low]]&lt;MIN(E248:E251,E253:E256),testdata[[#This Row],[low]],"")</f>
        <v>256.81</v>
      </c>
      <c r="K252" s="15"/>
      <c r="L252" s="16"/>
      <c r="N252" s="2">
        <v>43098</v>
      </c>
      <c r="O252" s="1"/>
      <c r="P252" s="14"/>
      <c r="Q252" s="9"/>
      <c r="R252" s="1">
        <v>256.81</v>
      </c>
      <c r="S252" s="14"/>
      <c r="T252" s="9"/>
    </row>
    <row r="253" spans="1:20" x14ac:dyDescent="0.35">
      <c r="A253" s="4">
        <v>251</v>
      </c>
      <c r="B253" s="2">
        <v>43102</v>
      </c>
      <c r="C253" s="1">
        <v>257.95999999999998</v>
      </c>
      <c r="D253" s="1">
        <v>258.89999999999998</v>
      </c>
      <c r="E253" s="1">
        <v>257.54000000000002</v>
      </c>
      <c r="F253" s="1">
        <v>258.86</v>
      </c>
      <c r="G253" s="1" t="str">
        <f>IF(testdata[[#This Row],[high]]&gt;MAX(D249:D252,D254:D257),testdata[[#This Row],[high]],"")</f>
        <v/>
      </c>
      <c r="H253" s="14"/>
      <c r="I253" s="9"/>
      <c r="J253" s="1" t="str">
        <f>IF(testdata[[#This Row],[low]]&lt;MIN(E249:E252,E254:E257),testdata[[#This Row],[low]],"")</f>
        <v/>
      </c>
      <c r="K253" s="14"/>
      <c r="L253" s="9"/>
      <c r="N253" s="2">
        <v>43102</v>
      </c>
      <c r="O253" s="1"/>
      <c r="P253" s="14"/>
      <c r="Q253" s="9"/>
      <c r="R253" s="1"/>
      <c r="S253" s="14"/>
      <c r="T253" s="9"/>
    </row>
    <row r="254" spans="1:20" x14ac:dyDescent="0.35">
      <c r="A254" s="4">
        <v>252</v>
      </c>
      <c r="B254" s="2">
        <v>43103</v>
      </c>
      <c r="C254" s="1">
        <v>259.04000000000002</v>
      </c>
      <c r="D254" s="1">
        <v>260.66000000000003</v>
      </c>
      <c r="E254" s="1">
        <v>259.04000000000002</v>
      </c>
      <c r="F254" s="1">
        <v>260.5</v>
      </c>
      <c r="G254" s="1" t="str">
        <f>IF(testdata[[#This Row],[high]]&gt;MAX(D250:D253,D255:D258),testdata[[#This Row],[high]],"")</f>
        <v/>
      </c>
      <c r="H254" s="14"/>
      <c r="I254" s="9"/>
      <c r="J254" s="1" t="str">
        <f>IF(testdata[[#This Row],[low]]&lt;MIN(E250:E253,E255:E258),testdata[[#This Row],[low]],"")</f>
        <v/>
      </c>
      <c r="K254" s="14"/>
      <c r="L254" s="9"/>
      <c r="N254" s="2">
        <v>43103</v>
      </c>
      <c r="O254" s="1"/>
      <c r="P254" s="14"/>
      <c r="Q254" s="9"/>
      <c r="R254" s="1"/>
      <c r="S254" s="14"/>
      <c r="T254" s="9"/>
    </row>
    <row r="255" spans="1:20" x14ac:dyDescent="0.35">
      <c r="A255" s="4">
        <v>253</v>
      </c>
      <c r="B255" s="2">
        <v>43104</v>
      </c>
      <c r="C255" s="1">
        <v>261.2</v>
      </c>
      <c r="D255" s="1">
        <v>262.12</v>
      </c>
      <c r="E255" s="1">
        <v>260.57</v>
      </c>
      <c r="F255" s="1">
        <v>261.58999999999997</v>
      </c>
      <c r="G255" s="1" t="str">
        <f>IF(testdata[[#This Row],[high]]&gt;MAX(D251:D254,D256:D259),testdata[[#This Row],[high]],"")</f>
        <v/>
      </c>
      <c r="H255" s="14"/>
      <c r="I255" s="9"/>
      <c r="J255" s="1" t="str">
        <f>IF(testdata[[#This Row],[low]]&lt;MIN(E251:E254,E256:E259),testdata[[#This Row],[low]],"")</f>
        <v/>
      </c>
      <c r="K255" s="14"/>
      <c r="L255" s="9"/>
      <c r="N255" s="2">
        <v>43104</v>
      </c>
      <c r="O255" s="1"/>
      <c r="P255" s="14"/>
      <c r="Q255" s="9"/>
      <c r="R255" s="1"/>
      <c r="S255" s="14"/>
      <c r="T255" s="9"/>
    </row>
    <row r="256" spans="1:20" x14ac:dyDescent="0.35">
      <c r="A256" s="4">
        <v>254</v>
      </c>
      <c r="B256" s="2">
        <v>43105</v>
      </c>
      <c r="C256" s="1">
        <v>262.45999999999998</v>
      </c>
      <c r="D256" s="1">
        <v>263.47000000000003</v>
      </c>
      <c r="E256" s="1">
        <v>261.92</v>
      </c>
      <c r="F256" s="1">
        <v>263.33999999999997</v>
      </c>
      <c r="G256" s="1" t="str">
        <f>IF(testdata[[#This Row],[high]]&gt;MAX(D252:D255,D257:D260),testdata[[#This Row],[high]],"")</f>
        <v/>
      </c>
      <c r="H256" s="14"/>
      <c r="I256" s="9"/>
      <c r="J256" s="1" t="str">
        <f>IF(testdata[[#This Row],[low]]&lt;MIN(E252:E255,E257:E260),testdata[[#This Row],[low]],"")</f>
        <v/>
      </c>
      <c r="K256" s="14"/>
      <c r="L256" s="9"/>
      <c r="N256" s="2">
        <v>43105</v>
      </c>
      <c r="O256" s="1"/>
      <c r="P256" s="14"/>
      <c r="Q256" s="9"/>
      <c r="R256" s="1"/>
      <c r="S256" s="14"/>
      <c r="T256" s="9"/>
    </row>
    <row r="257" spans="1:20" x14ac:dyDescent="0.35">
      <c r="A257" s="4">
        <v>255</v>
      </c>
      <c r="B257" s="2">
        <v>43108</v>
      </c>
      <c r="C257" s="1">
        <v>263.23</v>
      </c>
      <c r="D257" s="1">
        <v>263.99</v>
      </c>
      <c r="E257" s="1">
        <v>262.91000000000003</v>
      </c>
      <c r="F257" s="1">
        <v>263.82</v>
      </c>
      <c r="G257" s="1" t="str">
        <f>IF(testdata[[#This Row],[high]]&gt;MAX(D253:D256,D258:D261),testdata[[#This Row],[high]],"")</f>
        <v/>
      </c>
      <c r="H257" s="14"/>
      <c r="I257" s="9"/>
      <c r="J257" s="1" t="str">
        <f>IF(testdata[[#This Row],[low]]&lt;MIN(E253:E256,E258:E261),testdata[[#This Row],[low]],"")</f>
        <v/>
      </c>
      <c r="K257" s="14"/>
      <c r="L257" s="9"/>
      <c r="N257" s="2">
        <v>43108</v>
      </c>
      <c r="O257" s="1"/>
      <c r="P257" s="14"/>
      <c r="Q257" s="9"/>
      <c r="R257" s="1"/>
      <c r="S257" s="14"/>
      <c r="T257" s="9"/>
    </row>
    <row r="258" spans="1:20" x14ac:dyDescent="0.35">
      <c r="A258" s="4">
        <v>256</v>
      </c>
      <c r="B258" s="2">
        <v>43109</v>
      </c>
      <c r="C258" s="1">
        <v>264.27999999999997</v>
      </c>
      <c r="D258" s="1">
        <v>265.10000000000002</v>
      </c>
      <c r="E258" s="1">
        <v>263.97000000000003</v>
      </c>
      <c r="F258" s="1">
        <v>264.42</v>
      </c>
      <c r="G258" s="1" t="str">
        <f>IF(testdata[[#This Row],[high]]&gt;MAX(D254:D257,D259:D262),testdata[[#This Row],[high]],"")</f>
        <v/>
      </c>
      <c r="H258" s="14"/>
      <c r="I258" s="9"/>
      <c r="J258" s="1" t="str">
        <f>IF(testdata[[#This Row],[low]]&lt;MIN(E254:E257,E259:E262),testdata[[#This Row],[low]],"")</f>
        <v/>
      </c>
      <c r="K258" s="14"/>
      <c r="L258" s="9"/>
      <c r="N258" s="2">
        <v>43109</v>
      </c>
      <c r="O258" s="1"/>
      <c r="P258" s="14"/>
      <c r="Q258" s="9"/>
      <c r="R258" s="1"/>
      <c r="S258" s="14"/>
      <c r="T258" s="9"/>
    </row>
    <row r="259" spans="1:20" x14ac:dyDescent="0.35">
      <c r="A259" s="4">
        <v>257</v>
      </c>
      <c r="B259" s="2">
        <v>43110</v>
      </c>
      <c r="C259" s="1">
        <v>263.58999999999997</v>
      </c>
      <c r="D259" s="1">
        <v>264.3</v>
      </c>
      <c r="E259" s="1">
        <v>262.86</v>
      </c>
      <c r="F259" s="1">
        <v>264.01</v>
      </c>
      <c r="G259" s="1" t="str">
        <f>IF(testdata[[#This Row],[high]]&gt;MAX(D255:D258,D260:D263),testdata[[#This Row],[high]],"")</f>
        <v/>
      </c>
      <c r="H259" s="14"/>
      <c r="I259" s="9"/>
      <c r="J259" s="1" t="str">
        <f>IF(testdata[[#This Row],[low]]&lt;MIN(E255:E258,E260:E263),testdata[[#This Row],[low]],"")</f>
        <v/>
      </c>
      <c r="K259" s="14"/>
      <c r="L259" s="9"/>
      <c r="N259" s="2">
        <v>43110</v>
      </c>
      <c r="O259" s="1"/>
      <c r="P259" s="14"/>
      <c r="Q259" s="9"/>
      <c r="R259" s="1"/>
      <c r="S259" s="14"/>
      <c r="T259" s="9"/>
    </row>
    <row r="260" spans="1:20" x14ac:dyDescent="0.35">
      <c r="A260" s="4">
        <v>258</v>
      </c>
      <c r="B260" s="2">
        <v>43111</v>
      </c>
      <c r="C260" s="1">
        <v>264.62</v>
      </c>
      <c r="D260" s="1">
        <v>265.94</v>
      </c>
      <c r="E260" s="1">
        <v>264.44</v>
      </c>
      <c r="F260" s="1">
        <v>265.94</v>
      </c>
      <c r="G260" s="1" t="str">
        <f>IF(testdata[[#This Row],[high]]&gt;MAX(D256:D259,D261:D264),testdata[[#This Row],[high]],"")</f>
        <v/>
      </c>
      <c r="H260" s="14"/>
      <c r="I260" s="9"/>
      <c r="J260" s="1" t="str">
        <f>IF(testdata[[#This Row],[low]]&lt;MIN(E256:E259,E261:E264),testdata[[#This Row],[low]],"")</f>
        <v/>
      </c>
      <c r="K260" s="14"/>
      <c r="L260" s="9"/>
      <c r="N260" s="2">
        <v>43111</v>
      </c>
      <c r="O260" s="1"/>
      <c r="P260" s="14"/>
      <c r="Q260" s="9"/>
      <c r="R260" s="1"/>
      <c r="S260" s="14"/>
      <c r="T260" s="9"/>
    </row>
    <row r="261" spans="1:20" x14ac:dyDescent="0.35">
      <c r="A261" s="4">
        <v>259</v>
      </c>
      <c r="B261" s="2">
        <v>43112</v>
      </c>
      <c r="C261" s="1">
        <v>266.23</v>
      </c>
      <c r="D261" s="1">
        <v>267.86</v>
      </c>
      <c r="E261" s="1">
        <v>265.89999999999998</v>
      </c>
      <c r="F261" s="1">
        <v>267.67</v>
      </c>
      <c r="G261" s="1" t="str">
        <f>IF(testdata[[#This Row],[high]]&gt;MAX(D257:D260,D262:D265),testdata[[#This Row],[high]],"")</f>
        <v/>
      </c>
      <c r="H261" s="14"/>
      <c r="I261" s="9"/>
      <c r="J261" s="1" t="str">
        <f>IF(testdata[[#This Row],[low]]&lt;MIN(E257:E260,E262:E265),testdata[[#This Row],[low]],"")</f>
        <v/>
      </c>
      <c r="K261" s="14"/>
      <c r="L261" s="9"/>
      <c r="N261" s="2">
        <v>43112</v>
      </c>
      <c r="O261" s="1"/>
      <c r="P261" s="14"/>
      <c r="Q261" s="9"/>
      <c r="R261" s="1"/>
      <c r="S261" s="14"/>
      <c r="T261" s="9"/>
    </row>
    <row r="262" spans="1:20" x14ac:dyDescent="0.35">
      <c r="A262" s="4">
        <v>260</v>
      </c>
      <c r="B262" s="2">
        <v>43116</v>
      </c>
      <c r="C262" s="1">
        <v>269.05</v>
      </c>
      <c r="D262" s="1">
        <v>269.76</v>
      </c>
      <c r="E262" s="1">
        <v>266</v>
      </c>
      <c r="F262" s="1">
        <v>266.76</v>
      </c>
      <c r="G262" s="1" t="str">
        <f>IF(testdata[[#This Row],[high]]&gt;MAX(D258:D261,D263:D266),testdata[[#This Row],[high]],"")</f>
        <v/>
      </c>
      <c r="H262" s="14"/>
      <c r="I262" s="9"/>
      <c r="J262" s="1" t="str">
        <f>IF(testdata[[#This Row],[low]]&lt;MIN(E258:E261,E263:E266),testdata[[#This Row],[low]],"")</f>
        <v/>
      </c>
      <c r="K262" s="14"/>
      <c r="L262" s="9"/>
      <c r="N262" s="2">
        <v>43116</v>
      </c>
      <c r="O262" s="1"/>
      <c r="P262" s="14"/>
      <c r="Q262" s="9"/>
      <c r="R262" s="1"/>
      <c r="S262" s="14"/>
      <c r="T262" s="9"/>
    </row>
    <row r="263" spans="1:20" x14ac:dyDescent="0.35">
      <c r="A263" s="4">
        <v>261</v>
      </c>
      <c r="B263" s="2">
        <v>43117</v>
      </c>
      <c r="C263" s="1">
        <v>267.77999999999997</v>
      </c>
      <c r="D263" s="1">
        <v>269.72000000000003</v>
      </c>
      <c r="E263" s="1">
        <v>266.76</v>
      </c>
      <c r="F263" s="1">
        <v>269.3</v>
      </c>
      <c r="G263" s="1" t="str">
        <f>IF(testdata[[#This Row],[high]]&gt;MAX(D259:D262,D264:D267),testdata[[#This Row],[high]],"")</f>
        <v/>
      </c>
      <c r="H263" s="14"/>
      <c r="I263" s="9"/>
      <c r="J263" s="1" t="str">
        <f>IF(testdata[[#This Row],[low]]&lt;MIN(E259:E262,E264:E267),testdata[[#This Row],[low]],"")</f>
        <v/>
      </c>
      <c r="K263" s="14"/>
      <c r="L263" s="9"/>
      <c r="N263" s="2">
        <v>43117</v>
      </c>
      <c r="O263" s="1"/>
      <c r="P263" s="14"/>
      <c r="Q263" s="9"/>
      <c r="R263" s="1"/>
      <c r="S263" s="14"/>
      <c r="T263" s="9"/>
    </row>
    <row r="264" spans="1:20" x14ac:dyDescent="0.35">
      <c r="A264" s="4">
        <v>262</v>
      </c>
      <c r="B264" s="2">
        <v>43118</v>
      </c>
      <c r="C264" s="1">
        <v>269.17</v>
      </c>
      <c r="D264" s="1">
        <v>269.64</v>
      </c>
      <c r="E264" s="1">
        <v>268.31</v>
      </c>
      <c r="F264" s="1">
        <v>268.85000000000002</v>
      </c>
      <c r="G264" s="1" t="str">
        <f>IF(testdata[[#This Row],[high]]&gt;MAX(D260:D263,D265:D268),testdata[[#This Row],[high]],"")</f>
        <v/>
      </c>
      <c r="H264" s="14"/>
      <c r="I264" s="9"/>
      <c r="J264" s="1" t="str">
        <f>IF(testdata[[#This Row],[low]]&lt;MIN(E260:E263,E265:E268),testdata[[#This Row],[low]],"")</f>
        <v/>
      </c>
      <c r="K264" s="14"/>
      <c r="L264" s="9"/>
      <c r="N264" s="2">
        <v>43118</v>
      </c>
      <c r="O264" s="1"/>
      <c r="P264" s="14"/>
      <c r="Q264" s="9"/>
      <c r="R264" s="1"/>
      <c r="S264" s="14"/>
      <c r="T264" s="9"/>
    </row>
    <row r="265" spans="1:20" x14ac:dyDescent="0.35">
      <c r="A265" s="4">
        <v>263</v>
      </c>
      <c r="B265" s="2">
        <v>43119</v>
      </c>
      <c r="C265" s="1">
        <v>269.48</v>
      </c>
      <c r="D265" s="1">
        <v>270.07</v>
      </c>
      <c r="E265" s="1">
        <v>268.85000000000002</v>
      </c>
      <c r="F265" s="1">
        <v>270.07</v>
      </c>
      <c r="G265" s="1" t="str">
        <f>IF(testdata[[#This Row],[high]]&gt;MAX(D261:D264,D266:D269),testdata[[#This Row],[high]],"")</f>
        <v/>
      </c>
      <c r="H265" s="14"/>
      <c r="I265" s="9"/>
      <c r="J265" s="1" t="str">
        <f>IF(testdata[[#This Row],[low]]&lt;MIN(E261:E264,E266:E269),testdata[[#This Row],[low]],"")</f>
        <v/>
      </c>
      <c r="K265" s="14"/>
      <c r="L265" s="9"/>
      <c r="N265" s="2">
        <v>43119</v>
      </c>
      <c r="O265" s="1"/>
      <c r="P265" s="14"/>
      <c r="Q265" s="9"/>
      <c r="R265" s="1"/>
      <c r="S265" s="14"/>
      <c r="T265" s="9"/>
    </row>
    <row r="266" spans="1:20" x14ac:dyDescent="0.35">
      <c r="A266" s="4">
        <v>264</v>
      </c>
      <c r="B266" s="2">
        <v>43122</v>
      </c>
      <c r="C266" s="1">
        <v>269.83999999999997</v>
      </c>
      <c r="D266" s="1">
        <v>272.27</v>
      </c>
      <c r="E266" s="1">
        <v>269.77999999999997</v>
      </c>
      <c r="F266" s="1">
        <v>272.27</v>
      </c>
      <c r="G266" s="1" t="str">
        <f>IF(testdata[[#This Row],[high]]&gt;MAX(D262:D265,D267:D270),testdata[[#This Row],[high]],"")</f>
        <v/>
      </c>
      <c r="H266" s="14"/>
      <c r="I266" s="9"/>
      <c r="J266" s="1" t="str">
        <f>IF(testdata[[#This Row],[low]]&lt;MIN(E262:E265,E267:E270),testdata[[#This Row],[low]],"")</f>
        <v/>
      </c>
      <c r="K266" s="14"/>
      <c r="L266" s="9"/>
      <c r="N266" s="2">
        <v>43122</v>
      </c>
      <c r="O266" s="1"/>
      <c r="P266" s="14"/>
      <c r="Q266" s="9"/>
      <c r="R266" s="1"/>
      <c r="S266" s="14"/>
      <c r="T266" s="9"/>
    </row>
    <row r="267" spans="1:20" x14ac:dyDescent="0.35">
      <c r="A267" s="4">
        <v>265</v>
      </c>
      <c r="B267" s="2">
        <v>43123</v>
      </c>
      <c r="C267" s="1">
        <v>272.31</v>
      </c>
      <c r="D267" s="1">
        <v>273.16000000000003</v>
      </c>
      <c r="E267" s="1">
        <v>271.95999999999998</v>
      </c>
      <c r="F267" s="1">
        <v>272.83999999999997</v>
      </c>
      <c r="G267" s="1" t="str">
        <f>IF(testdata[[#This Row],[high]]&gt;MAX(D263:D266,D268:D271),testdata[[#This Row],[high]],"")</f>
        <v/>
      </c>
      <c r="H267" s="14"/>
      <c r="I267" s="9"/>
      <c r="J267" s="1" t="str">
        <f>IF(testdata[[#This Row],[low]]&lt;MIN(E263:E266,E268:E271),testdata[[#This Row],[low]],"")</f>
        <v/>
      </c>
      <c r="K267" s="14"/>
      <c r="L267" s="9"/>
      <c r="N267" s="2">
        <v>43123</v>
      </c>
      <c r="O267" s="1"/>
      <c r="P267" s="14"/>
      <c r="Q267" s="9"/>
      <c r="R267" s="1"/>
      <c r="S267" s="14"/>
      <c r="T267" s="9"/>
    </row>
    <row r="268" spans="1:20" x14ac:dyDescent="0.35">
      <c r="A268" s="4">
        <v>266</v>
      </c>
      <c r="B268" s="2">
        <v>43124</v>
      </c>
      <c r="C268" s="1">
        <v>273.55</v>
      </c>
      <c r="D268" s="1">
        <v>274.2</v>
      </c>
      <c r="E268" s="1">
        <v>271.45</v>
      </c>
      <c r="F268" s="1">
        <v>272.74</v>
      </c>
      <c r="G268" s="1" t="str">
        <f>IF(testdata[[#This Row],[high]]&gt;MAX(D264:D267,D269:D272),testdata[[#This Row],[high]],"")</f>
        <v/>
      </c>
      <c r="H268" s="14"/>
      <c r="I268" s="9"/>
      <c r="J268" s="1" t="str">
        <f>IF(testdata[[#This Row],[low]]&lt;MIN(E264:E267,E269:E272),testdata[[#This Row],[low]],"")</f>
        <v/>
      </c>
      <c r="K268" s="14"/>
      <c r="L268" s="9"/>
      <c r="N268" s="2">
        <v>43124</v>
      </c>
      <c r="O268" s="1"/>
      <c r="P268" s="14"/>
      <c r="Q268" s="9"/>
      <c r="R268" s="1"/>
      <c r="S268" s="14"/>
      <c r="T268" s="9"/>
    </row>
    <row r="269" spans="1:20" x14ac:dyDescent="0.35">
      <c r="A269" s="4">
        <v>267</v>
      </c>
      <c r="B269" s="2">
        <v>43125</v>
      </c>
      <c r="C269" s="1">
        <v>273.68</v>
      </c>
      <c r="D269" s="1">
        <v>273.79000000000002</v>
      </c>
      <c r="E269" s="1">
        <v>271.99</v>
      </c>
      <c r="F269" s="1">
        <v>272.85000000000002</v>
      </c>
      <c r="G269" s="1" t="str">
        <f>IF(testdata[[#This Row],[high]]&gt;MAX(D265:D268,D270:D273),testdata[[#This Row],[high]],"")</f>
        <v/>
      </c>
      <c r="H269" s="14"/>
      <c r="I269" s="9"/>
      <c r="J269" s="1" t="str">
        <f>IF(testdata[[#This Row],[low]]&lt;MIN(E265:E268,E270:E273),testdata[[#This Row],[low]],"")</f>
        <v/>
      </c>
      <c r="K269" s="14"/>
      <c r="L269" s="9"/>
      <c r="N269" s="2">
        <v>43125</v>
      </c>
      <c r="O269" s="1"/>
      <c r="P269" s="14"/>
      <c r="Q269" s="9"/>
      <c r="R269" s="1"/>
      <c r="S269" s="14"/>
      <c r="T269" s="9"/>
    </row>
    <row r="270" spans="1:20" x14ac:dyDescent="0.35">
      <c r="A270" s="4">
        <v>268</v>
      </c>
      <c r="B270" s="2">
        <v>43126</v>
      </c>
      <c r="C270" s="1">
        <v>273.77</v>
      </c>
      <c r="D270" s="1">
        <v>276.06</v>
      </c>
      <c r="E270" s="1">
        <v>273.49</v>
      </c>
      <c r="F270" s="1">
        <v>276.01</v>
      </c>
      <c r="G270" s="1">
        <f>IF(testdata[[#This Row],[high]]&gt;MAX(D266:D269,D271:D274),testdata[[#This Row],[high]],"")</f>
        <v>276.06</v>
      </c>
      <c r="H270" s="14"/>
      <c r="I270" s="9">
        <f>testdata[[#This Row],[Hpoint]]</f>
        <v>276.06</v>
      </c>
      <c r="J270" s="1" t="str">
        <f>IF(testdata[[#This Row],[low]]&lt;MIN(E266:E269,E271:E274),testdata[[#This Row],[low]],"")</f>
        <v/>
      </c>
      <c r="K270" s="14"/>
      <c r="L270" s="9"/>
      <c r="N270" s="2">
        <v>43126</v>
      </c>
      <c r="O270" s="1">
        <v>276.06</v>
      </c>
      <c r="P270" s="14"/>
      <c r="Q270" s="9">
        <v>276.06</v>
      </c>
      <c r="R270" s="1"/>
      <c r="S270" s="14"/>
      <c r="T270" s="9"/>
    </row>
    <row r="271" spans="1:20" x14ac:dyDescent="0.35">
      <c r="A271" s="4">
        <v>269</v>
      </c>
      <c r="B271" s="2">
        <v>43129</v>
      </c>
      <c r="C271" s="1">
        <v>275.39</v>
      </c>
      <c r="D271" s="1">
        <v>275.87</v>
      </c>
      <c r="E271" s="1">
        <v>274.01</v>
      </c>
      <c r="F271" s="1">
        <v>274.18</v>
      </c>
      <c r="G271" s="1" t="str">
        <f>IF(testdata[[#This Row],[high]]&gt;MAX(D267:D270,D272:D275),testdata[[#This Row],[high]],"")</f>
        <v/>
      </c>
      <c r="H271" s="14" t="s">
        <v>6</v>
      </c>
      <c r="I271" s="10">
        <f t="shared" ref="I271:I284" ca="1" si="11">AVERAGE(I270,I272)</f>
        <v>275.33399999999972</v>
      </c>
      <c r="J271" s="1" t="str">
        <f>IF(testdata[[#This Row],[low]]&lt;MIN(E267:E270,E272:E275),testdata[[#This Row],[low]],"")</f>
        <v/>
      </c>
      <c r="K271" s="14"/>
      <c r="L271" s="9"/>
      <c r="N271" s="2">
        <v>43129</v>
      </c>
      <c r="O271" s="1"/>
      <c r="P271" s="14" t="s">
        <v>6</v>
      </c>
      <c r="Q271" s="10">
        <v>275.334</v>
      </c>
      <c r="R271" s="1"/>
      <c r="S271" s="14"/>
      <c r="T271" s="9"/>
    </row>
    <row r="272" spans="1:20" x14ac:dyDescent="0.35">
      <c r="A272" s="4">
        <v>270</v>
      </c>
      <c r="B272" s="2">
        <v>43130</v>
      </c>
      <c r="C272" s="1">
        <v>272.18</v>
      </c>
      <c r="D272" s="1">
        <v>274.24</v>
      </c>
      <c r="E272" s="1">
        <v>270.85000000000002</v>
      </c>
      <c r="F272" s="1">
        <v>271.37</v>
      </c>
      <c r="G272" s="1" t="str">
        <f>IF(testdata[[#This Row],[high]]&gt;MAX(D268:D271,D273:D276),testdata[[#This Row],[high]],"")</f>
        <v/>
      </c>
      <c r="H272" s="14" t="s">
        <v>6</v>
      </c>
      <c r="I272" s="10">
        <f t="shared" ca="1" si="11"/>
        <v>274.60799999999949</v>
      </c>
      <c r="J272" s="1" t="str">
        <f>IF(testdata[[#This Row],[low]]&lt;MIN(E268:E271,E273:E276),testdata[[#This Row],[low]],"")</f>
        <v/>
      </c>
      <c r="K272" s="14"/>
      <c r="L272" s="9"/>
      <c r="N272" s="2">
        <v>43130</v>
      </c>
      <c r="O272" s="1"/>
      <c r="P272" s="14" t="s">
        <v>6</v>
      </c>
      <c r="Q272" s="10">
        <v>274.608</v>
      </c>
      <c r="R272" s="1"/>
      <c r="S272" s="14"/>
      <c r="T272" s="9"/>
    </row>
    <row r="273" spans="1:20" x14ac:dyDescent="0.35">
      <c r="A273" s="4">
        <v>271</v>
      </c>
      <c r="B273" s="2">
        <v>43131</v>
      </c>
      <c r="C273" s="1">
        <v>272.3</v>
      </c>
      <c r="D273" s="1">
        <v>272.85000000000002</v>
      </c>
      <c r="E273" s="1">
        <v>270.33</v>
      </c>
      <c r="F273" s="1">
        <v>271.51</v>
      </c>
      <c r="G273" s="1" t="str">
        <f>IF(testdata[[#This Row],[high]]&gt;MAX(D269:D272,D274:D277),testdata[[#This Row],[high]],"")</f>
        <v/>
      </c>
      <c r="H273" s="14" t="s">
        <v>6</v>
      </c>
      <c r="I273" s="10">
        <f t="shared" ca="1" si="11"/>
        <v>273.88199999999932</v>
      </c>
      <c r="J273" s="1" t="str">
        <f>IF(testdata[[#This Row],[low]]&lt;MIN(E269:E272,E274:E277),testdata[[#This Row],[low]],"")</f>
        <v/>
      </c>
      <c r="K273" s="14"/>
      <c r="L273" s="9"/>
      <c r="N273" s="2">
        <v>43131</v>
      </c>
      <c r="O273" s="1"/>
      <c r="P273" s="14" t="s">
        <v>6</v>
      </c>
      <c r="Q273" s="10">
        <v>273.88200000000001</v>
      </c>
      <c r="R273" s="1"/>
      <c r="S273" s="14"/>
      <c r="T273" s="9"/>
    </row>
    <row r="274" spans="1:20" x14ac:dyDescent="0.35">
      <c r="A274" s="4">
        <v>272</v>
      </c>
      <c r="B274" s="2">
        <v>43132</v>
      </c>
      <c r="C274" s="1">
        <v>270.70999999999998</v>
      </c>
      <c r="D274" s="1">
        <v>272.62</v>
      </c>
      <c r="E274" s="1">
        <v>270.33</v>
      </c>
      <c r="F274" s="1">
        <v>271.2</v>
      </c>
      <c r="G274" s="1" t="str">
        <f>IF(testdata[[#This Row],[high]]&gt;MAX(D270:D273,D275:D278),testdata[[#This Row],[high]],"")</f>
        <v/>
      </c>
      <c r="H274" s="14" t="s">
        <v>6</v>
      </c>
      <c r="I274" s="10">
        <f t="shared" ca="1" si="11"/>
        <v>273.15599999999915</v>
      </c>
      <c r="J274" s="1" t="str">
        <f>IF(testdata[[#This Row],[low]]&lt;MIN(E270:E273,E275:E278),testdata[[#This Row],[low]],"")</f>
        <v/>
      </c>
      <c r="K274" s="14"/>
      <c r="L274" s="9"/>
      <c r="N274" s="2">
        <v>43132</v>
      </c>
      <c r="O274" s="1"/>
      <c r="P274" s="14" t="s">
        <v>6</v>
      </c>
      <c r="Q274" s="10">
        <v>273.15600000000001</v>
      </c>
      <c r="R274" s="1"/>
      <c r="S274" s="14"/>
      <c r="T274" s="9"/>
    </row>
    <row r="275" spans="1:20" x14ac:dyDescent="0.35">
      <c r="A275" s="4">
        <v>273</v>
      </c>
      <c r="B275" s="2">
        <v>43133</v>
      </c>
      <c r="C275" s="1">
        <v>269.75</v>
      </c>
      <c r="D275" s="1">
        <v>269.89999999999998</v>
      </c>
      <c r="E275" s="1">
        <v>265.25</v>
      </c>
      <c r="F275" s="1">
        <v>265.29000000000002</v>
      </c>
      <c r="G275" s="1" t="str">
        <f>IF(testdata[[#This Row],[high]]&gt;MAX(D271:D274,D276:D279),testdata[[#This Row],[high]],"")</f>
        <v/>
      </c>
      <c r="H275" s="14" t="s">
        <v>6</v>
      </c>
      <c r="I275" s="10">
        <f t="shared" ca="1" si="11"/>
        <v>272.42999999999904</v>
      </c>
      <c r="J275" s="1" t="str">
        <f>IF(testdata[[#This Row],[low]]&lt;MIN(E271:E274,E276:E279),testdata[[#This Row],[low]],"")</f>
        <v/>
      </c>
      <c r="K275" s="14"/>
      <c r="L275" s="9"/>
      <c r="N275" s="2">
        <v>43133</v>
      </c>
      <c r="O275" s="1"/>
      <c r="P275" s="14" t="s">
        <v>6</v>
      </c>
      <c r="Q275" s="10">
        <v>272.43</v>
      </c>
      <c r="R275" s="1"/>
      <c r="S275" s="14"/>
      <c r="T275" s="9"/>
    </row>
    <row r="276" spans="1:20" x14ac:dyDescent="0.35">
      <c r="A276" s="4">
        <v>274</v>
      </c>
      <c r="B276" s="2">
        <v>43136</v>
      </c>
      <c r="C276" s="1">
        <v>263.37</v>
      </c>
      <c r="D276" s="1">
        <v>265.68</v>
      </c>
      <c r="E276" s="1">
        <v>253.6</v>
      </c>
      <c r="F276" s="1">
        <v>254.2</v>
      </c>
      <c r="G276" s="1" t="str">
        <f>IF(testdata[[#This Row],[high]]&gt;MAX(D272:D275,D277:D280),testdata[[#This Row],[high]],"")</f>
        <v/>
      </c>
      <c r="H276" s="14" t="s">
        <v>6</v>
      </c>
      <c r="I276" s="10">
        <f t="shared" ca="1" si="11"/>
        <v>271.70399999999898</v>
      </c>
      <c r="J276" s="1" t="str">
        <f>IF(testdata[[#This Row],[low]]&lt;MIN(E272:E275,E277:E280),testdata[[#This Row],[low]],"")</f>
        <v/>
      </c>
      <c r="K276" s="14"/>
      <c r="L276" s="9"/>
      <c r="N276" s="2">
        <v>43136</v>
      </c>
      <c r="O276" s="1"/>
      <c r="P276" s="14" t="s">
        <v>6</v>
      </c>
      <c r="Q276" s="10">
        <v>271.70400000000001</v>
      </c>
      <c r="R276" s="1"/>
      <c r="S276" s="14"/>
      <c r="T276" s="9"/>
    </row>
    <row r="277" spans="1:20" x14ac:dyDescent="0.35">
      <c r="A277" s="4">
        <v>275</v>
      </c>
      <c r="B277" s="2">
        <v>43137</v>
      </c>
      <c r="C277" s="1">
        <v>250.35</v>
      </c>
      <c r="D277" s="1">
        <v>259.76</v>
      </c>
      <c r="E277" s="1">
        <v>249.16</v>
      </c>
      <c r="F277" s="1">
        <v>259.20999999999998</v>
      </c>
      <c r="G277" s="1" t="str">
        <f>IF(testdata[[#This Row],[high]]&gt;MAX(D273:D276,D278:D281),testdata[[#This Row],[high]],"")</f>
        <v/>
      </c>
      <c r="H277" s="14" t="s">
        <v>6</v>
      </c>
      <c r="I277" s="10">
        <f t="shared" ca="1" si="11"/>
        <v>270.97799999999893</v>
      </c>
      <c r="J277" s="1" t="str">
        <f>IF(testdata[[#This Row],[low]]&lt;MIN(E273:E276,E278:E281),testdata[[#This Row],[low]],"")</f>
        <v/>
      </c>
      <c r="K277" s="14"/>
      <c r="L277" s="9"/>
      <c r="N277" s="2">
        <v>43137</v>
      </c>
      <c r="O277" s="1"/>
      <c r="P277" s="14" t="s">
        <v>6</v>
      </c>
      <c r="Q277" s="10">
        <v>270.97800000000001</v>
      </c>
      <c r="R277" s="1"/>
      <c r="S277" s="14"/>
      <c r="T277" s="9"/>
    </row>
    <row r="278" spans="1:20" x14ac:dyDescent="0.35">
      <c r="A278" s="4">
        <v>276</v>
      </c>
      <c r="B278" s="2">
        <v>43138</v>
      </c>
      <c r="C278" s="1">
        <v>258.60000000000002</v>
      </c>
      <c r="D278" s="1">
        <v>262.32</v>
      </c>
      <c r="E278" s="1">
        <v>257.70999999999998</v>
      </c>
      <c r="F278" s="1">
        <v>257.8</v>
      </c>
      <c r="G278" s="1" t="str">
        <f>IF(testdata[[#This Row],[high]]&gt;MAX(D274:D277,D279:D282),testdata[[#This Row],[high]],"")</f>
        <v/>
      </c>
      <c r="H278" s="14" t="s">
        <v>6</v>
      </c>
      <c r="I278" s="10">
        <f t="shared" ca="1" si="11"/>
        <v>270.25199999999893</v>
      </c>
      <c r="J278" s="1" t="str">
        <f>IF(testdata[[#This Row],[low]]&lt;MIN(E274:E277,E279:E282),testdata[[#This Row],[low]],"")</f>
        <v/>
      </c>
      <c r="K278" s="14"/>
      <c r="L278" s="9"/>
      <c r="N278" s="2">
        <v>43138</v>
      </c>
      <c r="O278" s="1"/>
      <c r="P278" s="14" t="s">
        <v>6</v>
      </c>
      <c r="Q278" s="10">
        <v>270.25200000000001</v>
      </c>
      <c r="R278" s="1"/>
      <c r="S278" s="14"/>
      <c r="T278" s="9"/>
    </row>
    <row r="279" spans="1:20" x14ac:dyDescent="0.35">
      <c r="A279" s="4">
        <v>277</v>
      </c>
      <c r="B279" s="2">
        <v>43139</v>
      </c>
      <c r="C279" s="1">
        <v>258.13</v>
      </c>
      <c r="D279" s="1">
        <v>258.27999999999997</v>
      </c>
      <c r="E279" s="1">
        <v>248.09</v>
      </c>
      <c r="F279" s="1">
        <v>248.13</v>
      </c>
      <c r="G279" s="1" t="str">
        <f>IF(testdata[[#This Row],[high]]&gt;MAX(D275:D278,D280:D283),testdata[[#This Row],[high]],"")</f>
        <v/>
      </c>
      <c r="H279" s="14" t="s">
        <v>6</v>
      </c>
      <c r="I279" s="10">
        <f t="shared" ca="1" si="11"/>
        <v>269.52599999999899</v>
      </c>
      <c r="J279" s="1" t="str">
        <f>IF(testdata[[#This Row],[low]]&lt;MIN(E275:E278,E280:E283),testdata[[#This Row],[low]],"")</f>
        <v/>
      </c>
      <c r="K279" s="14"/>
      <c r="L279" s="9"/>
      <c r="N279" s="2">
        <v>43139</v>
      </c>
      <c r="O279" s="1"/>
      <c r="P279" s="14" t="s">
        <v>6</v>
      </c>
      <c r="Q279" s="10">
        <v>269.52600000000001</v>
      </c>
      <c r="R279" s="1"/>
      <c r="S279" s="14"/>
      <c r="T279" s="9"/>
    </row>
    <row r="280" spans="1:20" x14ac:dyDescent="0.35">
      <c r="A280" s="4">
        <v>278</v>
      </c>
      <c r="B280" s="2">
        <v>43140</v>
      </c>
      <c r="C280" s="1">
        <v>251.18</v>
      </c>
      <c r="D280" s="1">
        <v>253.89</v>
      </c>
      <c r="E280" s="1">
        <v>243.59</v>
      </c>
      <c r="F280" s="1">
        <v>251.86</v>
      </c>
      <c r="G280" s="1" t="str">
        <f>IF(testdata[[#This Row],[high]]&gt;MAX(D276:D279,D281:D284),testdata[[#This Row],[high]],"")</f>
        <v/>
      </c>
      <c r="H280" s="14" t="s">
        <v>6</v>
      </c>
      <c r="I280" s="10">
        <f t="shared" ca="1" si="11"/>
        <v>268.79999999999905</v>
      </c>
      <c r="J280" s="1">
        <f>IF(testdata[[#This Row],[low]]&lt;MIN(E276:E279,E281:E284),testdata[[#This Row],[low]],"")</f>
        <v>243.59</v>
      </c>
      <c r="K280" s="14"/>
      <c r="L280" s="9">
        <f>testdata[[#This Row],[Lpoint]]</f>
        <v>243.59</v>
      </c>
      <c r="N280" s="2">
        <v>43140</v>
      </c>
      <c r="O280" s="1"/>
      <c r="P280" s="14" t="s">
        <v>6</v>
      </c>
      <c r="Q280" s="10">
        <v>268.8</v>
      </c>
      <c r="R280" s="1">
        <v>243.59</v>
      </c>
      <c r="S280" s="14"/>
      <c r="T280" s="9">
        <v>243.59</v>
      </c>
    </row>
    <row r="281" spans="1:20" x14ac:dyDescent="0.35">
      <c r="A281" s="4">
        <v>279</v>
      </c>
      <c r="B281" s="2">
        <v>43143</v>
      </c>
      <c r="C281" s="1">
        <v>254.1</v>
      </c>
      <c r="D281" s="1">
        <v>257.16000000000003</v>
      </c>
      <c r="E281" s="1">
        <v>252.02</v>
      </c>
      <c r="F281" s="1">
        <v>255.56</v>
      </c>
      <c r="G281" s="1" t="str">
        <f>IF(testdata[[#This Row],[high]]&gt;MAX(D277:D280,D282:D285),testdata[[#This Row],[high]],"")</f>
        <v/>
      </c>
      <c r="H281" s="14" t="s">
        <v>6</v>
      </c>
      <c r="I281" s="10">
        <f t="shared" ca="1" si="11"/>
        <v>268.07399999999916</v>
      </c>
      <c r="J281" s="1" t="str">
        <f>IF(testdata[[#This Row],[low]]&lt;MIN(E277:E280,E282:E285),testdata[[#This Row],[low]],"")</f>
        <v/>
      </c>
      <c r="K281" s="14" t="s">
        <v>8</v>
      </c>
      <c r="L281" s="10">
        <f t="shared" ref="L281:L293" ca="1" si="12">AVERAGE(L280,L282)</f>
        <v>244.40857142857135</v>
      </c>
      <c r="N281" s="2">
        <v>43143</v>
      </c>
      <c r="O281" s="1"/>
      <c r="P281" s="14" t="s">
        <v>6</v>
      </c>
      <c r="Q281" s="10">
        <v>268.07400000000001</v>
      </c>
      <c r="R281" s="1"/>
      <c r="S281" s="14" t="s">
        <v>8</v>
      </c>
      <c r="T281" s="10">
        <v>244.40860000000001</v>
      </c>
    </row>
    <row r="282" spans="1:20" x14ac:dyDescent="0.35">
      <c r="A282" s="4">
        <v>280</v>
      </c>
      <c r="B282" s="2">
        <v>43144</v>
      </c>
      <c r="C282" s="1">
        <v>254.24</v>
      </c>
      <c r="D282" s="1">
        <v>256.79000000000002</v>
      </c>
      <c r="E282" s="1">
        <v>253.6</v>
      </c>
      <c r="F282" s="1">
        <v>256.19</v>
      </c>
      <c r="G282" s="1" t="str">
        <f>IF(testdata[[#This Row],[high]]&gt;MAX(D278:D281,D283:D286),testdata[[#This Row],[high]],"")</f>
        <v/>
      </c>
      <c r="H282" s="14" t="s">
        <v>6</v>
      </c>
      <c r="I282" s="10">
        <f t="shared" ca="1" si="11"/>
        <v>267.34799999999933</v>
      </c>
      <c r="J282" s="1" t="str">
        <f>IF(testdata[[#This Row],[low]]&lt;MIN(E278:E281,E283:E286),testdata[[#This Row],[low]],"")</f>
        <v/>
      </c>
      <c r="K282" s="14" t="s">
        <v>8</v>
      </c>
      <c r="L282" s="10">
        <f t="shared" ca="1" si="12"/>
        <v>245.2271428571427</v>
      </c>
      <c r="N282" s="2">
        <v>43144</v>
      </c>
      <c r="O282" s="1"/>
      <c r="P282" s="14" t="s">
        <v>6</v>
      </c>
      <c r="Q282" s="10">
        <v>267.34800000000001</v>
      </c>
      <c r="R282" s="1"/>
      <c r="S282" s="14" t="s">
        <v>8</v>
      </c>
      <c r="T282" s="10">
        <v>245.22710000000001</v>
      </c>
    </row>
    <row r="283" spans="1:20" x14ac:dyDescent="0.35">
      <c r="A283" s="4">
        <v>281</v>
      </c>
      <c r="B283" s="2">
        <v>43145</v>
      </c>
      <c r="C283" s="1">
        <v>254.56</v>
      </c>
      <c r="D283" s="1">
        <v>260.04000000000002</v>
      </c>
      <c r="E283" s="1">
        <v>254.55</v>
      </c>
      <c r="F283" s="1">
        <v>259.64999999999998</v>
      </c>
      <c r="G283" s="1" t="str">
        <f>IF(testdata[[#This Row],[high]]&gt;MAX(D279:D282,D284:D287),testdata[[#This Row],[high]],"")</f>
        <v/>
      </c>
      <c r="H283" s="14" t="s">
        <v>6</v>
      </c>
      <c r="I283" s="10">
        <f t="shared" ca="1" si="11"/>
        <v>266.6219999999995</v>
      </c>
      <c r="J283" s="1" t="str">
        <f>IF(testdata[[#This Row],[low]]&lt;MIN(E279:E282,E284:E287),testdata[[#This Row],[low]],"")</f>
        <v/>
      </c>
      <c r="K283" s="14" t="s">
        <v>8</v>
      </c>
      <c r="L283" s="10">
        <f t="shared" ca="1" si="12"/>
        <v>246.04571428571404</v>
      </c>
      <c r="N283" s="2">
        <v>43145</v>
      </c>
      <c r="O283" s="1"/>
      <c r="P283" s="14" t="s">
        <v>6</v>
      </c>
      <c r="Q283" s="10">
        <v>266.62200000000001</v>
      </c>
      <c r="R283" s="1"/>
      <c r="S283" s="14" t="s">
        <v>8</v>
      </c>
      <c r="T283" s="10">
        <v>246.04570000000001</v>
      </c>
    </row>
    <row r="284" spans="1:20" x14ac:dyDescent="0.35">
      <c r="A284" s="4">
        <v>282</v>
      </c>
      <c r="B284" s="2">
        <v>43146</v>
      </c>
      <c r="C284" s="1">
        <v>261.56</v>
      </c>
      <c r="D284" s="1">
        <v>262.97000000000003</v>
      </c>
      <c r="E284" s="1">
        <v>258.86</v>
      </c>
      <c r="F284" s="1">
        <v>262.95999999999998</v>
      </c>
      <c r="G284" s="1" t="str">
        <f>IF(testdata[[#This Row],[high]]&gt;MAX(D280:D283,D285:D288),testdata[[#This Row],[high]],"")</f>
        <v/>
      </c>
      <c r="H284" s="14" t="s">
        <v>6</v>
      </c>
      <c r="I284" s="10">
        <f t="shared" ca="1" si="11"/>
        <v>265.89599999999973</v>
      </c>
      <c r="J284" s="1" t="str">
        <f>IF(testdata[[#This Row],[low]]&lt;MIN(E280:E283,E285:E288),testdata[[#This Row],[low]],"")</f>
        <v/>
      </c>
      <c r="K284" s="14" t="s">
        <v>8</v>
      </c>
      <c r="L284" s="10">
        <f t="shared" ca="1" si="12"/>
        <v>246.86428571428542</v>
      </c>
      <c r="N284" s="2">
        <v>43146</v>
      </c>
      <c r="O284" s="1"/>
      <c r="P284" s="14" t="s">
        <v>6</v>
      </c>
      <c r="Q284" s="10">
        <v>265.89600000000002</v>
      </c>
      <c r="R284" s="1"/>
      <c r="S284" s="14" t="s">
        <v>8</v>
      </c>
      <c r="T284" s="10">
        <v>246.86429999999999</v>
      </c>
    </row>
    <row r="285" spans="1:20" x14ac:dyDescent="0.35">
      <c r="A285" s="4">
        <v>283</v>
      </c>
      <c r="B285" s="2">
        <v>43147</v>
      </c>
      <c r="C285" s="1">
        <v>262.27999999999997</v>
      </c>
      <c r="D285" s="1">
        <v>265.17</v>
      </c>
      <c r="E285" s="1">
        <v>262.23</v>
      </c>
      <c r="F285" s="1">
        <v>263.04000000000002</v>
      </c>
      <c r="G285" s="1">
        <f>IF(testdata[[#This Row],[high]]&gt;MAX(D281:D284,D286:D289),testdata[[#This Row],[high]],"")</f>
        <v>265.17</v>
      </c>
      <c r="H285" s="14" t="s">
        <v>6</v>
      </c>
      <c r="I285" s="9">
        <f>testdata[[#This Row],[Hpoint]]</f>
        <v>265.17</v>
      </c>
      <c r="J285" s="1" t="str">
        <f>IF(testdata[[#This Row],[low]]&lt;MIN(E281:E284,E286:E289),testdata[[#This Row],[low]],"")</f>
        <v/>
      </c>
      <c r="K285" s="14" t="s">
        <v>8</v>
      </c>
      <c r="L285" s="10">
        <f t="shared" ca="1" si="12"/>
        <v>247.68285714285679</v>
      </c>
      <c r="N285" s="2">
        <v>43147</v>
      </c>
      <c r="O285" s="1">
        <v>265.17</v>
      </c>
      <c r="P285" s="14" t="s">
        <v>6</v>
      </c>
      <c r="Q285" s="9">
        <v>265.17</v>
      </c>
      <c r="R285" s="1"/>
      <c r="S285" s="14" t="s">
        <v>8</v>
      </c>
      <c r="T285" s="10">
        <v>247.68289999999999</v>
      </c>
    </row>
    <row r="286" spans="1:20" x14ac:dyDescent="0.35">
      <c r="A286" s="4">
        <v>284</v>
      </c>
      <c r="B286" s="2">
        <v>43151</v>
      </c>
      <c r="C286" s="1">
        <v>262</v>
      </c>
      <c r="D286" s="1">
        <v>263.58</v>
      </c>
      <c r="E286" s="1">
        <v>260.52999999999997</v>
      </c>
      <c r="F286" s="1">
        <v>261.39</v>
      </c>
      <c r="G286" s="1" t="str">
        <f>IF(testdata[[#This Row],[high]]&gt;MAX(D282:D285,D287:D290),testdata[[#This Row],[high]],"")</f>
        <v/>
      </c>
      <c r="H286" s="14" t="s">
        <v>7</v>
      </c>
      <c r="I286" s="10">
        <f t="shared" ref="I286:I290" ca="1" si="13">AVERAGE(I285,I287)</f>
        <v>265.74666666666667</v>
      </c>
      <c r="J286" s="1" t="str">
        <f>IF(testdata[[#This Row],[low]]&lt;MIN(E282:E285,E287:E290),testdata[[#This Row],[low]],"")</f>
        <v/>
      </c>
      <c r="K286" s="14" t="s">
        <v>8</v>
      </c>
      <c r="L286" s="10">
        <f t="shared" ca="1" si="12"/>
        <v>248.50142857142819</v>
      </c>
      <c r="N286" s="2">
        <v>43151</v>
      </c>
      <c r="O286" s="1"/>
      <c r="P286" s="14" t="s">
        <v>7</v>
      </c>
      <c r="Q286" s="10">
        <v>265.74669999999998</v>
      </c>
      <c r="R286" s="1"/>
      <c r="S286" s="14" t="s">
        <v>8</v>
      </c>
      <c r="T286" s="10">
        <v>248.50139999999999</v>
      </c>
    </row>
    <row r="287" spans="1:20" x14ac:dyDescent="0.35">
      <c r="A287" s="4">
        <v>285</v>
      </c>
      <c r="B287" s="2">
        <v>43152</v>
      </c>
      <c r="C287" s="1">
        <v>261.87</v>
      </c>
      <c r="D287" s="1">
        <v>264.58999999999997</v>
      </c>
      <c r="E287" s="1">
        <v>259.99</v>
      </c>
      <c r="F287" s="1">
        <v>260.08999999999997</v>
      </c>
      <c r="G287" s="1" t="str">
        <f>IF(testdata[[#This Row],[high]]&gt;MAX(D283:D286,D288:D291),testdata[[#This Row],[high]],"")</f>
        <v/>
      </c>
      <c r="H287" s="14" t="s">
        <v>7</v>
      </c>
      <c r="I287" s="10">
        <f t="shared" ca="1" si="13"/>
        <v>266.32333333333327</v>
      </c>
      <c r="J287" s="1" t="str">
        <f>IF(testdata[[#This Row],[low]]&lt;MIN(E283:E286,E288:E291),testdata[[#This Row],[low]],"")</f>
        <v/>
      </c>
      <c r="K287" s="14" t="s">
        <v>8</v>
      </c>
      <c r="L287" s="10">
        <f t="shared" ca="1" si="12"/>
        <v>249.3199999999996</v>
      </c>
      <c r="N287" s="2">
        <v>43152</v>
      </c>
      <c r="O287" s="1"/>
      <c r="P287" s="14" t="s">
        <v>7</v>
      </c>
      <c r="Q287" s="10">
        <v>266.32330000000002</v>
      </c>
      <c r="R287" s="1"/>
      <c r="S287" s="14" t="s">
        <v>8</v>
      </c>
      <c r="T287" s="10">
        <v>249.32</v>
      </c>
    </row>
    <row r="288" spans="1:20" x14ac:dyDescent="0.35">
      <c r="A288" s="4">
        <v>286</v>
      </c>
      <c r="B288" s="2">
        <v>43153</v>
      </c>
      <c r="C288" s="1">
        <v>261.10000000000002</v>
      </c>
      <c r="D288" s="1">
        <v>262.98</v>
      </c>
      <c r="E288" s="1">
        <v>259.7</v>
      </c>
      <c r="F288" s="1">
        <v>260.43</v>
      </c>
      <c r="G288" s="1" t="str">
        <f>IF(testdata[[#This Row],[high]]&gt;MAX(D284:D287,D289:D292),testdata[[#This Row],[high]],"")</f>
        <v/>
      </c>
      <c r="H288" s="14" t="s">
        <v>7</v>
      </c>
      <c r="I288" s="10">
        <f t="shared" ca="1" si="13"/>
        <v>266.89999999999992</v>
      </c>
      <c r="J288" s="1" t="str">
        <f>IF(testdata[[#This Row],[low]]&lt;MIN(E284:E287,E289:E292),testdata[[#This Row],[low]],"")</f>
        <v/>
      </c>
      <c r="K288" s="14" t="s">
        <v>8</v>
      </c>
      <c r="L288" s="10">
        <f t="shared" ca="1" si="12"/>
        <v>250.13857142857103</v>
      </c>
      <c r="N288" s="2">
        <v>43153</v>
      </c>
      <c r="O288" s="1"/>
      <c r="P288" s="14" t="s">
        <v>7</v>
      </c>
      <c r="Q288" s="10">
        <v>266.89999999999998</v>
      </c>
      <c r="R288" s="1"/>
      <c r="S288" s="14" t="s">
        <v>8</v>
      </c>
      <c r="T288" s="10">
        <v>250.1386</v>
      </c>
    </row>
    <row r="289" spans="1:20" x14ac:dyDescent="0.35">
      <c r="A289" s="4">
        <v>287</v>
      </c>
      <c r="B289" s="2">
        <v>43154</v>
      </c>
      <c r="C289" s="1">
        <v>261.77</v>
      </c>
      <c r="D289" s="1">
        <v>264.58</v>
      </c>
      <c r="E289" s="1">
        <v>261.25</v>
      </c>
      <c r="F289" s="1">
        <v>264.58</v>
      </c>
      <c r="G289" s="1" t="str">
        <f>IF(testdata[[#This Row],[high]]&gt;MAX(D285:D288,D290:D293),testdata[[#This Row],[high]],"")</f>
        <v/>
      </c>
      <c r="H289" s="14" t="s">
        <v>7</v>
      </c>
      <c r="I289" s="10">
        <f t="shared" ca="1" si="13"/>
        <v>267.47666666666657</v>
      </c>
      <c r="J289" s="1" t="str">
        <f>IF(testdata[[#This Row],[low]]&lt;MIN(E285:E288,E290:E293),testdata[[#This Row],[low]],"")</f>
        <v/>
      </c>
      <c r="K289" s="14" t="s">
        <v>8</v>
      </c>
      <c r="L289" s="10">
        <f t="shared" ca="1" si="12"/>
        <v>250.95714285714249</v>
      </c>
      <c r="N289" s="2">
        <v>43154</v>
      </c>
      <c r="O289" s="1"/>
      <c r="P289" s="14" t="s">
        <v>7</v>
      </c>
      <c r="Q289" s="10">
        <v>267.47669999999999</v>
      </c>
      <c r="R289" s="1"/>
      <c r="S289" s="14" t="s">
        <v>8</v>
      </c>
      <c r="T289" s="10">
        <v>250.9571</v>
      </c>
    </row>
    <row r="290" spans="1:20" x14ac:dyDescent="0.35">
      <c r="A290" s="4">
        <v>288</v>
      </c>
      <c r="B290" s="2">
        <v>43157</v>
      </c>
      <c r="C290" s="1">
        <v>265.76</v>
      </c>
      <c r="D290" s="1">
        <v>267.76</v>
      </c>
      <c r="E290" s="1">
        <v>265.11</v>
      </c>
      <c r="F290" s="1">
        <v>267.64999999999998</v>
      </c>
      <c r="G290" s="1" t="str">
        <f>IF(testdata[[#This Row],[high]]&gt;MAX(D286:D289,D291:D294),testdata[[#This Row],[high]],"")</f>
        <v/>
      </c>
      <c r="H290" s="14" t="s">
        <v>7</v>
      </c>
      <c r="I290" s="10">
        <f t="shared" ca="1" si="13"/>
        <v>268.05333333333328</v>
      </c>
      <c r="J290" s="1" t="str">
        <f>IF(testdata[[#This Row],[low]]&lt;MIN(E286:E289,E291:E294),testdata[[#This Row],[low]],"")</f>
        <v/>
      </c>
      <c r="K290" s="14" t="s">
        <v>8</v>
      </c>
      <c r="L290" s="10">
        <f t="shared" ca="1" si="12"/>
        <v>251.77571428571395</v>
      </c>
      <c r="N290" s="2">
        <v>43157</v>
      </c>
      <c r="O290" s="1"/>
      <c r="P290" s="14" t="s">
        <v>7</v>
      </c>
      <c r="Q290" s="10">
        <v>268.05329999999998</v>
      </c>
      <c r="R290" s="1"/>
      <c r="S290" s="14" t="s">
        <v>8</v>
      </c>
      <c r="T290" s="10">
        <v>251.7757</v>
      </c>
    </row>
    <row r="291" spans="1:20" x14ac:dyDescent="0.35">
      <c r="A291" s="4">
        <v>289</v>
      </c>
      <c r="B291" s="2">
        <v>43158</v>
      </c>
      <c r="C291" s="1">
        <v>267.86</v>
      </c>
      <c r="D291" s="1">
        <v>268.63</v>
      </c>
      <c r="E291" s="1">
        <v>264.24</v>
      </c>
      <c r="F291" s="1">
        <v>264.31</v>
      </c>
      <c r="G291" s="1">
        <f>IF(testdata[[#This Row],[high]]&gt;MAX(D287:D290,D292:D295),testdata[[#This Row],[high]],"")</f>
        <v>268.63</v>
      </c>
      <c r="H291" s="14" t="s">
        <v>7</v>
      </c>
      <c r="I291" s="9">
        <f>testdata[[#This Row],[Hpoint]]</f>
        <v>268.63</v>
      </c>
      <c r="J291" s="1" t="str">
        <f>IF(testdata[[#This Row],[low]]&lt;MIN(E287:E290,E292:E295),testdata[[#This Row],[low]],"")</f>
        <v/>
      </c>
      <c r="K291" s="14" t="s">
        <v>8</v>
      </c>
      <c r="L291" s="10">
        <f t="shared" ca="1" si="12"/>
        <v>252.59428571428543</v>
      </c>
      <c r="N291" s="2">
        <v>43158</v>
      </c>
      <c r="O291" s="1">
        <v>268.63</v>
      </c>
      <c r="P291" s="14" t="s">
        <v>7</v>
      </c>
      <c r="Q291" s="9">
        <v>268.63</v>
      </c>
      <c r="R291" s="1"/>
      <c r="S291" s="14" t="s">
        <v>8</v>
      </c>
      <c r="T291" s="10">
        <v>252.5943</v>
      </c>
    </row>
    <row r="292" spans="1:20" x14ac:dyDescent="0.35">
      <c r="A292" s="4">
        <v>290</v>
      </c>
      <c r="B292" s="2">
        <v>43159</v>
      </c>
      <c r="C292" s="1">
        <v>265.51</v>
      </c>
      <c r="D292" s="1">
        <v>266.01</v>
      </c>
      <c r="E292" s="1">
        <v>261.29000000000002</v>
      </c>
      <c r="F292" s="1">
        <v>261.63</v>
      </c>
      <c r="G292" s="1" t="str">
        <f>IF(testdata[[#This Row],[high]]&gt;MAX(D288:D291,D293:D296),testdata[[#This Row],[high]],"")</f>
        <v/>
      </c>
      <c r="H292" s="14" t="s">
        <v>7</v>
      </c>
      <c r="I292" s="10">
        <f t="shared" ref="I292:I300" ca="1" si="14">AVERAGE(I291,I293)</f>
        <v>268.77399999999989</v>
      </c>
      <c r="J292" s="1" t="str">
        <f>IF(testdata[[#This Row],[low]]&lt;MIN(E288:E291,E293:E296),testdata[[#This Row],[low]],"")</f>
        <v/>
      </c>
      <c r="K292" s="14" t="s">
        <v>8</v>
      </c>
      <c r="L292" s="10">
        <f t="shared" ca="1" si="12"/>
        <v>253.41285714285695</v>
      </c>
      <c r="N292" s="2">
        <v>43159</v>
      </c>
      <c r="O292" s="1"/>
      <c r="P292" s="14" t="s">
        <v>7</v>
      </c>
      <c r="Q292" s="10">
        <v>268.774</v>
      </c>
      <c r="R292" s="1"/>
      <c r="S292" s="14" t="s">
        <v>8</v>
      </c>
      <c r="T292" s="10">
        <v>253.41290000000001</v>
      </c>
    </row>
    <row r="293" spans="1:20" x14ac:dyDescent="0.35">
      <c r="A293" s="4">
        <v>291</v>
      </c>
      <c r="B293" s="2">
        <v>43160</v>
      </c>
      <c r="C293" s="1">
        <v>261.39999999999998</v>
      </c>
      <c r="D293" s="1">
        <v>263.10000000000002</v>
      </c>
      <c r="E293" s="1">
        <v>256.19</v>
      </c>
      <c r="F293" s="1">
        <v>257.83</v>
      </c>
      <c r="G293" s="1" t="str">
        <f>IF(testdata[[#This Row],[high]]&gt;MAX(D289:D292,D294:D297),testdata[[#This Row],[high]],"")</f>
        <v/>
      </c>
      <c r="H293" s="14" t="s">
        <v>7</v>
      </c>
      <c r="I293" s="10">
        <f t="shared" ca="1" si="14"/>
        <v>268.91799999999978</v>
      </c>
      <c r="J293" s="1" t="str">
        <f>IF(testdata[[#This Row],[low]]&lt;MIN(E289:E292,E294:E297),testdata[[#This Row],[low]],"")</f>
        <v/>
      </c>
      <c r="K293" s="14" t="s">
        <v>8</v>
      </c>
      <c r="L293" s="10">
        <f t="shared" ca="1" si="12"/>
        <v>254.23142857142847</v>
      </c>
      <c r="N293" s="2">
        <v>43160</v>
      </c>
      <c r="O293" s="1"/>
      <c r="P293" s="14" t="s">
        <v>7</v>
      </c>
      <c r="Q293" s="10">
        <v>268.91800000000001</v>
      </c>
      <c r="R293" s="1"/>
      <c r="S293" s="14" t="s">
        <v>8</v>
      </c>
      <c r="T293" s="10">
        <v>254.23140000000001</v>
      </c>
    </row>
    <row r="294" spans="1:20" x14ac:dyDescent="0.35">
      <c r="A294" s="4">
        <v>292</v>
      </c>
      <c r="B294" s="2">
        <v>43161</v>
      </c>
      <c r="C294" s="1">
        <v>256</v>
      </c>
      <c r="D294" s="1">
        <v>259.77</v>
      </c>
      <c r="E294" s="1">
        <v>255.05</v>
      </c>
      <c r="F294" s="1">
        <v>259.16000000000003</v>
      </c>
      <c r="G294" s="1" t="str">
        <f>IF(testdata[[#This Row],[high]]&gt;MAX(D290:D293,D295:D298),testdata[[#This Row],[high]],"")</f>
        <v/>
      </c>
      <c r="H294" s="14" t="s">
        <v>7</v>
      </c>
      <c r="I294" s="10">
        <f t="shared" ca="1" si="14"/>
        <v>269.06199999999967</v>
      </c>
      <c r="J294" s="1">
        <f>IF(testdata[[#This Row],[low]]&lt;MIN(E290:E293,E295:E298),testdata[[#This Row],[low]],"")</f>
        <v>255.05</v>
      </c>
      <c r="K294" s="14" t="s">
        <v>8</v>
      </c>
      <c r="L294" s="9">
        <f>testdata[[#This Row],[Lpoint]]</f>
        <v>255.05</v>
      </c>
      <c r="N294" s="2">
        <v>43161</v>
      </c>
      <c r="O294" s="1"/>
      <c r="P294" s="14" t="s">
        <v>7</v>
      </c>
      <c r="Q294" s="10">
        <v>269.06200000000001</v>
      </c>
      <c r="R294" s="1">
        <v>255.05</v>
      </c>
      <c r="S294" s="14" t="s">
        <v>8</v>
      </c>
      <c r="T294" s="9">
        <v>255.05</v>
      </c>
    </row>
    <row r="295" spans="1:20" x14ac:dyDescent="0.35">
      <c r="A295" s="4">
        <v>293</v>
      </c>
      <c r="B295" s="2">
        <v>43164</v>
      </c>
      <c r="C295" s="1">
        <v>257.86</v>
      </c>
      <c r="D295" s="1">
        <v>262.83</v>
      </c>
      <c r="E295" s="1">
        <v>257.74</v>
      </c>
      <c r="F295" s="1">
        <v>262.14999999999998</v>
      </c>
      <c r="G295" s="1" t="str">
        <f>IF(testdata[[#This Row],[high]]&gt;MAX(D291:D294,D296:D299),testdata[[#This Row],[high]],"")</f>
        <v/>
      </c>
      <c r="H295" s="14" t="s">
        <v>7</v>
      </c>
      <c r="I295" s="10">
        <f t="shared" ca="1" si="14"/>
        <v>269.20599999999962</v>
      </c>
      <c r="J295" s="1" t="str">
        <f>IF(testdata[[#This Row],[low]]&lt;MIN(E291:E294,E296:E299),testdata[[#This Row],[low]],"")</f>
        <v/>
      </c>
      <c r="K295" s="14" t="s">
        <v>13</v>
      </c>
      <c r="L295" s="10">
        <f t="shared" ref="L295:L308" ca="1" si="15">AVERAGE(L294,L296)</f>
        <v>254.66799999999989</v>
      </c>
      <c r="N295" s="2">
        <v>43164</v>
      </c>
      <c r="O295" s="1"/>
      <c r="P295" s="14" t="s">
        <v>7</v>
      </c>
      <c r="Q295" s="10">
        <v>269.20600000000002</v>
      </c>
      <c r="R295" s="1"/>
      <c r="S295" s="14" t="s">
        <v>13</v>
      </c>
      <c r="T295" s="10">
        <v>254.66800000000001</v>
      </c>
    </row>
    <row r="296" spans="1:20" x14ac:dyDescent="0.35">
      <c r="A296" s="4">
        <v>294</v>
      </c>
      <c r="B296" s="2">
        <v>43165</v>
      </c>
      <c r="C296" s="1">
        <v>263.22000000000003</v>
      </c>
      <c r="D296" s="1">
        <v>263.31</v>
      </c>
      <c r="E296" s="1">
        <v>261.18</v>
      </c>
      <c r="F296" s="1">
        <v>262.82</v>
      </c>
      <c r="G296" s="1" t="str">
        <f>IF(testdata[[#This Row],[high]]&gt;MAX(D292:D295,D297:D300),testdata[[#This Row],[high]],"")</f>
        <v/>
      </c>
      <c r="H296" s="14" t="s">
        <v>7</v>
      </c>
      <c r="I296" s="10">
        <f t="shared" ca="1" si="14"/>
        <v>269.34999999999957</v>
      </c>
      <c r="J296" s="1" t="str">
        <f>IF(testdata[[#This Row],[low]]&lt;MIN(E292:E295,E297:E300),testdata[[#This Row],[low]],"")</f>
        <v/>
      </c>
      <c r="K296" s="14" t="s">
        <v>13</v>
      </c>
      <c r="L296" s="10">
        <f t="shared" ca="1" si="15"/>
        <v>254.2859999999998</v>
      </c>
      <c r="N296" s="2">
        <v>43165</v>
      </c>
      <c r="O296" s="1"/>
      <c r="P296" s="14" t="s">
        <v>7</v>
      </c>
      <c r="Q296" s="10">
        <v>269.35000000000002</v>
      </c>
      <c r="R296" s="1"/>
      <c r="S296" s="14" t="s">
        <v>13</v>
      </c>
      <c r="T296" s="10">
        <v>254.286</v>
      </c>
    </row>
    <row r="297" spans="1:20" x14ac:dyDescent="0.35">
      <c r="A297" s="4">
        <v>295</v>
      </c>
      <c r="B297" s="2">
        <v>43166</v>
      </c>
      <c r="C297" s="1">
        <v>260.45</v>
      </c>
      <c r="D297" s="1">
        <v>263.11</v>
      </c>
      <c r="E297" s="1">
        <v>260.24</v>
      </c>
      <c r="F297" s="1">
        <v>262.72000000000003</v>
      </c>
      <c r="G297" s="1" t="str">
        <f>IF(testdata[[#This Row],[high]]&gt;MAX(D293:D296,D298:D301),testdata[[#This Row],[high]],"")</f>
        <v/>
      </c>
      <c r="H297" s="14" t="s">
        <v>7</v>
      </c>
      <c r="I297" s="10">
        <f t="shared" ca="1" si="14"/>
        <v>269.49399999999957</v>
      </c>
      <c r="J297" s="1" t="str">
        <f>IF(testdata[[#This Row],[low]]&lt;MIN(E293:E296,E298:E301),testdata[[#This Row],[low]],"")</f>
        <v/>
      </c>
      <c r="K297" s="14" t="s">
        <v>13</v>
      </c>
      <c r="L297" s="10">
        <f t="shared" ca="1" si="15"/>
        <v>253.90399999999971</v>
      </c>
      <c r="N297" s="2">
        <v>43166</v>
      </c>
      <c r="O297" s="1"/>
      <c r="P297" s="14" t="s">
        <v>7</v>
      </c>
      <c r="Q297" s="10">
        <v>269.49400000000003</v>
      </c>
      <c r="R297" s="1"/>
      <c r="S297" s="14" t="s">
        <v>13</v>
      </c>
      <c r="T297" s="10">
        <v>253.904</v>
      </c>
    </row>
    <row r="298" spans="1:20" x14ac:dyDescent="0.35">
      <c r="A298" s="4">
        <v>296</v>
      </c>
      <c r="B298" s="2">
        <v>43167</v>
      </c>
      <c r="C298" s="1">
        <v>263.45999999999998</v>
      </c>
      <c r="D298" s="1">
        <v>264.13</v>
      </c>
      <c r="E298" s="1">
        <v>262.37</v>
      </c>
      <c r="F298" s="1">
        <v>263.99</v>
      </c>
      <c r="G298" s="1" t="str">
        <f>IF(testdata[[#This Row],[high]]&gt;MAX(D294:D297,D299:D302),testdata[[#This Row],[high]],"")</f>
        <v/>
      </c>
      <c r="H298" s="14" t="s">
        <v>7</v>
      </c>
      <c r="I298" s="10">
        <f t="shared" ca="1" si="14"/>
        <v>269.63799999999964</v>
      </c>
      <c r="J298" s="1" t="str">
        <f>IF(testdata[[#This Row],[low]]&lt;MIN(E294:E297,E299:E302),testdata[[#This Row],[low]],"")</f>
        <v/>
      </c>
      <c r="K298" s="14" t="s">
        <v>13</v>
      </c>
      <c r="L298" s="10">
        <f t="shared" ca="1" si="15"/>
        <v>253.52199999999965</v>
      </c>
      <c r="N298" s="2">
        <v>43167</v>
      </c>
      <c r="O298" s="1"/>
      <c r="P298" s="14" t="s">
        <v>7</v>
      </c>
      <c r="Q298" s="10">
        <v>269.63799999999998</v>
      </c>
      <c r="R298" s="1"/>
      <c r="S298" s="14" t="s">
        <v>13</v>
      </c>
      <c r="T298" s="10">
        <v>253.52199999999999</v>
      </c>
    </row>
    <row r="299" spans="1:20" x14ac:dyDescent="0.35">
      <c r="A299" s="4">
        <v>297</v>
      </c>
      <c r="B299" s="2">
        <v>43168</v>
      </c>
      <c r="C299" s="1">
        <v>265.52999999999997</v>
      </c>
      <c r="D299" s="1">
        <v>268.58999999999997</v>
      </c>
      <c r="E299" s="1">
        <v>265.19</v>
      </c>
      <c r="F299" s="1">
        <v>268.58999999999997</v>
      </c>
      <c r="G299" s="1" t="str">
        <f>IF(testdata[[#This Row],[high]]&gt;MAX(D295:D298,D300:D303),testdata[[#This Row],[high]],"")</f>
        <v/>
      </c>
      <c r="H299" s="14" t="s">
        <v>7</v>
      </c>
      <c r="I299" s="10">
        <f t="shared" ca="1" si="14"/>
        <v>269.7819999999997</v>
      </c>
      <c r="J299" s="1" t="str">
        <f>IF(testdata[[#This Row],[low]]&lt;MIN(E295:E298,E300:E303),testdata[[#This Row],[low]],"")</f>
        <v/>
      </c>
      <c r="K299" s="14" t="s">
        <v>13</v>
      </c>
      <c r="L299" s="10">
        <f t="shared" ca="1" si="15"/>
        <v>253.13999999999959</v>
      </c>
      <c r="N299" s="2">
        <v>43168</v>
      </c>
      <c r="O299" s="1"/>
      <c r="P299" s="14" t="s">
        <v>7</v>
      </c>
      <c r="Q299" s="10">
        <v>269.78199999999998</v>
      </c>
      <c r="R299" s="1"/>
      <c r="S299" s="14" t="s">
        <v>13</v>
      </c>
      <c r="T299" s="10">
        <v>253.14</v>
      </c>
    </row>
    <row r="300" spans="1:20" x14ac:dyDescent="0.35">
      <c r="A300" s="4">
        <v>298</v>
      </c>
      <c r="B300" s="2">
        <v>43171</v>
      </c>
      <c r="C300" s="1">
        <v>268.89999999999998</v>
      </c>
      <c r="D300" s="1">
        <v>269.58999999999997</v>
      </c>
      <c r="E300" s="1">
        <v>267.83</v>
      </c>
      <c r="F300" s="1">
        <v>268.25</v>
      </c>
      <c r="G300" s="1" t="str">
        <f>IF(testdata[[#This Row],[high]]&gt;MAX(D296:D299,D301:D304),testdata[[#This Row],[high]],"")</f>
        <v/>
      </c>
      <c r="H300" s="14" t="s">
        <v>7</v>
      </c>
      <c r="I300" s="10">
        <f t="shared" ca="1" si="14"/>
        <v>269.92599999999982</v>
      </c>
      <c r="J300" s="1" t="str">
        <f>IF(testdata[[#This Row],[low]]&lt;MIN(E296:E299,E301:E304),testdata[[#This Row],[low]],"")</f>
        <v/>
      </c>
      <c r="K300" s="14" t="s">
        <v>13</v>
      </c>
      <c r="L300" s="10">
        <f t="shared" ca="1" si="15"/>
        <v>252.75799999999956</v>
      </c>
      <c r="N300" s="2">
        <v>43171</v>
      </c>
      <c r="O300" s="1"/>
      <c r="P300" s="14" t="s">
        <v>7</v>
      </c>
      <c r="Q300" s="10">
        <v>269.92599999999999</v>
      </c>
      <c r="R300" s="1"/>
      <c r="S300" s="14" t="s">
        <v>13</v>
      </c>
      <c r="T300" s="10">
        <v>252.75800000000001</v>
      </c>
    </row>
    <row r="301" spans="1:20" x14ac:dyDescent="0.35">
      <c r="A301" s="4">
        <v>299</v>
      </c>
      <c r="B301" s="2">
        <v>43172</v>
      </c>
      <c r="C301" s="1">
        <v>269.52</v>
      </c>
      <c r="D301" s="1">
        <v>270.07</v>
      </c>
      <c r="E301" s="1">
        <v>265.85000000000002</v>
      </c>
      <c r="F301" s="1">
        <v>266.52</v>
      </c>
      <c r="G301" s="1">
        <f>IF(testdata[[#This Row],[high]]&gt;MAX(D297:D300,D302:D305),testdata[[#This Row],[high]],"")</f>
        <v>270.07</v>
      </c>
      <c r="H301" s="14" t="s">
        <v>7</v>
      </c>
      <c r="I301" s="9">
        <f>testdata[[#This Row],[Hpoint]]</f>
        <v>270.07</v>
      </c>
      <c r="J301" s="1" t="str">
        <f>IF(testdata[[#This Row],[low]]&lt;MIN(E297:E300,E302:E305),testdata[[#This Row],[low]],"")</f>
        <v/>
      </c>
      <c r="K301" s="14" t="s">
        <v>13</v>
      </c>
      <c r="L301" s="10">
        <f t="shared" ca="1" si="15"/>
        <v>252.37599999999952</v>
      </c>
      <c r="N301" s="2">
        <v>43172</v>
      </c>
      <c r="O301" s="1">
        <v>270.07</v>
      </c>
      <c r="P301" s="14" t="s">
        <v>7</v>
      </c>
      <c r="Q301" s="9">
        <v>270.07</v>
      </c>
      <c r="R301" s="1"/>
      <c r="S301" s="14" t="s">
        <v>13</v>
      </c>
      <c r="T301" s="10">
        <v>252.376</v>
      </c>
    </row>
    <row r="302" spans="1:20" x14ac:dyDescent="0.35">
      <c r="A302" s="4">
        <v>300</v>
      </c>
      <c r="B302" s="2">
        <v>43173</v>
      </c>
      <c r="C302" s="1">
        <v>267.57</v>
      </c>
      <c r="D302" s="1">
        <v>267.77</v>
      </c>
      <c r="E302" s="1">
        <v>264.54000000000002</v>
      </c>
      <c r="F302" s="1">
        <v>265.14999999999998</v>
      </c>
      <c r="G302" s="1" t="str">
        <f>IF(testdata[[#This Row],[high]]&gt;MAX(D298:D301,D303:D306),testdata[[#This Row],[high]],"")</f>
        <v/>
      </c>
      <c r="H302" s="14" t="s">
        <v>6</v>
      </c>
      <c r="I302" s="10">
        <f t="shared" ref="I302:I316" ca="1" si="16">AVERAGE(I301,I303)</f>
        <v>269.30562499999974</v>
      </c>
      <c r="J302" s="1" t="str">
        <f>IF(testdata[[#This Row],[low]]&lt;MIN(E298:E301,E303:E306),testdata[[#This Row],[low]],"")</f>
        <v/>
      </c>
      <c r="K302" s="14" t="s">
        <v>13</v>
      </c>
      <c r="L302" s="10">
        <f t="shared" ca="1" si="15"/>
        <v>251.99399999999952</v>
      </c>
      <c r="N302" s="2">
        <v>43173</v>
      </c>
      <c r="O302" s="1"/>
      <c r="P302" s="14" t="s">
        <v>6</v>
      </c>
      <c r="Q302" s="10">
        <v>269.30560000000003</v>
      </c>
      <c r="R302" s="1"/>
      <c r="S302" s="14" t="s">
        <v>13</v>
      </c>
      <c r="T302" s="10">
        <v>251.994</v>
      </c>
    </row>
    <row r="303" spans="1:20" x14ac:dyDescent="0.35">
      <c r="A303" s="4">
        <v>301</v>
      </c>
      <c r="B303" s="2">
        <v>43174</v>
      </c>
      <c r="C303" s="1">
        <v>265.70999999999998</v>
      </c>
      <c r="D303" s="1">
        <v>266.41000000000003</v>
      </c>
      <c r="E303" s="1">
        <v>264.31</v>
      </c>
      <c r="F303" s="1">
        <v>264.86</v>
      </c>
      <c r="G303" s="1" t="str">
        <f>IF(testdata[[#This Row],[high]]&gt;MAX(D299:D302,D304:D307),testdata[[#This Row],[high]],"")</f>
        <v/>
      </c>
      <c r="H303" s="14" t="s">
        <v>6</v>
      </c>
      <c r="I303" s="10">
        <f t="shared" ca="1" si="16"/>
        <v>268.54124999999954</v>
      </c>
      <c r="J303" s="1" t="str">
        <f>IF(testdata[[#This Row],[low]]&lt;MIN(E299:E302,E304:E307),testdata[[#This Row],[low]],"")</f>
        <v/>
      </c>
      <c r="K303" s="14" t="s">
        <v>13</v>
      </c>
      <c r="L303" s="10">
        <f t="shared" ca="1" si="15"/>
        <v>251.61199999999954</v>
      </c>
      <c r="N303" s="2">
        <v>43174</v>
      </c>
      <c r="O303" s="1"/>
      <c r="P303" s="14" t="s">
        <v>6</v>
      </c>
      <c r="Q303" s="10">
        <v>268.54129999999998</v>
      </c>
      <c r="R303" s="1"/>
      <c r="S303" s="14" t="s">
        <v>13</v>
      </c>
      <c r="T303" s="10">
        <v>251.61199999999999</v>
      </c>
    </row>
    <row r="304" spans="1:20" x14ac:dyDescent="0.35">
      <c r="A304" s="4">
        <v>302</v>
      </c>
      <c r="B304" s="2">
        <v>43175</v>
      </c>
      <c r="C304" s="1">
        <v>265.44</v>
      </c>
      <c r="D304" s="1">
        <v>266.3</v>
      </c>
      <c r="E304" s="1">
        <v>265.08999999999997</v>
      </c>
      <c r="F304" s="1">
        <v>265.14999999999998</v>
      </c>
      <c r="G304" s="1" t="str">
        <f>IF(testdata[[#This Row],[high]]&gt;MAX(D300:D303,D305:D308),testdata[[#This Row],[high]],"")</f>
        <v/>
      </c>
      <c r="H304" s="14" t="s">
        <v>6</v>
      </c>
      <c r="I304" s="10">
        <f t="shared" ca="1" si="16"/>
        <v>267.77687499999934</v>
      </c>
      <c r="J304" s="1" t="str">
        <f>IF(testdata[[#This Row],[low]]&lt;MIN(E300:E303,E305:E308),testdata[[#This Row],[low]],"")</f>
        <v/>
      </c>
      <c r="K304" s="14" t="s">
        <v>13</v>
      </c>
      <c r="L304" s="10">
        <f t="shared" ca="1" si="15"/>
        <v>251.22999999999956</v>
      </c>
      <c r="N304" s="2">
        <v>43175</v>
      </c>
      <c r="O304" s="1"/>
      <c r="P304" s="14" t="s">
        <v>6</v>
      </c>
      <c r="Q304" s="10">
        <v>267.77690000000001</v>
      </c>
      <c r="R304" s="1"/>
      <c r="S304" s="14" t="s">
        <v>13</v>
      </c>
      <c r="T304" s="10">
        <v>251.23</v>
      </c>
    </row>
    <row r="305" spans="1:20" x14ac:dyDescent="0.35">
      <c r="A305" s="4">
        <v>303</v>
      </c>
      <c r="B305" s="2">
        <v>43178</v>
      </c>
      <c r="C305" s="1">
        <v>264.32</v>
      </c>
      <c r="D305" s="1">
        <v>265.33999999999997</v>
      </c>
      <c r="E305" s="1">
        <v>259.75</v>
      </c>
      <c r="F305" s="1">
        <v>261.56</v>
      </c>
      <c r="G305" s="1" t="str">
        <f>IF(testdata[[#This Row],[high]]&gt;MAX(D301:D304,D306:D309),testdata[[#This Row],[high]],"")</f>
        <v/>
      </c>
      <c r="H305" s="14" t="s">
        <v>6</v>
      </c>
      <c r="I305" s="10">
        <f t="shared" ca="1" si="16"/>
        <v>267.01249999999919</v>
      </c>
      <c r="J305" s="1" t="str">
        <f>IF(testdata[[#This Row],[low]]&lt;MIN(E301:E304,E306:E309),testdata[[#This Row],[low]],"")</f>
        <v/>
      </c>
      <c r="K305" s="14" t="s">
        <v>13</v>
      </c>
      <c r="L305" s="10">
        <f t="shared" ca="1" si="15"/>
        <v>250.84799999999962</v>
      </c>
      <c r="N305" s="2">
        <v>43178</v>
      </c>
      <c r="O305" s="1"/>
      <c r="P305" s="14" t="s">
        <v>6</v>
      </c>
      <c r="Q305" s="10">
        <v>267.01249999999999</v>
      </c>
      <c r="R305" s="1"/>
      <c r="S305" s="14" t="s">
        <v>13</v>
      </c>
      <c r="T305" s="10">
        <v>250.84800000000001</v>
      </c>
    </row>
    <row r="306" spans="1:20" x14ac:dyDescent="0.35">
      <c r="A306" s="4">
        <v>304</v>
      </c>
      <c r="B306" s="2">
        <v>43179</v>
      </c>
      <c r="C306" s="1">
        <v>261.99</v>
      </c>
      <c r="D306" s="1">
        <v>262.7</v>
      </c>
      <c r="E306" s="1">
        <v>261.26</v>
      </c>
      <c r="F306" s="1">
        <v>262</v>
      </c>
      <c r="G306" s="1" t="str">
        <f>IF(testdata[[#This Row],[high]]&gt;MAX(D302:D305,D307:D310),testdata[[#This Row],[high]],"")</f>
        <v/>
      </c>
      <c r="H306" s="14" t="s">
        <v>6</v>
      </c>
      <c r="I306" s="10">
        <f t="shared" ca="1" si="16"/>
        <v>266.24812499999905</v>
      </c>
      <c r="J306" s="1" t="str">
        <f>IF(testdata[[#This Row],[low]]&lt;MIN(E302:E305,E307:E310),testdata[[#This Row],[low]],"")</f>
        <v/>
      </c>
      <c r="K306" s="14" t="s">
        <v>13</v>
      </c>
      <c r="L306" s="10">
        <f t="shared" ca="1" si="15"/>
        <v>250.4659999999997</v>
      </c>
      <c r="N306" s="2">
        <v>43179</v>
      </c>
      <c r="O306" s="1"/>
      <c r="P306" s="14" t="s">
        <v>6</v>
      </c>
      <c r="Q306" s="10">
        <v>266.24810000000002</v>
      </c>
      <c r="R306" s="1"/>
      <c r="S306" s="14" t="s">
        <v>13</v>
      </c>
      <c r="T306" s="10">
        <v>250.46600000000001</v>
      </c>
    </row>
    <row r="307" spans="1:20" x14ac:dyDescent="0.35">
      <c r="A307" s="4">
        <v>305</v>
      </c>
      <c r="B307" s="2">
        <v>43180</v>
      </c>
      <c r="C307" s="1">
        <v>261.95999999999998</v>
      </c>
      <c r="D307" s="1">
        <v>264.25</v>
      </c>
      <c r="E307" s="1">
        <v>261.27</v>
      </c>
      <c r="F307" s="1">
        <v>261.5</v>
      </c>
      <c r="G307" s="1" t="str">
        <f>IF(testdata[[#This Row],[high]]&gt;MAX(D303:D306,D308:D311),testdata[[#This Row],[high]],"")</f>
        <v/>
      </c>
      <c r="H307" s="14" t="s">
        <v>6</v>
      </c>
      <c r="I307" s="10">
        <f t="shared" ca="1" si="16"/>
        <v>265.48374999999896</v>
      </c>
      <c r="J307" s="1" t="str">
        <f>IF(testdata[[#This Row],[low]]&lt;MIN(E303:E306,E308:E311),testdata[[#This Row],[low]],"")</f>
        <v/>
      </c>
      <c r="K307" s="14" t="s">
        <v>13</v>
      </c>
      <c r="L307" s="10">
        <f t="shared" ca="1" si="15"/>
        <v>250.08399999999978</v>
      </c>
      <c r="N307" s="2">
        <v>43180</v>
      </c>
      <c r="O307" s="1"/>
      <c r="P307" s="14" t="s">
        <v>6</v>
      </c>
      <c r="Q307" s="10">
        <v>265.48379999999997</v>
      </c>
      <c r="R307" s="1"/>
      <c r="S307" s="14" t="s">
        <v>13</v>
      </c>
      <c r="T307" s="10">
        <v>250.084</v>
      </c>
    </row>
    <row r="308" spans="1:20" x14ac:dyDescent="0.35">
      <c r="A308" s="4">
        <v>306</v>
      </c>
      <c r="B308" s="2">
        <v>43181</v>
      </c>
      <c r="C308" s="1">
        <v>259.06</v>
      </c>
      <c r="D308" s="1">
        <v>259.99</v>
      </c>
      <c r="E308" s="1">
        <v>254.66</v>
      </c>
      <c r="F308" s="1">
        <v>254.96</v>
      </c>
      <c r="G308" s="1" t="str">
        <f>IF(testdata[[#This Row],[high]]&gt;MAX(D304:D307,D309:D312),testdata[[#This Row],[high]],"")</f>
        <v/>
      </c>
      <c r="H308" s="14" t="s">
        <v>6</v>
      </c>
      <c r="I308" s="10">
        <f t="shared" ca="1" si="16"/>
        <v>264.71937499999893</v>
      </c>
      <c r="J308" s="1" t="str">
        <f>IF(testdata[[#This Row],[low]]&lt;MIN(E304:E307,E309:E312),testdata[[#This Row],[low]],"")</f>
        <v/>
      </c>
      <c r="K308" s="14" t="s">
        <v>13</v>
      </c>
      <c r="L308" s="10">
        <f t="shared" ca="1" si="15"/>
        <v>249.70199999999988</v>
      </c>
      <c r="N308" s="2">
        <v>43181</v>
      </c>
      <c r="O308" s="1"/>
      <c r="P308" s="14" t="s">
        <v>6</v>
      </c>
      <c r="Q308" s="10">
        <v>264.71940000000001</v>
      </c>
      <c r="R308" s="1"/>
      <c r="S308" s="14" t="s">
        <v>13</v>
      </c>
      <c r="T308" s="10">
        <v>249.702</v>
      </c>
    </row>
    <row r="309" spans="1:20" x14ac:dyDescent="0.35">
      <c r="A309" s="4">
        <v>307</v>
      </c>
      <c r="B309" s="2">
        <v>43182</v>
      </c>
      <c r="C309" s="1">
        <v>255.45</v>
      </c>
      <c r="D309" s="1">
        <v>256.27</v>
      </c>
      <c r="E309" s="1">
        <v>249.32</v>
      </c>
      <c r="F309" s="1">
        <v>249.53</v>
      </c>
      <c r="G309" s="1" t="str">
        <f>IF(testdata[[#This Row],[high]]&gt;MAX(D305:D308,D310:D313),testdata[[#This Row],[high]],"")</f>
        <v/>
      </c>
      <c r="H309" s="14" t="s">
        <v>6</v>
      </c>
      <c r="I309" s="10">
        <f t="shared" ca="1" si="16"/>
        <v>263.9549999999989</v>
      </c>
      <c r="J309" s="1">
        <f>IF(testdata[[#This Row],[low]]&lt;MIN(E305:E308,E310:E313),testdata[[#This Row],[low]],"")</f>
        <v>249.32</v>
      </c>
      <c r="K309" s="14" t="s">
        <v>13</v>
      </c>
      <c r="L309" s="9">
        <f>testdata[[#This Row],[Lpoint]]</f>
        <v>249.32</v>
      </c>
      <c r="N309" s="2">
        <v>43182</v>
      </c>
      <c r="O309" s="1"/>
      <c r="P309" s="14" t="s">
        <v>6</v>
      </c>
      <c r="Q309" s="10">
        <v>263.95499999999998</v>
      </c>
      <c r="R309" s="1">
        <v>249.32</v>
      </c>
      <c r="S309" s="14" t="s">
        <v>13</v>
      </c>
      <c r="T309" s="9">
        <v>249.32</v>
      </c>
    </row>
    <row r="310" spans="1:20" x14ac:dyDescent="0.35">
      <c r="A310" s="4">
        <v>308</v>
      </c>
      <c r="B310" s="2">
        <v>43185</v>
      </c>
      <c r="C310" s="1">
        <v>253.48</v>
      </c>
      <c r="D310" s="1">
        <v>256.67</v>
      </c>
      <c r="E310" s="1">
        <v>250.84</v>
      </c>
      <c r="F310" s="1">
        <v>256.36</v>
      </c>
      <c r="G310" s="1" t="str">
        <f>IF(testdata[[#This Row],[high]]&gt;MAX(D306:D309,D311:D314),testdata[[#This Row],[high]],"")</f>
        <v/>
      </c>
      <c r="H310" s="14" t="s">
        <v>6</v>
      </c>
      <c r="I310" s="10">
        <f t="shared" ca="1" si="16"/>
        <v>263.19062499999893</v>
      </c>
      <c r="J310" s="1" t="str">
        <f>IF(testdata[[#This Row],[low]]&lt;MIN(E306:E309,E311:E314),testdata[[#This Row],[low]],"")</f>
        <v/>
      </c>
      <c r="K310" s="14" t="s">
        <v>13</v>
      </c>
      <c r="L310" s="10">
        <f t="shared" ref="L310:L313" ca="1" si="17">AVERAGE(L309,L311)</f>
        <v>248.70799999999997</v>
      </c>
      <c r="N310" s="2">
        <v>43185</v>
      </c>
      <c r="O310" s="1"/>
      <c r="P310" s="14" t="s">
        <v>6</v>
      </c>
      <c r="Q310" s="10">
        <v>263.19060000000002</v>
      </c>
      <c r="R310" s="1"/>
      <c r="S310" s="14" t="s">
        <v>13</v>
      </c>
      <c r="T310" s="10">
        <v>248.708</v>
      </c>
    </row>
    <row r="311" spans="1:20" x14ac:dyDescent="0.35">
      <c r="A311" s="4">
        <v>309</v>
      </c>
      <c r="B311" s="2">
        <v>43186</v>
      </c>
      <c r="C311" s="1">
        <v>257.38</v>
      </c>
      <c r="D311" s="1">
        <v>257.95999999999998</v>
      </c>
      <c r="E311" s="1">
        <v>250.29</v>
      </c>
      <c r="F311" s="1">
        <v>252</v>
      </c>
      <c r="G311" s="1" t="str">
        <f>IF(testdata[[#This Row],[high]]&gt;MAX(D307:D310,D312:D315),testdata[[#This Row],[high]],"")</f>
        <v/>
      </c>
      <c r="H311" s="14" t="s">
        <v>6</v>
      </c>
      <c r="I311" s="10">
        <f t="shared" ca="1" si="16"/>
        <v>262.42624999999902</v>
      </c>
      <c r="J311" s="1" t="str">
        <f>IF(testdata[[#This Row],[low]]&lt;MIN(E307:E310,E312:E315),testdata[[#This Row],[low]],"")</f>
        <v/>
      </c>
      <c r="K311" s="14" t="s">
        <v>13</v>
      </c>
      <c r="L311" s="10">
        <f t="shared" ca="1" si="17"/>
        <v>248.09599999999995</v>
      </c>
      <c r="N311" s="2">
        <v>43186</v>
      </c>
      <c r="O311" s="1"/>
      <c r="P311" s="14" t="s">
        <v>6</v>
      </c>
      <c r="Q311" s="10">
        <v>262.42630000000003</v>
      </c>
      <c r="R311" s="1"/>
      <c r="S311" s="14" t="s">
        <v>13</v>
      </c>
      <c r="T311" s="10">
        <v>248.096</v>
      </c>
    </row>
    <row r="312" spans="1:20" x14ac:dyDescent="0.35">
      <c r="A312" s="4">
        <v>310</v>
      </c>
      <c r="B312" s="2">
        <v>43187</v>
      </c>
      <c r="C312" s="1">
        <v>252.14</v>
      </c>
      <c r="D312" s="1">
        <v>253.97</v>
      </c>
      <c r="E312" s="1">
        <v>250.04</v>
      </c>
      <c r="F312" s="1">
        <v>251.25</v>
      </c>
      <c r="G312" s="1" t="str">
        <f>IF(testdata[[#This Row],[high]]&gt;MAX(D308:D311,D313:D316),testdata[[#This Row],[high]],"")</f>
        <v/>
      </c>
      <c r="H312" s="14" t="s">
        <v>6</v>
      </c>
      <c r="I312" s="10">
        <f t="shared" ca="1" si="16"/>
        <v>261.6618749999991</v>
      </c>
      <c r="J312" s="1" t="str">
        <f>IF(testdata[[#This Row],[low]]&lt;MIN(E308:E311,E313:E316),testdata[[#This Row],[low]],"")</f>
        <v/>
      </c>
      <c r="K312" s="14" t="s">
        <v>13</v>
      </c>
      <c r="L312" s="10">
        <f t="shared" ca="1" si="17"/>
        <v>247.48399999999995</v>
      </c>
      <c r="N312" s="2">
        <v>43187</v>
      </c>
      <c r="O312" s="1"/>
      <c r="P312" s="14" t="s">
        <v>6</v>
      </c>
      <c r="Q312" s="10">
        <v>261.6619</v>
      </c>
      <c r="R312" s="1"/>
      <c r="S312" s="14" t="s">
        <v>13</v>
      </c>
      <c r="T312" s="10">
        <v>247.48400000000001</v>
      </c>
    </row>
    <row r="313" spans="1:20" x14ac:dyDescent="0.35">
      <c r="A313" s="4">
        <v>311</v>
      </c>
      <c r="B313" s="2">
        <v>43188</v>
      </c>
      <c r="C313" s="1">
        <v>252.5</v>
      </c>
      <c r="D313" s="1">
        <v>256.5</v>
      </c>
      <c r="E313" s="1">
        <v>251.26</v>
      </c>
      <c r="F313" s="1">
        <v>254.46</v>
      </c>
      <c r="G313" s="1" t="str">
        <f>IF(testdata[[#This Row],[high]]&gt;MAX(D309:D312,D314:D317),testdata[[#This Row],[high]],"")</f>
        <v/>
      </c>
      <c r="H313" s="14" t="s">
        <v>6</v>
      </c>
      <c r="I313" s="10">
        <f t="shared" ca="1" si="16"/>
        <v>260.89749999999924</v>
      </c>
      <c r="J313" s="1" t="str">
        <f>IF(testdata[[#This Row],[low]]&lt;MIN(E309:E312,E314:E317),testdata[[#This Row],[low]],"")</f>
        <v/>
      </c>
      <c r="K313" s="14" t="s">
        <v>13</v>
      </c>
      <c r="L313" s="10">
        <f t="shared" ca="1" si="17"/>
        <v>246.87199999999996</v>
      </c>
      <c r="N313" s="2">
        <v>43188</v>
      </c>
      <c r="O313" s="1"/>
      <c r="P313" s="14" t="s">
        <v>6</v>
      </c>
      <c r="Q313" s="10">
        <v>260.89749999999998</v>
      </c>
      <c r="R313" s="1"/>
      <c r="S313" s="14" t="s">
        <v>13</v>
      </c>
      <c r="T313" s="10">
        <v>246.87200000000001</v>
      </c>
    </row>
    <row r="314" spans="1:20" x14ac:dyDescent="0.35">
      <c r="A314" s="4">
        <v>312</v>
      </c>
      <c r="B314" s="2">
        <v>43192</v>
      </c>
      <c r="C314" s="1">
        <v>253.88</v>
      </c>
      <c r="D314" s="1">
        <v>254.44</v>
      </c>
      <c r="E314" s="1">
        <v>246.26</v>
      </c>
      <c r="F314" s="1">
        <v>248.97</v>
      </c>
      <c r="G314" s="1" t="str">
        <f>IF(testdata[[#This Row],[high]]&gt;MAX(D310:D313,D315:D318),testdata[[#This Row],[high]],"")</f>
        <v/>
      </c>
      <c r="H314" s="14" t="s">
        <v>6</v>
      </c>
      <c r="I314" s="10">
        <f t="shared" ca="1" si="16"/>
        <v>260.13312499999938</v>
      </c>
      <c r="J314" s="1">
        <f>IF(testdata[[#This Row],[low]]&lt;MIN(E310:E313,E315:E318),testdata[[#This Row],[low]],"")</f>
        <v>246.26</v>
      </c>
      <c r="K314" s="14" t="s">
        <v>13</v>
      </c>
      <c r="L314" s="9">
        <f>testdata[[#This Row],[Lpoint]]</f>
        <v>246.26</v>
      </c>
      <c r="N314" s="2">
        <v>43192</v>
      </c>
      <c r="O314" s="1"/>
      <c r="P314" s="14" t="s">
        <v>6</v>
      </c>
      <c r="Q314" s="10">
        <v>260.13310000000001</v>
      </c>
      <c r="R314" s="1">
        <v>246.26</v>
      </c>
      <c r="S314" s="14" t="s">
        <v>13</v>
      </c>
      <c r="T314" s="9">
        <v>246.26</v>
      </c>
    </row>
    <row r="315" spans="1:20" x14ac:dyDescent="0.35">
      <c r="A315" s="4">
        <v>313</v>
      </c>
      <c r="B315" s="2">
        <v>43193</v>
      </c>
      <c r="C315" s="1">
        <v>250.32</v>
      </c>
      <c r="D315" s="1">
        <v>252.68</v>
      </c>
      <c r="E315" s="1">
        <v>248.36</v>
      </c>
      <c r="F315" s="1">
        <v>252.16</v>
      </c>
      <c r="G315" s="1" t="str">
        <f>IF(testdata[[#This Row],[high]]&gt;MAX(D311:D314,D316:D319),testdata[[#This Row],[high]],"")</f>
        <v/>
      </c>
      <c r="H315" s="14" t="s">
        <v>6</v>
      </c>
      <c r="I315" s="10">
        <f t="shared" ca="1" si="16"/>
        <v>259.36874999999958</v>
      </c>
      <c r="J315" s="1" t="str">
        <f>IF(testdata[[#This Row],[low]]&lt;MIN(E311:E314,E316:E319),testdata[[#This Row],[low]],"")</f>
        <v/>
      </c>
      <c r="K315" s="14" t="s">
        <v>8</v>
      </c>
      <c r="L315" s="10">
        <f t="shared" ref="L315:L330" ca="1" si="18">AVERAGE(L314,L316)</f>
        <v>246.61176470588219</v>
      </c>
      <c r="N315" s="2">
        <v>43193</v>
      </c>
      <c r="O315" s="1"/>
      <c r="P315" s="14" t="s">
        <v>6</v>
      </c>
      <c r="Q315" s="10">
        <v>259.36880000000002</v>
      </c>
      <c r="R315" s="1"/>
      <c r="S315" s="14" t="s">
        <v>8</v>
      </c>
      <c r="T315" s="10">
        <v>246.61179999999999</v>
      </c>
    </row>
    <row r="316" spans="1:20" x14ac:dyDescent="0.35">
      <c r="A316" s="4">
        <v>314</v>
      </c>
      <c r="B316" s="2">
        <v>43194</v>
      </c>
      <c r="C316" s="1">
        <v>248.27</v>
      </c>
      <c r="D316" s="1">
        <v>255.63</v>
      </c>
      <c r="E316" s="1">
        <v>248.13</v>
      </c>
      <c r="F316" s="1">
        <v>254.86</v>
      </c>
      <c r="G316" s="1" t="str">
        <f>IF(testdata[[#This Row],[high]]&gt;MAX(D312:D315,D317:D320),testdata[[#This Row],[high]],"")</f>
        <v/>
      </c>
      <c r="H316" s="14" t="s">
        <v>6</v>
      </c>
      <c r="I316" s="10">
        <f t="shared" ca="1" si="16"/>
        <v>258.60437499999978</v>
      </c>
      <c r="J316" s="1" t="str">
        <f>IF(testdata[[#This Row],[low]]&lt;MIN(E312:E315,E317:E320),testdata[[#This Row],[low]],"")</f>
        <v/>
      </c>
      <c r="K316" s="14" t="s">
        <v>8</v>
      </c>
      <c r="L316" s="10">
        <f t="shared" ca="1" si="18"/>
        <v>246.96352941176443</v>
      </c>
      <c r="N316" s="2">
        <v>43194</v>
      </c>
      <c r="O316" s="1"/>
      <c r="P316" s="14" t="s">
        <v>6</v>
      </c>
      <c r="Q316" s="10">
        <v>258.6044</v>
      </c>
      <c r="R316" s="1"/>
      <c r="S316" s="14" t="s">
        <v>8</v>
      </c>
      <c r="T316" s="10">
        <v>246.96350000000001</v>
      </c>
    </row>
    <row r="317" spans="1:20" x14ac:dyDescent="0.35">
      <c r="A317" s="4">
        <v>315</v>
      </c>
      <c r="B317" s="2">
        <v>43195</v>
      </c>
      <c r="C317" s="1">
        <v>256.77999999999997</v>
      </c>
      <c r="D317" s="1">
        <v>257.83999999999997</v>
      </c>
      <c r="E317" s="1">
        <v>255.59</v>
      </c>
      <c r="F317" s="1">
        <v>256.87</v>
      </c>
      <c r="G317" s="1">
        <f>IF(testdata[[#This Row],[high]]&gt;MAX(D313:D316,D318:D321),testdata[[#This Row],[high]],"")</f>
        <v>257.83999999999997</v>
      </c>
      <c r="H317" s="14" t="s">
        <v>6</v>
      </c>
      <c r="I317" s="9">
        <f>testdata[[#This Row],[Hpoint]]</f>
        <v>257.83999999999997</v>
      </c>
      <c r="J317" s="1" t="str">
        <f>IF(testdata[[#This Row],[low]]&lt;MIN(E313:E316,E318:E321),testdata[[#This Row],[low]],"")</f>
        <v/>
      </c>
      <c r="K317" s="14" t="s">
        <v>8</v>
      </c>
      <c r="L317" s="10">
        <f t="shared" ca="1" si="18"/>
        <v>247.31529411764666</v>
      </c>
      <c r="N317" s="2">
        <v>43195</v>
      </c>
      <c r="O317" s="1">
        <v>257.83999999999997</v>
      </c>
      <c r="P317" s="14" t="s">
        <v>6</v>
      </c>
      <c r="Q317" s="9">
        <v>257.83999999999997</v>
      </c>
      <c r="R317" s="1"/>
      <c r="S317" s="14" t="s">
        <v>8</v>
      </c>
      <c r="T317" s="10">
        <v>247.31530000000001</v>
      </c>
    </row>
    <row r="318" spans="1:20" x14ac:dyDescent="0.35">
      <c r="A318" s="4">
        <v>316</v>
      </c>
      <c r="B318" s="2">
        <v>43196</v>
      </c>
      <c r="C318" s="1">
        <v>254.72</v>
      </c>
      <c r="D318" s="1">
        <v>256.36</v>
      </c>
      <c r="E318" s="1">
        <v>249.48</v>
      </c>
      <c r="F318" s="1">
        <v>251.14</v>
      </c>
      <c r="G318" s="1" t="str">
        <f>IF(testdata[[#This Row],[high]]&gt;MAX(D314:D317,D319:D322),testdata[[#This Row],[high]],"")</f>
        <v/>
      </c>
      <c r="H318" s="14" t="s">
        <v>7</v>
      </c>
      <c r="I318" s="10">
        <f t="shared" ref="I318:I325" ca="1" si="19">AVERAGE(I317,I319)</f>
        <v>258.3399999999998</v>
      </c>
      <c r="J318" s="1" t="str">
        <f>IF(testdata[[#This Row],[low]]&lt;MIN(E314:E317,E319:E322),testdata[[#This Row],[low]],"")</f>
        <v/>
      </c>
      <c r="K318" s="14" t="s">
        <v>8</v>
      </c>
      <c r="L318" s="10">
        <f t="shared" ca="1" si="18"/>
        <v>247.66705882352892</v>
      </c>
      <c r="N318" s="2">
        <v>43196</v>
      </c>
      <c r="O318" s="1"/>
      <c r="P318" s="14" t="s">
        <v>7</v>
      </c>
      <c r="Q318" s="10">
        <v>258.33999999999997</v>
      </c>
      <c r="R318" s="1"/>
      <c r="S318" s="14" t="s">
        <v>8</v>
      </c>
      <c r="T318" s="10">
        <v>247.6671</v>
      </c>
    </row>
    <row r="319" spans="1:20" x14ac:dyDescent="0.35">
      <c r="A319" s="4">
        <v>317</v>
      </c>
      <c r="B319" s="2">
        <v>43199</v>
      </c>
      <c r="C319" s="1">
        <v>252.74</v>
      </c>
      <c r="D319" s="1">
        <v>256.10000000000002</v>
      </c>
      <c r="E319" s="1">
        <v>251.35</v>
      </c>
      <c r="F319" s="1">
        <v>252.38</v>
      </c>
      <c r="G319" s="1" t="str">
        <f>IF(testdata[[#This Row],[high]]&gt;MAX(D315:D318,D320:D323),testdata[[#This Row],[high]],"")</f>
        <v/>
      </c>
      <c r="H319" s="14" t="s">
        <v>7</v>
      </c>
      <c r="I319" s="10">
        <f t="shared" ca="1" si="19"/>
        <v>258.83999999999969</v>
      </c>
      <c r="J319" s="1" t="str">
        <f>IF(testdata[[#This Row],[low]]&lt;MIN(E315:E318,E320:E323),testdata[[#This Row],[low]],"")</f>
        <v/>
      </c>
      <c r="K319" s="14" t="s">
        <v>8</v>
      </c>
      <c r="L319" s="10">
        <f t="shared" ca="1" si="18"/>
        <v>248.01882352941121</v>
      </c>
      <c r="N319" s="2">
        <v>43199</v>
      </c>
      <c r="O319" s="1"/>
      <c r="P319" s="14" t="s">
        <v>7</v>
      </c>
      <c r="Q319" s="10">
        <v>258.83999999999997</v>
      </c>
      <c r="R319" s="1"/>
      <c r="S319" s="14" t="s">
        <v>8</v>
      </c>
      <c r="T319" s="10">
        <v>248.0188</v>
      </c>
    </row>
    <row r="320" spans="1:20" x14ac:dyDescent="0.35">
      <c r="A320" s="4">
        <v>318</v>
      </c>
      <c r="B320" s="2">
        <v>43200</v>
      </c>
      <c r="C320" s="1">
        <v>255.54</v>
      </c>
      <c r="D320" s="1">
        <v>257.26</v>
      </c>
      <c r="E320" s="1">
        <v>254.3</v>
      </c>
      <c r="F320" s="1">
        <v>256.39999999999998</v>
      </c>
      <c r="G320" s="1" t="str">
        <f>IF(testdata[[#This Row],[high]]&gt;MAX(D316:D319,D321:D324),testdata[[#This Row],[high]],"")</f>
        <v/>
      </c>
      <c r="H320" s="14" t="s">
        <v>7</v>
      </c>
      <c r="I320" s="10">
        <f t="shared" ca="1" si="19"/>
        <v>259.33999999999963</v>
      </c>
      <c r="J320" s="1" t="str">
        <f>IF(testdata[[#This Row],[low]]&lt;MIN(E316:E319,E321:E324),testdata[[#This Row],[low]],"")</f>
        <v/>
      </c>
      <c r="K320" s="14" t="s">
        <v>8</v>
      </c>
      <c r="L320" s="10">
        <f t="shared" ca="1" si="18"/>
        <v>248.3705882352935</v>
      </c>
      <c r="N320" s="2">
        <v>43200</v>
      </c>
      <c r="O320" s="1"/>
      <c r="P320" s="14" t="s">
        <v>7</v>
      </c>
      <c r="Q320" s="10">
        <v>259.33999999999997</v>
      </c>
      <c r="R320" s="1"/>
      <c r="S320" s="14" t="s">
        <v>8</v>
      </c>
      <c r="T320" s="10">
        <v>248.3706</v>
      </c>
    </row>
    <row r="321" spans="1:20" x14ac:dyDescent="0.35">
      <c r="A321" s="4">
        <v>319</v>
      </c>
      <c r="B321" s="2">
        <v>43201</v>
      </c>
      <c r="C321" s="1">
        <v>254.77</v>
      </c>
      <c r="D321" s="1">
        <v>256.87</v>
      </c>
      <c r="E321" s="1">
        <v>254.69</v>
      </c>
      <c r="F321" s="1">
        <v>255.05</v>
      </c>
      <c r="G321" s="1" t="str">
        <f>IF(testdata[[#This Row],[high]]&gt;MAX(D317:D320,D322:D325),testdata[[#This Row],[high]],"")</f>
        <v/>
      </c>
      <c r="H321" s="14" t="s">
        <v>7</v>
      </c>
      <c r="I321" s="10">
        <f t="shared" ca="1" si="19"/>
        <v>259.83999999999958</v>
      </c>
      <c r="J321" s="1" t="str">
        <f>IF(testdata[[#This Row],[low]]&lt;MIN(E317:E320,E322:E325),testdata[[#This Row],[low]],"")</f>
        <v/>
      </c>
      <c r="K321" s="14" t="s">
        <v>8</v>
      </c>
      <c r="L321" s="10">
        <f t="shared" ca="1" si="18"/>
        <v>248.72235294117581</v>
      </c>
      <c r="N321" s="2">
        <v>43201</v>
      </c>
      <c r="O321" s="1"/>
      <c r="P321" s="14" t="s">
        <v>7</v>
      </c>
      <c r="Q321" s="10">
        <v>259.83999999999997</v>
      </c>
      <c r="R321" s="1"/>
      <c r="S321" s="14" t="s">
        <v>8</v>
      </c>
      <c r="T321" s="10">
        <v>248.72239999999999</v>
      </c>
    </row>
    <row r="322" spans="1:20" x14ac:dyDescent="0.35">
      <c r="A322" s="4">
        <v>320</v>
      </c>
      <c r="B322" s="2">
        <v>43202</v>
      </c>
      <c r="C322" s="1">
        <v>256.5</v>
      </c>
      <c r="D322" s="1">
        <v>258.18</v>
      </c>
      <c r="E322" s="1">
        <v>256.31</v>
      </c>
      <c r="F322" s="1">
        <v>257.14999999999998</v>
      </c>
      <c r="G322" s="1" t="str">
        <f>IF(testdata[[#This Row],[high]]&gt;MAX(D318:D321,D323:D326),testdata[[#This Row],[high]],"")</f>
        <v/>
      </c>
      <c r="H322" s="14" t="s">
        <v>7</v>
      </c>
      <c r="I322" s="10">
        <f t="shared" ca="1" si="19"/>
        <v>260.33999999999958</v>
      </c>
      <c r="J322" s="1" t="str">
        <f>IF(testdata[[#This Row],[low]]&lt;MIN(E318:E321,E323:E326),testdata[[#This Row],[low]],"")</f>
        <v/>
      </c>
      <c r="K322" s="14" t="s">
        <v>8</v>
      </c>
      <c r="L322" s="10">
        <f t="shared" ca="1" si="18"/>
        <v>249.07411764705816</v>
      </c>
      <c r="N322" s="2">
        <v>43202</v>
      </c>
      <c r="O322" s="1"/>
      <c r="P322" s="14" t="s">
        <v>7</v>
      </c>
      <c r="Q322" s="10">
        <v>260.33999999999997</v>
      </c>
      <c r="R322" s="1"/>
      <c r="S322" s="14" t="s">
        <v>8</v>
      </c>
      <c r="T322" s="10">
        <v>249.07409999999999</v>
      </c>
    </row>
    <row r="323" spans="1:20" x14ac:dyDescent="0.35">
      <c r="A323" s="4">
        <v>321</v>
      </c>
      <c r="B323" s="2">
        <v>43203</v>
      </c>
      <c r="C323" s="1">
        <v>258.58</v>
      </c>
      <c r="D323" s="1">
        <v>258.70999999999998</v>
      </c>
      <c r="E323" s="1">
        <v>255.29</v>
      </c>
      <c r="F323" s="1">
        <v>256.39999999999998</v>
      </c>
      <c r="G323" s="1" t="str">
        <f>IF(testdata[[#This Row],[high]]&gt;MAX(D319:D322,D324:D327),testdata[[#This Row],[high]],"")</f>
        <v/>
      </c>
      <c r="H323" s="14" t="s">
        <v>7</v>
      </c>
      <c r="I323" s="10">
        <f t="shared" ca="1" si="19"/>
        <v>260.83999999999963</v>
      </c>
      <c r="J323" s="1" t="str">
        <f>IF(testdata[[#This Row],[low]]&lt;MIN(E319:E322,E324:E327),testdata[[#This Row],[low]],"")</f>
        <v/>
      </c>
      <c r="K323" s="14" t="s">
        <v>8</v>
      </c>
      <c r="L323" s="10">
        <f t="shared" ca="1" si="18"/>
        <v>249.4258823529405</v>
      </c>
      <c r="N323" s="2">
        <v>43203</v>
      </c>
      <c r="O323" s="1"/>
      <c r="P323" s="14" t="s">
        <v>7</v>
      </c>
      <c r="Q323" s="10">
        <v>260.83999999999997</v>
      </c>
      <c r="R323" s="1"/>
      <c r="S323" s="14" t="s">
        <v>8</v>
      </c>
      <c r="T323" s="10">
        <v>249.42590000000001</v>
      </c>
    </row>
    <row r="324" spans="1:20" x14ac:dyDescent="0.35">
      <c r="A324" s="4">
        <v>322</v>
      </c>
      <c r="B324" s="2">
        <v>43206</v>
      </c>
      <c r="C324" s="1">
        <v>258.18</v>
      </c>
      <c r="D324" s="1">
        <v>259.33999999999997</v>
      </c>
      <c r="E324" s="1">
        <v>257.29000000000002</v>
      </c>
      <c r="F324" s="1">
        <v>258.5</v>
      </c>
      <c r="G324" s="1" t="str">
        <f>IF(testdata[[#This Row],[high]]&gt;MAX(D320:D323,D325:D328),testdata[[#This Row],[high]],"")</f>
        <v/>
      </c>
      <c r="H324" s="14" t="s">
        <v>7</v>
      </c>
      <c r="I324" s="10">
        <f t="shared" ca="1" si="19"/>
        <v>261.33999999999969</v>
      </c>
      <c r="J324" s="1" t="str">
        <f>IF(testdata[[#This Row],[low]]&lt;MIN(E320:E323,E325:E328),testdata[[#This Row],[low]],"")</f>
        <v/>
      </c>
      <c r="K324" s="14" t="s">
        <v>8</v>
      </c>
      <c r="L324" s="10">
        <f t="shared" ca="1" si="18"/>
        <v>249.77764705882288</v>
      </c>
      <c r="N324" s="2">
        <v>43206</v>
      </c>
      <c r="O324" s="1"/>
      <c r="P324" s="14" t="s">
        <v>7</v>
      </c>
      <c r="Q324" s="10">
        <v>261.33999999999997</v>
      </c>
      <c r="R324" s="1"/>
      <c r="S324" s="14" t="s">
        <v>8</v>
      </c>
      <c r="T324" s="10">
        <v>249.77760000000001</v>
      </c>
    </row>
    <row r="325" spans="1:20" x14ac:dyDescent="0.35">
      <c r="A325" s="4">
        <v>323</v>
      </c>
      <c r="B325" s="2">
        <v>43207</v>
      </c>
      <c r="C325" s="1">
        <v>260.44</v>
      </c>
      <c r="D325" s="1">
        <v>261.93</v>
      </c>
      <c r="E325" s="1">
        <v>259.88</v>
      </c>
      <c r="F325" s="1">
        <v>261.27</v>
      </c>
      <c r="G325" s="1" t="str">
        <f>IF(testdata[[#This Row],[high]]&gt;MAX(D321:D324,D326:D329),testdata[[#This Row],[high]],"")</f>
        <v/>
      </c>
      <c r="H325" s="14" t="s">
        <v>7</v>
      </c>
      <c r="I325" s="10">
        <f t="shared" ca="1" si="19"/>
        <v>261.8399999999998</v>
      </c>
      <c r="J325" s="1" t="str">
        <f>IF(testdata[[#This Row],[low]]&lt;MIN(E321:E324,E326:E329),testdata[[#This Row],[low]],"")</f>
        <v/>
      </c>
      <c r="K325" s="14" t="s">
        <v>8</v>
      </c>
      <c r="L325" s="10">
        <f t="shared" ca="1" si="18"/>
        <v>250.12941176470528</v>
      </c>
      <c r="N325" s="2">
        <v>43207</v>
      </c>
      <c r="O325" s="1"/>
      <c r="P325" s="14" t="s">
        <v>7</v>
      </c>
      <c r="Q325" s="10">
        <v>261.83999999999997</v>
      </c>
      <c r="R325" s="1"/>
      <c r="S325" s="14" t="s">
        <v>8</v>
      </c>
      <c r="T325" s="10">
        <v>250.1294</v>
      </c>
    </row>
    <row r="326" spans="1:20" x14ac:dyDescent="0.35">
      <c r="A326" s="4">
        <v>324</v>
      </c>
      <c r="B326" s="2">
        <v>43208</v>
      </c>
      <c r="C326" s="1">
        <v>261.75</v>
      </c>
      <c r="D326" s="1">
        <v>262.33999999999997</v>
      </c>
      <c r="E326" s="1">
        <v>260.95999999999998</v>
      </c>
      <c r="F326" s="1">
        <v>261.45999999999998</v>
      </c>
      <c r="G326" s="1">
        <f>IF(testdata[[#This Row],[high]]&gt;MAX(D322:D325,D327:D330),testdata[[#This Row],[high]],"")</f>
        <v>262.33999999999997</v>
      </c>
      <c r="H326" s="14" t="s">
        <v>7</v>
      </c>
      <c r="I326" s="9">
        <f>testdata[[#This Row],[Hpoint]]</f>
        <v>262.33999999999997</v>
      </c>
      <c r="J326" s="1" t="str">
        <f>IF(testdata[[#This Row],[low]]&lt;MIN(E322:E325,E327:E330),testdata[[#This Row],[low]],"")</f>
        <v/>
      </c>
      <c r="K326" s="14" t="s">
        <v>8</v>
      </c>
      <c r="L326" s="10">
        <f t="shared" ca="1" si="18"/>
        <v>250.48117647058768</v>
      </c>
      <c r="N326" s="2">
        <v>43208</v>
      </c>
      <c r="O326" s="1">
        <v>262.33999999999997</v>
      </c>
      <c r="P326" s="14" t="s">
        <v>7</v>
      </c>
      <c r="Q326" s="9">
        <v>262.33999999999997</v>
      </c>
      <c r="R326" s="1"/>
      <c r="S326" s="14" t="s">
        <v>8</v>
      </c>
      <c r="T326" s="10">
        <v>250.4812</v>
      </c>
    </row>
    <row r="327" spans="1:20" x14ac:dyDescent="0.35">
      <c r="A327" s="4">
        <v>325</v>
      </c>
      <c r="B327" s="2">
        <v>43209</v>
      </c>
      <c r="C327" s="1">
        <v>260.75</v>
      </c>
      <c r="D327" s="1">
        <v>260.97000000000003</v>
      </c>
      <c r="E327" s="1">
        <v>258.88</v>
      </c>
      <c r="F327" s="1">
        <v>260.01</v>
      </c>
      <c r="G327" s="1" t="str">
        <f>IF(testdata[[#This Row],[high]]&gt;MAX(D323:D326,D328:D331),testdata[[#This Row],[high]],"")</f>
        <v/>
      </c>
      <c r="H327" s="14" t="s">
        <v>7</v>
      </c>
      <c r="I327" s="10">
        <f t="shared" ref="I327:I343" ca="1" si="20">AVERAGE(I326,I328)</f>
        <v>262.48944444444419</v>
      </c>
      <c r="J327" s="1" t="str">
        <f>IF(testdata[[#This Row],[low]]&lt;MIN(E323:E326,E328:E331),testdata[[#This Row],[low]],"")</f>
        <v/>
      </c>
      <c r="K327" s="14" t="s">
        <v>8</v>
      </c>
      <c r="L327" s="10">
        <f t="shared" ca="1" si="18"/>
        <v>250.83294117647011</v>
      </c>
      <c r="N327" s="2">
        <v>43209</v>
      </c>
      <c r="O327" s="1"/>
      <c r="P327" s="14" t="s">
        <v>7</v>
      </c>
      <c r="Q327" s="10">
        <v>262.48939999999999</v>
      </c>
      <c r="R327" s="1"/>
      <c r="S327" s="14" t="s">
        <v>8</v>
      </c>
      <c r="T327" s="10">
        <v>250.8329</v>
      </c>
    </row>
    <row r="328" spans="1:20" x14ac:dyDescent="0.35">
      <c r="A328" s="4">
        <v>326</v>
      </c>
      <c r="B328" s="2">
        <v>43210</v>
      </c>
      <c r="C328" s="1">
        <v>259.93</v>
      </c>
      <c r="D328" s="1">
        <v>260.18</v>
      </c>
      <c r="E328" s="1">
        <v>256.83999999999997</v>
      </c>
      <c r="F328" s="1">
        <v>257.81</v>
      </c>
      <c r="G328" s="1" t="str">
        <f>IF(testdata[[#This Row],[high]]&gt;MAX(D324:D327,D329:D332),testdata[[#This Row],[high]],"")</f>
        <v/>
      </c>
      <c r="H328" s="14" t="s">
        <v>7</v>
      </c>
      <c r="I328" s="10">
        <f t="shared" ca="1" si="20"/>
        <v>262.63888888888835</v>
      </c>
      <c r="J328" s="1" t="str">
        <f>IF(testdata[[#This Row],[low]]&lt;MIN(E324:E327,E329:E332),testdata[[#This Row],[low]],"")</f>
        <v/>
      </c>
      <c r="K328" s="14" t="s">
        <v>8</v>
      </c>
      <c r="L328" s="10">
        <f t="shared" ca="1" si="18"/>
        <v>251.18470588235257</v>
      </c>
      <c r="N328" s="2">
        <v>43210</v>
      </c>
      <c r="O328" s="1"/>
      <c r="P328" s="14" t="s">
        <v>7</v>
      </c>
      <c r="Q328" s="10">
        <v>262.63889999999998</v>
      </c>
      <c r="R328" s="1"/>
      <c r="S328" s="14" t="s">
        <v>8</v>
      </c>
      <c r="T328" s="10">
        <v>251.18469999999999</v>
      </c>
    </row>
    <row r="329" spans="1:20" x14ac:dyDescent="0.35">
      <c r="A329" s="4">
        <v>327</v>
      </c>
      <c r="B329" s="2">
        <v>43213</v>
      </c>
      <c r="C329" s="1">
        <v>258.44</v>
      </c>
      <c r="D329" s="1">
        <v>259.04000000000002</v>
      </c>
      <c r="E329" s="1">
        <v>256.58999999999997</v>
      </c>
      <c r="F329" s="1">
        <v>257.77</v>
      </c>
      <c r="G329" s="1" t="str">
        <f>IF(testdata[[#This Row],[high]]&gt;MAX(D325:D328,D330:D333),testdata[[#This Row],[high]],"")</f>
        <v/>
      </c>
      <c r="H329" s="14" t="s">
        <v>7</v>
      </c>
      <c r="I329" s="10">
        <f t="shared" ca="1" si="20"/>
        <v>262.78833333333256</v>
      </c>
      <c r="J329" s="1" t="str">
        <f>IF(testdata[[#This Row],[low]]&lt;MIN(E325:E328,E330:E333),testdata[[#This Row],[low]],"")</f>
        <v/>
      </c>
      <c r="K329" s="14" t="s">
        <v>8</v>
      </c>
      <c r="L329" s="10">
        <f t="shared" ca="1" si="18"/>
        <v>251.53647058823503</v>
      </c>
      <c r="N329" s="2">
        <v>43213</v>
      </c>
      <c r="O329" s="1"/>
      <c r="P329" s="14" t="s">
        <v>7</v>
      </c>
      <c r="Q329" s="10">
        <v>262.78829999999999</v>
      </c>
      <c r="R329" s="1"/>
      <c r="S329" s="14" t="s">
        <v>8</v>
      </c>
      <c r="T329" s="10">
        <v>251.53649999999999</v>
      </c>
    </row>
    <row r="330" spans="1:20" x14ac:dyDescent="0.35">
      <c r="A330" s="4">
        <v>328</v>
      </c>
      <c r="B330" s="2">
        <v>43214</v>
      </c>
      <c r="C330" s="1">
        <v>258.89</v>
      </c>
      <c r="D330" s="1">
        <v>259.13</v>
      </c>
      <c r="E330" s="1">
        <v>252.65</v>
      </c>
      <c r="F330" s="1">
        <v>254.3</v>
      </c>
      <c r="G330" s="1" t="str">
        <f>IF(testdata[[#This Row],[high]]&gt;MAX(D326:D329,D331:D334),testdata[[#This Row],[high]],"")</f>
        <v/>
      </c>
      <c r="H330" s="14" t="s">
        <v>7</v>
      </c>
      <c r="I330" s="10">
        <f t="shared" ca="1" si="20"/>
        <v>262.93777777777677</v>
      </c>
      <c r="J330" s="1" t="str">
        <f>IF(testdata[[#This Row],[low]]&lt;MIN(E326:E329,E331:E334),testdata[[#This Row],[low]],"")</f>
        <v/>
      </c>
      <c r="K330" s="14" t="s">
        <v>8</v>
      </c>
      <c r="L330" s="10">
        <f t="shared" ca="1" si="18"/>
        <v>251.88823529411752</v>
      </c>
      <c r="N330" s="2">
        <v>43214</v>
      </c>
      <c r="O330" s="1"/>
      <c r="P330" s="14" t="s">
        <v>7</v>
      </c>
      <c r="Q330" s="10">
        <v>262.93779999999998</v>
      </c>
      <c r="R330" s="1"/>
      <c r="S330" s="14" t="s">
        <v>8</v>
      </c>
      <c r="T330" s="10">
        <v>251.88820000000001</v>
      </c>
    </row>
    <row r="331" spans="1:20" x14ac:dyDescent="0.35">
      <c r="A331" s="4">
        <v>329</v>
      </c>
      <c r="B331" s="2">
        <v>43215</v>
      </c>
      <c r="C331" s="1">
        <v>254.23</v>
      </c>
      <c r="D331" s="1">
        <v>255.41</v>
      </c>
      <c r="E331" s="1">
        <v>252.24</v>
      </c>
      <c r="F331" s="1">
        <v>254.93</v>
      </c>
      <c r="G331" s="1" t="str">
        <f>IF(testdata[[#This Row],[high]]&gt;MAX(D327:D330,D332:D335),testdata[[#This Row],[high]],"")</f>
        <v/>
      </c>
      <c r="H331" s="14" t="s">
        <v>7</v>
      </c>
      <c r="I331" s="10">
        <f t="shared" ca="1" si="20"/>
        <v>263.08722222222104</v>
      </c>
      <c r="J331" s="1">
        <f>IF(testdata[[#This Row],[low]]&lt;MIN(E327:E330,E332:E335),testdata[[#This Row],[low]],"")</f>
        <v>252.24</v>
      </c>
      <c r="K331" s="14" t="s">
        <v>8</v>
      </c>
      <c r="L331" s="9">
        <f>testdata[[#This Row],[Lpoint]]</f>
        <v>252.24</v>
      </c>
      <c r="N331" s="2">
        <v>43215</v>
      </c>
      <c r="O331" s="1"/>
      <c r="P331" s="14" t="s">
        <v>7</v>
      </c>
      <c r="Q331" s="10">
        <v>263.0872</v>
      </c>
      <c r="R331" s="1">
        <v>252.24</v>
      </c>
      <c r="S331" s="14" t="s">
        <v>8</v>
      </c>
      <c r="T331" s="9">
        <v>252.24</v>
      </c>
    </row>
    <row r="332" spans="1:20" x14ac:dyDescent="0.35">
      <c r="A332" s="4">
        <v>330</v>
      </c>
      <c r="B332" s="2">
        <v>43216</v>
      </c>
      <c r="C332" s="1">
        <v>256.05</v>
      </c>
      <c r="D332" s="1">
        <v>258.42</v>
      </c>
      <c r="E332" s="1">
        <v>255.56</v>
      </c>
      <c r="F332" s="1">
        <v>257.52</v>
      </c>
      <c r="G332" s="1" t="str">
        <f>IF(testdata[[#This Row],[high]]&gt;MAX(D328:D331,D333:D336),testdata[[#This Row],[high]],"")</f>
        <v/>
      </c>
      <c r="H332" s="14" t="s">
        <v>7</v>
      </c>
      <c r="I332" s="10">
        <f t="shared" ca="1" si="20"/>
        <v>263.23666666666537</v>
      </c>
      <c r="J332" s="1" t="str">
        <f>IF(testdata[[#This Row],[low]]&lt;MIN(E328:E331,E333:E336),testdata[[#This Row],[low]],"")</f>
        <v/>
      </c>
      <c r="K332" s="14" t="s">
        <v>13</v>
      </c>
      <c r="L332" s="10">
        <f t="shared" ref="L332:L336" ca="1" si="21">AVERAGE(L331,L333)</f>
        <v>251.95</v>
      </c>
      <c r="N332" s="2">
        <v>43216</v>
      </c>
      <c r="O332" s="1"/>
      <c r="P332" s="14" t="s">
        <v>7</v>
      </c>
      <c r="Q332" s="10">
        <v>263.23669999999998</v>
      </c>
      <c r="R332" s="1"/>
      <c r="S332" s="14" t="s">
        <v>13</v>
      </c>
      <c r="T332" s="10">
        <v>251.95</v>
      </c>
    </row>
    <row r="333" spans="1:20" x14ac:dyDescent="0.35">
      <c r="A333" s="4">
        <v>331</v>
      </c>
      <c r="B333" s="2">
        <v>43217</v>
      </c>
      <c r="C333" s="1">
        <v>258.18</v>
      </c>
      <c r="D333" s="1">
        <v>258.51</v>
      </c>
      <c r="E333" s="1">
        <v>256.73</v>
      </c>
      <c r="F333" s="1">
        <v>257.76</v>
      </c>
      <c r="G333" s="1" t="str">
        <f>IF(testdata[[#This Row],[high]]&gt;MAX(D329:D332,D334:D337),testdata[[#This Row],[high]],"")</f>
        <v/>
      </c>
      <c r="H333" s="14" t="s">
        <v>7</v>
      </c>
      <c r="I333" s="10">
        <f t="shared" ca="1" si="20"/>
        <v>263.3861111111097</v>
      </c>
      <c r="J333" s="1" t="str">
        <f>IF(testdata[[#This Row],[low]]&lt;MIN(E329:E332,E334:E337),testdata[[#This Row],[low]],"")</f>
        <v/>
      </c>
      <c r="K333" s="14" t="s">
        <v>13</v>
      </c>
      <c r="L333" s="10">
        <f t="shared" ca="1" si="21"/>
        <v>251.65999999999997</v>
      </c>
      <c r="N333" s="2">
        <v>43217</v>
      </c>
      <c r="O333" s="1"/>
      <c r="P333" s="14" t="s">
        <v>7</v>
      </c>
      <c r="Q333" s="10">
        <v>263.3861</v>
      </c>
      <c r="R333" s="1"/>
      <c r="S333" s="14" t="s">
        <v>13</v>
      </c>
      <c r="T333" s="10">
        <v>251.66</v>
      </c>
    </row>
    <row r="334" spans="1:20" x14ac:dyDescent="0.35">
      <c r="A334" s="4">
        <v>332</v>
      </c>
      <c r="B334" s="2">
        <v>43220</v>
      </c>
      <c r="C334" s="1">
        <v>258.44</v>
      </c>
      <c r="D334" s="1">
        <v>259.04000000000002</v>
      </c>
      <c r="E334" s="1">
        <v>255.7</v>
      </c>
      <c r="F334" s="1">
        <v>255.78</v>
      </c>
      <c r="G334" s="1" t="str">
        <f>IF(testdata[[#This Row],[high]]&gt;MAX(D330:D333,D335:D338),testdata[[#This Row],[high]],"")</f>
        <v/>
      </c>
      <c r="H334" s="14" t="s">
        <v>7</v>
      </c>
      <c r="I334" s="10">
        <f t="shared" ca="1" si="20"/>
        <v>263.53555555555408</v>
      </c>
      <c r="J334" s="1" t="str">
        <f>IF(testdata[[#This Row],[low]]&lt;MIN(E330:E333,E335:E338),testdata[[#This Row],[low]],"")</f>
        <v/>
      </c>
      <c r="K334" s="14" t="s">
        <v>13</v>
      </c>
      <c r="L334" s="10">
        <f t="shared" ca="1" si="21"/>
        <v>251.36999999999995</v>
      </c>
      <c r="N334" s="2">
        <v>43220</v>
      </c>
      <c r="O334" s="1"/>
      <c r="P334" s="14" t="s">
        <v>7</v>
      </c>
      <c r="Q334" s="10">
        <v>263.53559999999999</v>
      </c>
      <c r="R334" s="1"/>
      <c r="S334" s="14" t="s">
        <v>13</v>
      </c>
      <c r="T334" s="10">
        <v>251.37</v>
      </c>
    </row>
    <row r="335" spans="1:20" x14ac:dyDescent="0.35">
      <c r="A335" s="4">
        <v>333</v>
      </c>
      <c r="B335" s="2">
        <v>43221</v>
      </c>
      <c r="C335" s="1">
        <v>255.16</v>
      </c>
      <c r="D335" s="1">
        <v>256.35000000000002</v>
      </c>
      <c r="E335" s="1">
        <v>253.46</v>
      </c>
      <c r="F335" s="1">
        <v>256.23</v>
      </c>
      <c r="G335" s="1" t="str">
        <f>IF(testdata[[#This Row],[high]]&gt;MAX(D331:D334,D336:D339),testdata[[#This Row],[high]],"")</f>
        <v/>
      </c>
      <c r="H335" s="14" t="s">
        <v>7</v>
      </c>
      <c r="I335" s="10">
        <f t="shared" ca="1" si="20"/>
        <v>263.68499999999852</v>
      </c>
      <c r="J335" s="1" t="str">
        <f>IF(testdata[[#This Row],[low]]&lt;MIN(E331:E334,E336:E339),testdata[[#This Row],[low]],"")</f>
        <v/>
      </c>
      <c r="K335" s="14" t="s">
        <v>13</v>
      </c>
      <c r="L335" s="10">
        <f t="shared" ca="1" si="21"/>
        <v>251.07999999999996</v>
      </c>
      <c r="N335" s="2">
        <v>43221</v>
      </c>
      <c r="O335" s="1"/>
      <c r="P335" s="14" t="s">
        <v>7</v>
      </c>
      <c r="Q335" s="10">
        <v>263.685</v>
      </c>
      <c r="R335" s="1"/>
      <c r="S335" s="14" t="s">
        <v>13</v>
      </c>
      <c r="T335" s="10">
        <v>251.08</v>
      </c>
    </row>
    <row r="336" spans="1:20" x14ac:dyDescent="0.35">
      <c r="A336" s="4">
        <v>334</v>
      </c>
      <c r="B336" s="2">
        <v>43222</v>
      </c>
      <c r="C336" s="1">
        <v>256.02</v>
      </c>
      <c r="D336" s="1">
        <v>256.91000000000003</v>
      </c>
      <c r="E336" s="1">
        <v>254.08</v>
      </c>
      <c r="F336" s="1">
        <v>254.51</v>
      </c>
      <c r="G336" s="1" t="str">
        <f>IF(testdata[[#This Row],[high]]&gt;MAX(D332:D335,D337:D340),testdata[[#This Row],[high]],"")</f>
        <v/>
      </c>
      <c r="H336" s="14" t="s">
        <v>7</v>
      </c>
      <c r="I336" s="10">
        <f t="shared" ca="1" si="20"/>
        <v>263.83444444444297</v>
      </c>
      <c r="J336" s="1" t="str">
        <f>IF(testdata[[#This Row],[low]]&lt;MIN(E332:E335,E337:E340),testdata[[#This Row],[low]],"")</f>
        <v/>
      </c>
      <c r="K336" s="14" t="s">
        <v>13</v>
      </c>
      <c r="L336" s="10">
        <f t="shared" ca="1" si="21"/>
        <v>250.78999999999996</v>
      </c>
      <c r="N336" s="2">
        <v>43222</v>
      </c>
      <c r="O336" s="1"/>
      <c r="P336" s="14" t="s">
        <v>7</v>
      </c>
      <c r="Q336" s="10">
        <v>263.83440000000002</v>
      </c>
      <c r="R336" s="1"/>
      <c r="S336" s="14" t="s">
        <v>13</v>
      </c>
      <c r="T336" s="10">
        <v>250.79</v>
      </c>
    </row>
    <row r="337" spans="1:20" x14ac:dyDescent="0.35">
      <c r="A337" s="4">
        <v>335</v>
      </c>
      <c r="B337" s="2">
        <v>43223</v>
      </c>
      <c r="C337" s="1">
        <v>253.6</v>
      </c>
      <c r="D337" s="1">
        <v>254.66</v>
      </c>
      <c r="E337" s="1">
        <v>250.5</v>
      </c>
      <c r="F337" s="1">
        <v>253.95</v>
      </c>
      <c r="G337" s="1" t="str">
        <f>IF(testdata[[#This Row],[high]]&gt;MAX(D333:D336,D338:D341),testdata[[#This Row],[high]],"")</f>
        <v/>
      </c>
      <c r="H337" s="14" t="s">
        <v>7</v>
      </c>
      <c r="I337" s="10">
        <f t="shared" ca="1" si="20"/>
        <v>263.98388888888746</v>
      </c>
      <c r="J337" s="1">
        <f>IF(testdata[[#This Row],[low]]&lt;MIN(E333:E336,E338:E341),testdata[[#This Row],[low]],"")</f>
        <v>250.5</v>
      </c>
      <c r="K337" s="14" t="s">
        <v>13</v>
      </c>
      <c r="L337" s="9">
        <f>testdata[[#This Row],[Lpoint]]</f>
        <v>250.5</v>
      </c>
      <c r="N337" s="2">
        <v>43223</v>
      </c>
      <c r="O337" s="1"/>
      <c r="P337" s="14" t="s">
        <v>7</v>
      </c>
      <c r="Q337" s="10">
        <v>263.98390000000001</v>
      </c>
      <c r="R337" s="1">
        <v>250.5</v>
      </c>
      <c r="S337" s="14" t="s">
        <v>13</v>
      </c>
      <c r="T337" s="9">
        <v>250.5</v>
      </c>
    </row>
    <row r="338" spans="1:20" x14ac:dyDescent="0.35">
      <c r="A338" s="4">
        <v>336</v>
      </c>
      <c r="B338" s="2">
        <v>43224</v>
      </c>
      <c r="C338" s="1">
        <v>252.89</v>
      </c>
      <c r="D338" s="1">
        <v>257.98</v>
      </c>
      <c r="E338" s="1">
        <v>252.53</v>
      </c>
      <c r="F338" s="1">
        <v>257.24</v>
      </c>
      <c r="G338" s="1" t="str">
        <f>IF(testdata[[#This Row],[high]]&gt;MAX(D334:D337,D339:D342),testdata[[#This Row],[high]],"")</f>
        <v/>
      </c>
      <c r="H338" s="14" t="s">
        <v>7</v>
      </c>
      <c r="I338" s="10">
        <f t="shared" ca="1" si="20"/>
        <v>264.13333333333202</v>
      </c>
      <c r="J338" s="1" t="str">
        <f>IF(testdata[[#This Row],[low]]&lt;MIN(E334:E337,E339:E342),testdata[[#This Row],[low]],"")</f>
        <v/>
      </c>
      <c r="K338" s="14" t="s">
        <v>8</v>
      </c>
      <c r="L338" s="10">
        <f t="shared" ref="L338:L353" ca="1" si="22">AVERAGE(L337,L339)</f>
        <v>250.99529411764692</v>
      </c>
      <c r="N338" s="2">
        <v>43224</v>
      </c>
      <c r="O338" s="1"/>
      <c r="P338" s="14" t="s">
        <v>7</v>
      </c>
      <c r="Q338" s="10">
        <v>264.13330000000002</v>
      </c>
      <c r="R338" s="1"/>
      <c r="S338" s="14" t="s">
        <v>8</v>
      </c>
      <c r="T338" s="10">
        <v>250.99529999999999</v>
      </c>
    </row>
    <row r="339" spans="1:20" x14ac:dyDescent="0.35">
      <c r="A339" s="4">
        <v>337</v>
      </c>
      <c r="B339" s="2">
        <v>43227</v>
      </c>
      <c r="C339" s="1">
        <v>258.08</v>
      </c>
      <c r="D339" s="1">
        <v>259.17</v>
      </c>
      <c r="E339" s="1">
        <v>257.32</v>
      </c>
      <c r="F339" s="1">
        <v>258.11</v>
      </c>
      <c r="G339" s="1" t="str">
        <f>IF(testdata[[#This Row],[high]]&gt;MAX(D335:D338,D340:D343),testdata[[#This Row],[high]],"")</f>
        <v/>
      </c>
      <c r="H339" s="14" t="s">
        <v>7</v>
      </c>
      <c r="I339" s="10">
        <f t="shared" ca="1" si="20"/>
        <v>264.28277777777657</v>
      </c>
      <c r="J339" s="1" t="str">
        <f>IF(testdata[[#This Row],[low]]&lt;MIN(E335:E338,E340:E343),testdata[[#This Row],[low]],"")</f>
        <v/>
      </c>
      <c r="K339" s="14" t="s">
        <v>8</v>
      </c>
      <c r="L339" s="10">
        <f t="shared" ca="1" si="22"/>
        <v>251.49058823529384</v>
      </c>
      <c r="N339" s="2">
        <v>43227</v>
      </c>
      <c r="O339" s="1"/>
      <c r="P339" s="14" t="s">
        <v>7</v>
      </c>
      <c r="Q339" s="10">
        <v>264.28280000000001</v>
      </c>
      <c r="R339" s="1"/>
      <c r="S339" s="14" t="s">
        <v>8</v>
      </c>
      <c r="T339" s="10">
        <v>251.4906</v>
      </c>
    </row>
    <row r="340" spans="1:20" x14ac:dyDescent="0.35">
      <c r="A340" s="4">
        <v>338</v>
      </c>
      <c r="B340" s="2">
        <v>43228</v>
      </c>
      <c r="C340" s="1">
        <v>257.7</v>
      </c>
      <c r="D340" s="1">
        <v>258.5</v>
      </c>
      <c r="E340" s="1">
        <v>256.39999999999998</v>
      </c>
      <c r="F340" s="1">
        <v>258.11</v>
      </c>
      <c r="G340" s="1" t="str">
        <f>IF(testdata[[#This Row],[high]]&gt;MAX(D336:D339,D341:D344),testdata[[#This Row],[high]],"")</f>
        <v/>
      </c>
      <c r="H340" s="14" t="s">
        <v>7</v>
      </c>
      <c r="I340" s="10">
        <f t="shared" ca="1" si="20"/>
        <v>264.43222222222118</v>
      </c>
      <c r="J340" s="1" t="str">
        <f>IF(testdata[[#This Row],[low]]&lt;MIN(E336:E339,E341:E344),testdata[[#This Row],[low]],"")</f>
        <v/>
      </c>
      <c r="K340" s="14" t="s">
        <v>8</v>
      </c>
      <c r="L340" s="10">
        <f t="shared" ca="1" si="22"/>
        <v>251.98588235294079</v>
      </c>
      <c r="N340" s="2">
        <v>43228</v>
      </c>
      <c r="O340" s="1"/>
      <c r="P340" s="14" t="s">
        <v>7</v>
      </c>
      <c r="Q340" s="10">
        <v>264.43220000000002</v>
      </c>
      <c r="R340" s="1"/>
      <c r="S340" s="14" t="s">
        <v>8</v>
      </c>
      <c r="T340" s="10">
        <v>251.98589999999999</v>
      </c>
    </row>
    <row r="341" spans="1:20" x14ac:dyDescent="0.35">
      <c r="A341" s="4">
        <v>339</v>
      </c>
      <c r="B341" s="2">
        <v>43229</v>
      </c>
      <c r="C341" s="1">
        <v>258.83999999999997</v>
      </c>
      <c r="D341" s="1">
        <v>260.95</v>
      </c>
      <c r="E341" s="1">
        <v>258.27</v>
      </c>
      <c r="F341" s="1">
        <v>260.60000000000002</v>
      </c>
      <c r="G341" s="1" t="str">
        <f>IF(testdata[[#This Row],[high]]&gt;MAX(D337:D340,D342:D345),testdata[[#This Row],[high]],"")</f>
        <v/>
      </c>
      <c r="H341" s="14" t="s">
        <v>7</v>
      </c>
      <c r="I341" s="10">
        <f t="shared" ca="1" si="20"/>
        <v>264.58166666666585</v>
      </c>
      <c r="J341" s="1" t="str">
        <f>IF(testdata[[#This Row],[low]]&lt;MIN(E337:E340,E342:E345),testdata[[#This Row],[low]],"")</f>
        <v/>
      </c>
      <c r="K341" s="14" t="s">
        <v>8</v>
      </c>
      <c r="L341" s="10">
        <f t="shared" ca="1" si="22"/>
        <v>252.48117647058774</v>
      </c>
      <c r="N341" s="2">
        <v>43229</v>
      </c>
      <c r="O341" s="1"/>
      <c r="P341" s="14" t="s">
        <v>7</v>
      </c>
      <c r="Q341" s="10">
        <v>264.58170000000001</v>
      </c>
      <c r="R341" s="1"/>
      <c r="S341" s="14" t="s">
        <v>8</v>
      </c>
      <c r="T341" s="10">
        <v>252.4812</v>
      </c>
    </row>
    <row r="342" spans="1:20" x14ac:dyDescent="0.35">
      <c r="A342" s="4">
        <v>340</v>
      </c>
      <c r="B342" s="2">
        <v>43230</v>
      </c>
      <c r="C342" s="1">
        <v>261.41000000000003</v>
      </c>
      <c r="D342" s="1">
        <v>263.39999999999998</v>
      </c>
      <c r="E342" s="1">
        <v>261.3</v>
      </c>
      <c r="F342" s="1">
        <v>263.04000000000002</v>
      </c>
      <c r="G342" s="1" t="str">
        <f>IF(testdata[[#This Row],[high]]&gt;MAX(D338:D341,D343:D346),testdata[[#This Row],[high]],"")</f>
        <v/>
      </c>
      <c r="H342" s="14" t="s">
        <v>7</v>
      </c>
      <c r="I342" s="10">
        <f t="shared" ca="1" si="20"/>
        <v>264.73111111111052</v>
      </c>
      <c r="J342" s="1" t="str">
        <f>IF(testdata[[#This Row],[low]]&lt;MIN(E338:E341,E343:E346),testdata[[#This Row],[low]],"")</f>
        <v/>
      </c>
      <c r="K342" s="14" t="s">
        <v>8</v>
      </c>
      <c r="L342" s="10">
        <f t="shared" ca="1" si="22"/>
        <v>252.97647058823472</v>
      </c>
      <c r="N342" s="2">
        <v>43230</v>
      </c>
      <c r="O342" s="1"/>
      <c r="P342" s="14" t="s">
        <v>7</v>
      </c>
      <c r="Q342" s="10">
        <v>264.73110000000003</v>
      </c>
      <c r="R342" s="1"/>
      <c r="S342" s="14" t="s">
        <v>8</v>
      </c>
      <c r="T342" s="10">
        <v>252.97649999999999</v>
      </c>
    </row>
    <row r="343" spans="1:20" x14ac:dyDescent="0.35">
      <c r="A343" s="4">
        <v>341</v>
      </c>
      <c r="B343" s="2">
        <v>43231</v>
      </c>
      <c r="C343" s="1">
        <v>263.17</v>
      </c>
      <c r="D343" s="1">
        <v>264.13</v>
      </c>
      <c r="E343" s="1">
        <v>262.61</v>
      </c>
      <c r="F343" s="1">
        <v>263.83999999999997</v>
      </c>
      <c r="G343" s="1" t="str">
        <f>IF(testdata[[#This Row],[high]]&gt;MAX(D339:D342,D344:D347),testdata[[#This Row],[high]],"")</f>
        <v/>
      </c>
      <c r="H343" s="14" t="s">
        <v>7</v>
      </c>
      <c r="I343" s="10">
        <f t="shared" ca="1" si="20"/>
        <v>264.88055555555525</v>
      </c>
      <c r="J343" s="1" t="str">
        <f>IF(testdata[[#This Row],[low]]&lt;MIN(E339:E342,E344:E347),testdata[[#This Row],[low]],"")</f>
        <v/>
      </c>
      <c r="K343" s="14" t="s">
        <v>8</v>
      </c>
      <c r="L343" s="10">
        <f t="shared" ca="1" si="22"/>
        <v>253.4717647058817</v>
      </c>
      <c r="N343" s="2">
        <v>43231</v>
      </c>
      <c r="O343" s="1"/>
      <c r="P343" s="14" t="s">
        <v>7</v>
      </c>
      <c r="Q343" s="10">
        <v>264.88060000000002</v>
      </c>
      <c r="R343" s="1"/>
      <c r="S343" s="14" t="s">
        <v>8</v>
      </c>
      <c r="T343" s="10">
        <v>253.4718</v>
      </c>
    </row>
    <row r="344" spans="1:20" x14ac:dyDescent="0.35">
      <c r="A344" s="4">
        <v>342</v>
      </c>
      <c r="B344" s="2">
        <v>43234</v>
      </c>
      <c r="C344" s="1">
        <v>264.31</v>
      </c>
      <c r="D344" s="1">
        <v>265.02999999999997</v>
      </c>
      <c r="E344" s="1">
        <v>263.37</v>
      </c>
      <c r="F344" s="1">
        <v>263.97000000000003</v>
      </c>
      <c r="G344" s="1">
        <f>IF(testdata[[#This Row],[high]]&gt;MAX(D340:D343,D345:D348),testdata[[#This Row],[high]],"")</f>
        <v>265.02999999999997</v>
      </c>
      <c r="H344" s="14" t="s">
        <v>7</v>
      </c>
      <c r="I344" s="9">
        <f>testdata[[#This Row],[Hpoint]]</f>
        <v>265.02999999999997</v>
      </c>
      <c r="J344" s="1" t="str">
        <f>IF(testdata[[#This Row],[low]]&lt;MIN(E340:E343,E345:E348),testdata[[#This Row],[low]],"")</f>
        <v/>
      </c>
      <c r="K344" s="14" t="s">
        <v>8</v>
      </c>
      <c r="L344" s="10">
        <f t="shared" ca="1" si="22"/>
        <v>253.9670588235287</v>
      </c>
      <c r="N344" s="2">
        <v>43234</v>
      </c>
      <c r="O344" s="1">
        <v>265.02999999999997</v>
      </c>
      <c r="P344" s="14" t="s">
        <v>7</v>
      </c>
      <c r="Q344" s="9">
        <v>265.02999999999997</v>
      </c>
      <c r="R344" s="1"/>
      <c r="S344" s="14" t="s">
        <v>8</v>
      </c>
      <c r="T344" s="10">
        <v>253.96709999999999</v>
      </c>
    </row>
    <row r="345" spans="1:20" x14ac:dyDescent="0.35">
      <c r="A345" s="4">
        <v>343</v>
      </c>
      <c r="B345" s="2">
        <v>43235</v>
      </c>
      <c r="C345" s="1">
        <v>262.62</v>
      </c>
      <c r="D345" s="1">
        <v>262.64</v>
      </c>
      <c r="E345" s="1">
        <v>261.11</v>
      </c>
      <c r="F345" s="1">
        <v>262.14999999999998</v>
      </c>
      <c r="G345" s="1" t="str">
        <f>IF(testdata[[#This Row],[high]]&gt;MAX(D341:D344,D346:D349),testdata[[#This Row],[high]],"")</f>
        <v/>
      </c>
      <c r="H345" s="14" t="s">
        <v>7</v>
      </c>
      <c r="I345" s="10">
        <f t="shared" ref="I345:I349" ca="1" si="23">AVERAGE(I344,I346)</f>
        <v>265.05833333333328</v>
      </c>
      <c r="J345" s="1" t="str">
        <f>IF(testdata[[#This Row],[low]]&lt;MIN(E341:E344,E346:E349),testdata[[#This Row],[low]],"")</f>
        <v/>
      </c>
      <c r="K345" s="14" t="s">
        <v>8</v>
      </c>
      <c r="L345" s="10">
        <f t="shared" ca="1" si="22"/>
        <v>254.46235294117574</v>
      </c>
      <c r="N345" s="2">
        <v>43235</v>
      </c>
      <c r="O345" s="1"/>
      <c r="P345" s="14" t="s">
        <v>7</v>
      </c>
      <c r="Q345" s="10">
        <v>265.05829999999997</v>
      </c>
      <c r="R345" s="1"/>
      <c r="S345" s="14" t="s">
        <v>8</v>
      </c>
      <c r="T345" s="10">
        <v>254.4624</v>
      </c>
    </row>
    <row r="346" spans="1:20" x14ac:dyDescent="0.35">
      <c r="A346" s="4">
        <v>344</v>
      </c>
      <c r="B346" s="2">
        <v>43236</v>
      </c>
      <c r="C346" s="1">
        <v>262.19</v>
      </c>
      <c r="D346" s="1">
        <v>263.75</v>
      </c>
      <c r="E346" s="1">
        <v>262.16000000000003</v>
      </c>
      <c r="F346" s="1">
        <v>263.25</v>
      </c>
      <c r="G346" s="1" t="str">
        <f>IF(testdata[[#This Row],[high]]&gt;MAX(D342:D345,D347:D350),testdata[[#This Row],[high]],"")</f>
        <v/>
      </c>
      <c r="H346" s="14" t="s">
        <v>7</v>
      </c>
      <c r="I346" s="10">
        <f t="shared" ca="1" si="23"/>
        <v>265.08666666666659</v>
      </c>
      <c r="J346" s="1" t="str">
        <f>IF(testdata[[#This Row],[low]]&lt;MIN(E342:E345,E347:E350),testdata[[#This Row],[low]],"")</f>
        <v/>
      </c>
      <c r="K346" s="14" t="s">
        <v>8</v>
      </c>
      <c r="L346" s="10">
        <f t="shared" ca="1" si="22"/>
        <v>254.95764705882277</v>
      </c>
      <c r="N346" s="2">
        <v>43236</v>
      </c>
      <c r="O346" s="1"/>
      <c r="P346" s="14" t="s">
        <v>7</v>
      </c>
      <c r="Q346" s="10">
        <v>265.08670000000001</v>
      </c>
      <c r="R346" s="1"/>
      <c r="S346" s="14" t="s">
        <v>8</v>
      </c>
      <c r="T346" s="10">
        <v>254.95760000000001</v>
      </c>
    </row>
    <row r="347" spans="1:20" x14ac:dyDescent="0.35">
      <c r="A347" s="4">
        <v>345</v>
      </c>
      <c r="B347" s="2">
        <v>43237</v>
      </c>
      <c r="C347" s="1">
        <v>262.95999999999998</v>
      </c>
      <c r="D347" s="1">
        <v>264.20999999999998</v>
      </c>
      <c r="E347" s="1">
        <v>262.18</v>
      </c>
      <c r="F347" s="1">
        <v>263.02999999999997</v>
      </c>
      <c r="G347" s="1" t="str">
        <f>IF(testdata[[#This Row],[high]]&gt;MAX(D343:D346,D348:D351),testdata[[#This Row],[high]],"")</f>
        <v/>
      </c>
      <c r="H347" s="14" t="s">
        <v>7</v>
      </c>
      <c r="I347" s="10">
        <f t="shared" ca="1" si="23"/>
        <v>265.1149999999999</v>
      </c>
      <c r="J347" s="1" t="str">
        <f>IF(testdata[[#This Row],[low]]&lt;MIN(E343:E346,E348:E351),testdata[[#This Row],[low]],"")</f>
        <v/>
      </c>
      <c r="K347" s="14" t="s">
        <v>8</v>
      </c>
      <c r="L347" s="10">
        <f t="shared" ca="1" si="22"/>
        <v>255.45294117646984</v>
      </c>
      <c r="N347" s="2">
        <v>43237</v>
      </c>
      <c r="O347" s="1"/>
      <c r="P347" s="14" t="s">
        <v>7</v>
      </c>
      <c r="Q347" s="10">
        <v>265.11500000000001</v>
      </c>
      <c r="R347" s="1"/>
      <c r="S347" s="14" t="s">
        <v>8</v>
      </c>
      <c r="T347" s="10">
        <v>255.4529</v>
      </c>
    </row>
    <row r="348" spans="1:20" x14ac:dyDescent="0.35">
      <c r="A348" s="4">
        <v>346</v>
      </c>
      <c r="B348" s="2">
        <v>43238</v>
      </c>
      <c r="C348" s="1">
        <v>262.64999999999998</v>
      </c>
      <c r="D348" s="1">
        <v>263.05</v>
      </c>
      <c r="E348" s="1">
        <v>261.98</v>
      </c>
      <c r="F348" s="1">
        <v>262.37</v>
      </c>
      <c r="G348" s="1" t="str">
        <f>IF(testdata[[#This Row],[high]]&gt;MAX(D344:D347,D349:D352),testdata[[#This Row],[high]],"")</f>
        <v/>
      </c>
      <c r="H348" s="14" t="s">
        <v>7</v>
      </c>
      <c r="I348" s="10">
        <f t="shared" ca="1" si="23"/>
        <v>265.14333333333326</v>
      </c>
      <c r="J348" s="1" t="str">
        <f>IF(testdata[[#This Row],[low]]&lt;MIN(E344:E347,E349:E352),testdata[[#This Row],[low]],"")</f>
        <v/>
      </c>
      <c r="K348" s="14" t="s">
        <v>8</v>
      </c>
      <c r="L348" s="10">
        <f t="shared" ca="1" si="22"/>
        <v>255.94823529411693</v>
      </c>
      <c r="N348" s="2">
        <v>43238</v>
      </c>
      <c r="O348" s="1"/>
      <c r="P348" s="14" t="s">
        <v>7</v>
      </c>
      <c r="Q348" s="10">
        <v>265.14330000000001</v>
      </c>
      <c r="R348" s="1"/>
      <c r="S348" s="14" t="s">
        <v>8</v>
      </c>
      <c r="T348" s="10">
        <v>255.94820000000001</v>
      </c>
    </row>
    <row r="349" spans="1:20" x14ac:dyDescent="0.35">
      <c r="A349" s="4">
        <v>347</v>
      </c>
      <c r="B349" s="2">
        <v>43241</v>
      </c>
      <c r="C349" s="1">
        <v>264</v>
      </c>
      <c r="D349" s="1">
        <v>264.93</v>
      </c>
      <c r="E349" s="1">
        <v>262.39</v>
      </c>
      <c r="F349" s="1">
        <v>264.33999999999997</v>
      </c>
      <c r="G349" s="1" t="str">
        <f>IF(testdata[[#This Row],[high]]&gt;MAX(D345:D348,D350:D353),testdata[[#This Row],[high]],"")</f>
        <v/>
      </c>
      <c r="H349" s="14" t="s">
        <v>7</v>
      </c>
      <c r="I349" s="10">
        <f t="shared" ca="1" si="23"/>
        <v>265.17166666666662</v>
      </c>
      <c r="J349" s="1" t="str">
        <f>IF(testdata[[#This Row],[low]]&lt;MIN(E345:E348,E350:E353),testdata[[#This Row],[low]],"")</f>
        <v/>
      </c>
      <c r="K349" s="14" t="s">
        <v>8</v>
      </c>
      <c r="L349" s="10">
        <f t="shared" ca="1" si="22"/>
        <v>256.44352941176402</v>
      </c>
      <c r="N349" s="2">
        <v>43241</v>
      </c>
      <c r="O349" s="1"/>
      <c r="P349" s="14" t="s">
        <v>7</v>
      </c>
      <c r="Q349" s="10">
        <v>265.17169999999999</v>
      </c>
      <c r="R349" s="1"/>
      <c r="S349" s="14" t="s">
        <v>8</v>
      </c>
      <c r="T349" s="10">
        <v>256.44349999999997</v>
      </c>
    </row>
    <row r="350" spans="1:20" x14ac:dyDescent="0.35">
      <c r="A350" s="4">
        <v>348</v>
      </c>
      <c r="B350" s="2">
        <v>43242</v>
      </c>
      <c r="C350" s="1">
        <v>264.91000000000003</v>
      </c>
      <c r="D350" s="1">
        <v>265.2</v>
      </c>
      <c r="E350" s="1">
        <v>263.25</v>
      </c>
      <c r="F350" s="1">
        <v>263.61</v>
      </c>
      <c r="G350" s="1">
        <f>IF(testdata[[#This Row],[high]]&gt;MAX(D346:D349,D351:D354),testdata[[#This Row],[high]],"")</f>
        <v>265.2</v>
      </c>
      <c r="H350" s="14" t="s">
        <v>7</v>
      </c>
      <c r="I350" s="9">
        <f>testdata[[#This Row],[Hpoint]]</f>
        <v>265.2</v>
      </c>
      <c r="J350" s="1" t="str">
        <f>IF(testdata[[#This Row],[low]]&lt;MIN(E346:E349,E351:E354),testdata[[#This Row],[low]],"")</f>
        <v/>
      </c>
      <c r="K350" s="14" t="s">
        <v>8</v>
      </c>
      <c r="L350" s="10">
        <f t="shared" ca="1" si="22"/>
        <v>256.93882352941114</v>
      </c>
      <c r="N350" s="2">
        <v>43242</v>
      </c>
      <c r="O350" s="1">
        <v>265.2</v>
      </c>
      <c r="P350" s="14" t="s">
        <v>7</v>
      </c>
      <c r="Q350" s="9">
        <v>265.2</v>
      </c>
      <c r="R350" s="1"/>
      <c r="S350" s="14" t="s">
        <v>8</v>
      </c>
      <c r="T350" s="10">
        <v>256.93880000000001</v>
      </c>
    </row>
    <row r="351" spans="1:20" x14ac:dyDescent="0.35">
      <c r="A351" s="4">
        <v>349</v>
      </c>
      <c r="B351" s="2">
        <v>43243</v>
      </c>
      <c r="C351" s="1">
        <v>262.22000000000003</v>
      </c>
      <c r="D351" s="1">
        <v>264.36</v>
      </c>
      <c r="E351" s="1">
        <v>262.04000000000002</v>
      </c>
      <c r="F351" s="1">
        <v>264.33</v>
      </c>
      <c r="G351" s="1" t="str">
        <f>IF(testdata[[#This Row],[high]]&gt;MAX(D347:D350,D352:D355),testdata[[#This Row],[high]],"")</f>
        <v/>
      </c>
      <c r="H351" s="14" t="s">
        <v>7</v>
      </c>
      <c r="I351" s="10">
        <f t="shared" ref="I351:I364" ca="1" si="24">AVERAGE(I350,I352)</f>
        <v>265.53666666666641</v>
      </c>
      <c r="J351" s="1" t="str">
        <f>IF(testdata[[#This Row],[low]]&lt;MIN(E347:E350,E352:E355),testdata[[#This Row],[low]],"")</f>
        <v/>
      </c>
      <c r="K351" s="14" t="s">
        <v>8</v>
      </c>
      <c r="L351" s="10">
        <f t="shared" ca="1" si="22"/>
        <v>257.43411764705832</v>
      </c>
      <c r="N351" s="2">
        <v>43243</v>
      </c>
      <c r="O351" s="1"/>
      <c r="P351" s="14" t="s">
        <v>7</v>
      </c>
      <c r="Q351" s="10">
        <v>265.5367</v>
      </c>
      <c r="R351" s="1"/>
      <c r="S351" s="14" t="s">
        <v>8</v>
      </c>
      <c r="T351" s="10">
        <v>257.4341</v>
      </c>
    </row>
    <row r="352" spans="1:20" x14ac:dyDescent="0.35">
      <c r="A352" s="4">
        <v>350</v>
      </c>
      <c r="B352" s="2">
        <v>43244</v>
      </c>
      <c r="C352" s="1">
        <v>263.89999999999998</v>
      </c>
      <c r="D352" s="1">
        <v>264.2</v>
      </c>
      <c r="E352" s="1">
        <v>261.83999999999997</v>
      </c>
      <c r="F352" s="1">
        <v>263.79000000000002</v>
      </c>
      <c r="G352" s="1" t="str">
        <f>IF(testdata[[#This Row],[high]]&gt;MAX(D348:D351,D353:D356),testdata[[#This Row],[high]],"")</f>
        <v/>
      </c>
      <c r="H352" s="14" t="s">
        <v>7</v>
      </c>
      <c r="I352" s="10">
        <f t="shared" ca="1" si="24"/>
        <v>265.87333333333288</v>
      </c>
      <c r="J352" s="1" t="str">
        <f>IF(testdata[[#This Row],[low]]&lt;MIN(E348:E351,E353:E356),testdata[[#This Row],[low]],"")</f>
        <v/>
      </c>
      <c r="K352" s="14" t="s">
        <v>8</v>
      </c>
      <c r="L352" s="10">
        <f t="shared" ca="1" si="22"/>
        <v>257.92941176470555</v>
      </c>
      <c r="N352" s="2">
        <v>43244</v>
      </c>
      <c r="O352" s="1"/>
      <c r="P352" s="14" t="s">
        <v>7</v>
      </c>
      <c r="Q352" s="10">
        <v>265.87329999999997</v>
      </c>
      <c r="R352" s="1"/>
      <c r="S352" s="14" t="s">
        <v>8</v>
      </c>
      <c r="T352" s="10">
        <v>257.92939999999999</v>
      </c>
    </row>
    <row r="353" spans="1:20" x14ac:dyDescent="0.35">
      <c r="A353" s="4">
        <v>351</v>
      </c>
      <c r="B353" s="2">
        <v>43245</v>
      </c>
      <c r="C353" s="1">
        <v>263.16000000000003</v>
      </c>
      <c r="D353" s="1">
        <v>263.85000000000002</v>
      </c>
      <c r="E353" s="1">
        <v>262.61</v>
      </c>
      <c r="F353" s="1">
        <v>263.16000000000003</v>
      </c>
      <c r="G353" s="1" t="str">
        <f>IF(testdata[[#This Row],[high]]&gt;MAX(D349:D352,D354:D357),testdata[[#This Row],[high]],"")</f>
        <v/>
      </c>
      <c r="H353" s="14" t="s">
        <v>7</v>
      </c>
      <c r="I353" s="10">
        <f t="shared" ca="1" si="24"/>
        <v>266.20999999999935</v>
      </c>
      <c r="J353" s="1" t="str">
        <f>IF(testdata[[#This Row],[low]]&lt;MIN(E349:E352,E354:E357),testdata[[#This Row],[low]],"")</f>
        <v/>
      </c>
      <c r="K353" s="14" t="s">
        <v>8</v>
      </c>
      <c r="L353" s="10">
        <f t="shared" ca="1" si="22"/>
        <v>258.42470588235278</v>
      </c>
      <c r="N353" s="2">
        <v>43245</v>
      </c>
      <c r="O353" s="1"/>
      <c r="P353" s="14" t="s">
        <v>7</v>
      </c>
      <c r="Q353" s="10">
        <v>266.20999999999998</v>
      </c>
      <c r="R353" s="1"/>
      <c r="S353" s="14" t="s">
        <v>8</v>
      </c>
      <c r="T353" s="10">
        <v>258.42469999999997</v>
      </c>
    </row>
    <row r="354" spans="1:20" x14ac:dyDescent="0.35">
      <c r="A354" s="4">
        <v>352</v>
      </c>
      <c r="B354" s="2">
        <v>43249</v>
      </c>
      <c r="C354" s="1">
        <v>261.39</v>
      </c>
      <c r="D354" s="1">
        <v>262.22000000000003</v>
      </c>
      <c r="E354" s="1">
        <v>258.92</v>
      </c>
      <c r="F354" s="1">
        <v>260.14</v>
      </c>
      <c r="G354" s="1" t="str">
        <f>IF(testdata[[#This Row],[high]]&gt;MAX(D350:D353,D355:D358),testdata[[#This Row],[high]],"")</f>
        <v/>
      </c>
      <c r="H354" s="14" t="s">
        <v>7</v>
      </c>
      <c r="I354" s="10">
        <f t="shared" ca="1" si="24"/>
        <v>266.54666666666589</v>
      </c>
      <c r="J354" s="1">
        <f>IF(testdata[[#This Row],[low]]&lt;MIN(E350:E353,E355:E358),testdata[[#This Row],[low]],"")</f>
        <v>258.92</v>
      </c>
      <c r="K354" s="14" t="s">
        <v>8</v>
      </c>
      <c r="L354" s="9">
        <f>testdata[[#This Row],[Lpoint]]</f>
        <v>258.92</v>
      </c>
      <c r="N354" s="2">
        <v>43249</v>
      </c>
      <c r="O354" s="1"/>
      <c r="P354" s="14" t="s">
        <v>7</v>
      </c>
      <c r="Q354" s="10">
        <v>266.54669999999999</v>
      </c>
      <c r="R354" s="1">
        <v>258.92</v>
      </c>
      <c r="S354" s="14" t="s">
        <v>8</v>
      </c>
      <c r="T354" s="9">
        <v>258.92</v>
      </c>
    </row>
    <row r="355" spans="1:20" x14ac:dyDescent="0.35">
      <c r="A355" s="4">
        <v>353</v>
      </c>
      <c r="B355" s="2">
        <v>43250</v>
      </c>
      <c r="C355" s="1">
        <v>261.57</v>
      </c>
      <c r="D355" s="1">
        <v>264.08999999999997</v>
      </c>
      <c r="E355" s="1">
        <v>261.49</v>
      </c>
      <c r="F355" s="1">
        <v>263.61</v>
      </c>
      <c r="G355" s="1" t="str">
        <f>IF(testdata[[#This Row],[high]]&gt;MAX(D351:D354,D356:D359),testdata[[#This Row],[high]],"")</f>
        <v/>
      </c>
      <c r="H355" s="14" t="s">
        <v>7</v>
      </c>
      <c r="I355" s="10">
        <f t="shared" ca="1" si="24"/>
        <v>266.88333333333242</v>
      </c>
      <c r="J355" s="1" t="str">
        <f>IF(testdata[[#This Row],[low]]&lt;MIN(E351:E354,E356:E359),testdata[[#This Row],[low]],"")</f>
        <v/>
      </c>
      <c r="K355" s="14"/>
      <c r="L355" s="9"/>
      <c r="N355" s="2">
        <v>43250</v>
      </c>
      <c r="O355" s="1"/>
      <c r="P355" s="14" t="s">
        <v>7</v>
      </c>
      <c r="Q355" s="10">
        <v>266.88330000000002</v>
      </c>
      <c r="R355" s="1"/>
      <c r="S355" s="14"/>
      <c r="T355" s="9"/>
    </row>
    <row r="356" spans="1:20" x14ac:dyDescent="0.35">
      <c r="A356" s="4">
        <v>354</v>
      </c>
      <c r="B356" s="2">
        <v>43251</v>
      </c>
      <c r="C356" s="1">
        <v>263.16000000000003</v>
      </c>
      <c r="D356" s="1">
        <v>263.49</v>
      </c>
      <c r="E356" s="1">
        <v>261.33</v>
      </c>
      <c r="F356" s="1">
        <v>261.99</v>
      </c>
      <c r="G356" s="1" t="str">
        <f>IF(testdata[[#This Row],[high]]&gt;MAX(D352:D355,D357:D360),testdata[[#This Row],[high]],"")</f>
        <v/>
      </c>
      <c r="H356" s="14" t="s">
        <v>7</v>
      </c>
      <c r="I356" s="10">
        <f t="shared" ca="1" si="24"/>
        <v>267.219999999999</v>
      </c>
      <c r="J356" s="1" t="str">
        <f>IF(testdata[[#This Row],[low]]&lt;MIN(E352:E355,E357:E360),testdata[[#This Row],[low]],"")</f>
        <v/>
      </c>
      <c r="K356" s="14"/>
      <c r="L356" s="9"/>
      <c r="N356" s="2">
        <v>43251</v>
      </c>
      <c r="O356" s="1"/>
      <c r="P356" s="14" t="s">
        <v>7</v>
      </c>
      <c r="Q356" s="10">
        <v>267.22000000000003</v>
      </c>
      <c r="R356" s="1"/>
      <c r="S356" s="14"/>
      <c r="T356" s="9"/>
    </row>
    <row r="357" spans="1:20" x14ac:dyDescent="0.35">
      <c r="A357" s="4">
        <v>355</v>
      </c>
      <c r="B357" s="2">
        <v>43252</v>
      </c>
      <c r="C357" s="1">
        <v>263.42</v>
      </c>
      <c r="D357" s="1">
        <v>264.89999999999998</v>
      </c>
      <c r="E357" s="1">
        <v>263.33999999999997</v>
      </c>
      <c r="F357" s="1">
        <v>264.57</v>
      </c>
      <c r="G357" s="1" t="str">
        <f>IF(testdata[[#This Row],[high]]&gt;MAX(D353:D356,D358:D361),testdata[[#This Row],[high]],"")</f>
        <v/>
      </c>
      <c r="H357" s="14" t="s">
        <v>7</v>
      </c>
      <c r="I357" s="10">
        <f t="shared" ca="1" si="24"/>
        <v>267.55666666666565</v>
      </c>
      <c r="J357" s="1" t="str">
        <f>IF(testdata[[#This Row],[low]]&lt;MIN(E353:E356,E358:E361),testdata[[#This Row],[low]],"")</f>
        <v/>
      </c>
      <c r="K357" s="14"/>
      <c r="L357" s="9"/>
      <c r="N357" s="2">
        <v>43252</v>
      </c>
      <c r="O357" s="1"/>
      <c r="P357" s="14" t="s">
        <v>7</v>
      </c>
      <c r="Q357" s="10">
        <v>267.55669999999998</v>
      </c>
      <c r="R357" s="1"/>
      <c r="S357" s="14"/>
      <c r="T357" s="9"/>
    </row>
    <row r="358" spans="1:20" x14ac:dyDescent="0.35">
      <c r="A358" s="4">
        <v>356</v>
      </c>
      <c r="B358" s="2">
        <v>43255</v>
      </c>
      <c r="C358" s="1">
        <v>265.47000000000003</v>
      </c>
      <c r="D358" s="1">
        <v>266.10000000000002</v>
      </c>
      <c r="E358" s="1">
        <v>265.2</v>
      </c>
      <c r="F358" s="1">
        <v>265.82</v>
      </c>
      <c r="G358" s="1" t="str">
        <f>IF(testdata[[#This Row],[high]]&gt;MAX(D354:D357,D359:D362),testdata[[#This Row],[high]],"")</f>
        <v/>
      </c>
      <c r="H358" s="14" t="s">
        <v>7</v>
      </c>
      <c r="I358" s="10">
        <f t="shared" ca="1" si="24"/>
        <v>267.89333333333229</v>
      </c>
      <c r="J358" s="1" t="str">
        <f>IF(testdata[[#This Row],[low]]&lt;MIN(E354:E357,E359:E362),testdata[[#This Row],[low]],"")</f>
        <v/>
      </c>
      <c r="K358" s="14"/>
      <c r="L358" s="9"/>
      <c r="N358" s="2">
        <v>43255</v>
      </c>
      <c r="O358" s="1"/>
      <c r="P358" s="14" t="s">
        <v>7</v>
      </c>
      <c r="Q358" s="10">
        <v>267.89330000000001</v>
      </c>
      <c r="R358" s="1"/>
      <c r="S358" s="14"/>
      <c r="T358" s="9"/>
    </row>
    <row r="359" spans="1:20" x14ac:dyDescent="0.35">
      <c r="A359" s="4">
        <v>357</v>
      </c>
      <c r="B359" s="2">
        <v>43256</v>
      </c>
      <c r="C359" s="1">
        <v>265.97000000000003</v>
      </c>
      <c r="D359" s="1">
        <v>266.43</v>
      </c>
      <c r="E359" s="1">
        <v>265.13</v>
      </c>
      <c r="F359" s="1">
        <v>266.02</v>
      </c>
      <c r="G359" s="1" t="str">
        <f>IF(testdata[[#This Row],[high]]&gt;MAX(D355:D358,D360:D363),testdata[[#This Row],[high]],"")</f>
        <v/>
      </c>
      <c r="H359" s="14" t="s">
        <v>7</v>
      </c>
      <c r="I359" s="10">
        <f t="shared" ca="1" si="24"/>
        <v>268.229999999999</v>
      </c>
      <c r="J359" s="1" t="str">
        <f>IF(testdata[[#This Row],[low]]&lt;MIN(E355:E358,E360:E363),testdata[[#This Row],[low]],"")</f>
        <v/>
      </c>
      <c r="K359" s="14"/>
      <c r="L359" s="9"/>
      <c r="N359" s="2">
        <v>43256</v>
      </c>
      <c r="O359" s="1"/>
      <c r="P359" s="14" t="s">
        <v>7</v>
      </c>
      <c r="Q359" s="10">
        <v>268.23</v>
      </c>
      <c r="R359" s="1"/>
      <c r="S359" s="14"/>
      <c r="T359" s="9"/>
    </row>
    <row r="360" spans="1:20" x14ac:dyDescent="0.35">
      <c r="A360" s="4">
        <v>358</v>
      </c>
      <c r="B360" s="2">
        <v>43257</v>
      </c>
      <c r="C360" s="1">
        <v>266.68</v>
      </c>
      <c r="D360" s="1">
        <v>268.36</v>
      </c>
      <c r="E360" s="1">
        <v>266.01</v>
      </c>
      <c r="F360" s="1">
        <v>268.24</v>
      </c>
      <c r="G360" s="1" t="str">
        <f>IF(testdata[[#This Row],[high]]&gt;MAX(D356:D359,D361:D364),testdata[[#This Row],[high]],"")</f>
        <v/>
      </c>
      <c r="H360" s="14" t="s">
        <v>7</v>
      </c>
      <c r="I360" s="10">
        <f t="shared" ca="1" si="24"/>
        <v>268.56666666666575</v>
      </c>
      <c r="J360" s="1" t="str">
        <f>IF(testdata[[#This Row],[low]]&lt;MIN(E356:E359,E361:E364),testdata[[#This Row],[low]],"")</f>
        <v/>
      </c>
      <c r="K360" s="14"/>
      <c r="L360" s="9"/>
      <c r="N360" s="2">
        <v>43257</v>
      </c>
      <c r="O360" s="1"/>
      <c r="P360" s="14" t="s">
        <v>7</v>
      </c>
      <c r="Q360" s="10">
        <v>268.56670000000003</v>
      </c>
      <c r="R360" s="1"/>
      <c r="S360" s="14"/>
      <c r="T360" s="9"/>
    </row>
    <row r="361" spans="1:20" x14ac:dyDescent="0.35">
      <c r="A361" s="4">
        <v>359</v>
      </c>
      <c r="B361" s="2">
        <v>43258</v>
      </c>
      <c r="C361" s="1">
        <v>268.77</v>
      </c>
      <c r="D361" s="1">
        <v>269.08999999999997</v>
      </c>
      <c r="E361" s="1">
        <v>267.22000000000003</v>
      </c>
      <c r="F361" s="1">
        <v>268.20999999999998</v>
      </c>
      <c r="G361" s="1" t="str">
        <f>IF(testdata[[#This Row],[high]]&gt;MAX(D357:D360,D362:D365),testdata[[#This Row],[high]],"")</f>
        <v/>
      </c>
      <c r="H361" s="14" t="s">
        <v>7</v>
      </c>
      <c r="I361" s="10">
        <f t="shared" ca="1" si="24"/>
        <v>268.90333333333251</v>
      </c>
      <c r="J361" s="1" t="str">
        <f>IF(testdata[[#This Row],[low]]&lt;MIN(E357:E360,E362:E365),testdata[[#This Row],[low]],"")</f>
        <v/>
      </c>
      <c r="K361" s="14"/>
      <c r="L361" s="9"/>
      <c r="N361" s="2">
        <v>43258</v>
      </c>
      <c r="O361" s="1"/>
      <c r="P361" s="14" t="s">
        <v>7</v>
      </c>
      <c r="Q361" s="10">
        <v>268.9033</v>
      </c>
      <c r="R361" s="1"/>
      <c r="S361" s="14"/>
      <c r="T361" s="9"/>
    </row>
    <row r="362" spans="1:20" x14ac:dyDescent="0.35">
      <c r="A362" s="4">
        <v>360</v>
      </c>
      <c r="B362" s="2">
        <v>43259</v>
      </c>
      <c r="C362" s="1">
        <v>267.70999999999998</v>
      </c>
      <c r="D362" s="1">
        <v>269.06</v>
      </c>
      <c r="E362" s="1">
        <v>267.52999999999997</v>
      </c>
      <c r="F362" s="1">
        <v>269</v>
      </c>
      <c r="G362" s="1" t="str">
        <f>IF(testdata[[#This Row],[high]]&gt;MAX(D358:D361,D363:D366),testdata[[#This Row],[high]],"")</f>
        <v/>
      </c>
      <c r="H362" s="14" t="s">
        <v>7</v>
      </c>
      <c r="I362" s="10">
        <f t="shared" ca="1" si="24"/>
        <v>269.23999999999933</v>
      </c>
      <c r="J362" s="1" t="str">
        <f>IF(testdata[[#This Row],[low]]&lt;MIN(E358:E361,E363:E366),testdata[[#This Row],[low]],"")</f>
        <v/>
      </c>
      <c r="K362" s="14"/>
      <c r="L362" s="9"/>
      <c r="N362" s="2">
        <v>43259</v>
      </c>
      <c r="O362" s="1"/>
      <c r="P362" s="14" t="s">
        <v>7</v>
      </c>
      <c r="Q362" s="10">
        <v>269.24</v>
      </c>
      <c r="R362" s="1"/>
      <c r="S362" s="14"/>
      <c r="T362" s="9"/>
    </row>
    <row r="363" spans="1:20" x14ac:dyDescent="0.35">
      <c r="A363" s="4">
        <v>361</v>
      </c>
      <c r="B363" s="2">
        <v>43262</v>
      </c>
      <c r="C363" s="1">
        <v>269.25</v>
      </c>
      <c r="D363" s="1">
        <v>270.14999999999998</v>
      </c>
      <c r="E363" s="1">
        <v>269.12</v>
      </c>
      <c r="F363" s="1">
        <v>269.36</v>
      </c>
      <c r="G363" s="1" t="str">
        <f>IF(testdata[[#This Row],[high]]&gt;MAX(D359:D362,D364:D367),testdata[[#This Row],[high]],"")</f>
        <v/>
      </c>
      <c r="H363" s="14" t="s">
        <v>7</v>
      </c>
      <c r="I363" s="10">
        <f t="shared" ca="1" si="24"/>
        <v>269.5766666666662</v>
      </c>
      <c r="J363" s="1" t="str">
        <f>IF(testdata[[#This Row],[low]]&lt;MIN(E359:E362,E364:E367),testdata[[#This Row],[low]],"")</f>
        <v/>
      </c>
      <c r="K363" s="14"/>
      <c r="L363" s="9"/>
      <c r="N363" s="2">
        <v>43262</v>
      </c>
      <c r="O363" s="1"/>
      <c r="P363" s="14" t="s">
        <v>7</v>
      </c>
      <c r="Q363" s="10">
        <v>269.57670000000002</v>
      </c>
      <c r="R363" s="1"/>
      <c r="S363" s="14"/>
      <c r="T363" s="9"/>
    </row>
    <row r="364" spans="1:20" x14ac:dyDescent="0.35">
      <c r="A364" s="4">
        <v>362</v>
      </c>
      <c r="B364" s="2">
        <v>43263</v>
      </c>
      <c r="C364" s="1">
        <v>269.82</v>
      </c>
      <c r="D364" s="1">
        <v>270.11</v>
      </c>
      <c r="E364" s="1">
        <v>269</v>
      </c>
      <c r="F364" s="1">
        <v>269.70999999999998</v>
      </c>
      <c r="G364" s="1" t="str">
        <f>IF(testdata[[#This Row],[high]]&gt;MAX(D360:D363,D365:D368),testdata[[#This Row],[high]],"")</f>
        <v/>
      </c>
      <c r="H364" s="14" t="s">
        <v>7</v>
      </c>
      <c r="I364" s="10">
        <f t="shared" ca="1" si="24"/>
        <v>269.91333333333307</v>
      </c>
      <c r="J364" s="1" t="str">
        <f>IF(testdata[[#This Row],[low]]&lt;MIN(E360:E363,E365:E368),testdata[[#This Row],[low]],"")</f>
        <v/>
      </c>
      <c r="K364" s="14"/>
      <c r="L364" s="9"/>
      <c r="N364" s="2">
        <v>43263</v>
      </c>
      <c r="O364" s="1"/>
      <c r="P364" s="14" t="s">
        <v>7</v>
      </c>
      <c r="Q364" s="10">
        <v>269.91329999999999</v>
      </c>
      <c r="R364" s="1"/>
      <c r="S364" s="14"/>
      <c r="T364" s="9"/>
    </row>
    <row r="365" spans="1:20" x14ac:dyDescent="0.35">
      <c r="A365" s="4">
        <v>363</v>
      </c>
      <c r="B365" s="2">
        <v>43264</v>
      </c>
      <c r="C365" s="1">
        <v>269.97000000000003</v>
      </c>
      <c r="D365" s="1">
        <v>270.25</v>
      </c>
      <c r="E365" s="1">
        <v>268.63</v>
      </c>
      <c r="F365" s="1">
        <v>268.85000000000002</v>
      </c>
      <c r="G365" s="1">
        <f>IF(testdata[[#This Row],[high]]&gt;MAX(D361:D364,D366:D369),testdata[[#This Row],[high]],"")</f>
        <v>270.25</v>
      </c>
      <c r="H365" s="14" t="s">
        <v>7</v>
      </c>
      <c r="I365" s="9">
        <f>testdata[[#This Row],[Hpoint]]</f>
        <v>270.25</v>
      </c>
      <c r="J365" s="1" t="str">
        <f>IF(testdata[[#This Row],[low]]&lt;MIN(E361:E364,E366:E369),testdata[[#This Row],[low]],"")</f>
        <v/>
      </c>
      <c r="K365" s="14"/>
      <c r="L365" s="9"/>
      <c r="N365" s="2">
        <v>43264</v>
      </c>
      <c r="O365" s="1">
        <v>270.25</v>
      </c>
      <c r="P365" s="14" t="s">
        <v>7</v>
      </c>
      <c r="Q365" s="9">
        <v>270.25</v>
      </c>
      <c r="R365" s="1"/>
      <c r="S365" s="14"/>
      <c r="T365" s="9"/>
    </row>
    <row r="366" spans="1:20" x14ac:dyDescent="0.35">
      <c r="A366" s="4">
        <v>364</v>
      </c>
      <c r="B366" s="2">
        <v>43265</v>
      </c>
      <c r="C366" s="1">
        <v>269.8</v>
      </c>
      <c r="D366" s="1">
        <v>270.11</v>
      </c>
      <c r="E366" s="1">
        <v>268.88</v>
      </c>
      <c r="F366" s="1">
        <v>269.52999999999997</v>
      </c>
      <c r="G366" s="1" t="str">
        <f>IF(testdata[[#This Row],[high]]&gt;MAX(D362:D365,D367:D370),testdata[[#This Row],[high]],"")</f>
        <v/>
      </c>
      <c r="H366" s="14"/>
      <c r="I366" s="9"/>
      <c r="J366" s="1" t="str">
        <f>IF(testdata[[#This Row],[low]]&lt;MIN(E362:E365,E367:E370),testdata[[#This Row],[low]],"")</f>
        <v/>
      </c>
      <c r="K366" s="14"/>
      <c r="L366" s="9"/>
      <c r="N366" s="2">
        <v>43265</v>
      </c>
      <c r="O366" s="1"/>
      <c r="P366" s="14"/>
      <c r="Q366" s="9"/>
      <c r="R366" s="1"/>
      <c r="S366" s="14"/>
      <c r="T366" s="9"/>
    </row>
    <row r="367" spans="1:20" x14ac:dyDescent="0.35">
      <c r="A367" s="4">
        <v>365</v>
      </c>
      <c r="B367" s="2">
        <v>43266</v>
      </c>
      <c r="C367" s="1">
        <v>268.67</v>
      </c>
      <c r="D367" s="1">
        <v>269.55</v>
      </c>
      <c r="E367" s="1">
        <v>267.45</v>
      </c>
      <c r="F367" s="1">
        <v>269.18</v>
      </c>
      <c r="G367" s="1" t="str">
        <f>IF(testdata[[#This Row],[high]]&gt;MAX(D363:D366,D368:D371),testdata[[#This Row],[high]],"")</f>
        <v/>
      </c>
      <c r="H367" s="14"/>
      <c r="I367" s="9"/>
      <c r="J367" s="1" t="str">
        <f>IF(testdata[[#This Row],[low]]&lt;MIN(E363:E366,E368:E371),testdata[[#This Row],[low]],"")</f>
        <v/>
      </c>
      <c r="K367" s="14"/>
      <c r="L367" s="9"/>
      <c r="N367" s="2">
        <v>43266</v>
      </c>
      <c r="O367" s="1"/>
      <c r="P367" s="14"/>
      <c r="Q367" s="9"/>
      <c r="R367" s="1"/>
      <c r="S367" s="14"/>
      <c r="T367" s="9"/>
    </row>
    <row r="368" spans="1:20" x14ac:dyDescent="0.35">
      <c r="A368" s="4">
        <v>366</v>
      </c>
      <c r="B368" s="2">
        <v>43269</v>
      </c>
      <c r="C368" s="1">
        <v>267.58999999999997</v>
      </c>
      <c r="D368" s="1">
        <v>268.77</v>
      </c>
      <c r="E368" s="1">
        <v>267.07</v>
      </c>
      <c r="F368" s="1">
        <v>268.63</v>
      </c>
      <c r="G368" s="1" t="str">
        <f>IF(testdata[[#This Row],[high]]&gt;MAX(D364:D367,D369:D372),testdata[[#This Row],[high]],"")</f>
        <v/>
      </c>
      <c r="H368" s="14"/>
      <c r="I368" s="9"/>
      <c r="J368" s="1" t="str">
        <f>IF(testdata[[#This Row],[low]]&lt;MIN(E364:E367,E369:E372),testdata[[#This Row],[low]],"")</f>
        <v/>
      </c>
      <c r="K368" s="14"/>
      <c r="L368" s="9"/>
      <c r="N368" s="2">
        <v>43269</v>
      </c>
      <c r="O368" s="1"/>
      <c r="P368" s="14"/>
      <c r="Q368" s="9"/>
      <c r="R368" s="1"/>
      <c r="S368" s="14"/>
      <c r="T368" s="9"/>
    </row>
    <row r="369" spans="1:20" x14ac:dyDescent="0.35">
      <c r="A369" s="4">
        <v>367</v>
      </c>
      <c r="B369" s="2">
        <v>43270</v>
      </c>
      <c r="C369" s="1">
        <v>266.14</v>
      </c>
      <c r="D369" s="1">
        <v>267.83999999999997</v>
      </c>
      <c r="E369" s="1">
        <v>265.69</v>
      </c>
      <c r="F369" s="1">
        <v>267.60000000000002</v>
      </c>
      <c r="G369" s="1" t="str">
        <f>IF(testdata[[#This Row],[high]]&gt;MAX(D365:D368,D370:D373),testdata[[#This Row],[high]],"")</f>
        <v/>
      </c>
      <c r="H369" s="14"/>
      <c r="I369" s="9"/>
      <c r="J369" s="1" t="str">
        <f>IF(testdata[[#This Row],[low]]&lt;MIN(E365:E368,E370:E373),testdata[[#This Row],[low]],"")</f>
        <v/>
      </c>
      <c r="K369" s="14"/>
      <c r="L369" s="9"/>
      <c r="N369" s="2">
        <v>43270</v>
      </c>
      <c r="O369" s="1"/>
      <c r="P369" s="14"/>
      <c r="Q369" s="9"/>
      <c r="R369" s="1"/>
      <c r="S369" s="14"/>
      <c r="T369" s="9"/>
    </row>
    <row r="370" spans="1:20" x14ac:dyDescent="0.35">
      <c r="A370" s="4">
        <v>368</v>
      </c>
      <c r="B370" s="2">
        <v>43271</v>
      </c>
      <c r="C370" s="1">
        <v>268.35000000000002</v>
      </c>
      <c r="D370" s="1">
        <v>268.77999999999997</v>
      </c>
      <c r="E370" s="1">
        <v>267.69</v>
      </c>
      <c r="F370" s="1">
        <v>268.06</v>
      </c>
      <c r="G370" s="1" t="str">
        <f>IF(testdata[[#This Row],[high]]&gt;MAX(D366:D369,D371:D374),testdata[[#This Row],[high]],"")</f>
        <v/>
      </c>
      <c r="H370" s="14"/>
      <c r="I370" s="9"/>
      <c r="J370" s="1" t="str">
        <f>IF(testdata[[#This Row],[low]]&lt;MIN(E366:E369,E371:E374),testdata[[#This Row],[low]],"")</f>
        <v/>
      </c>
      <c r="K370" s="14"/>
      <c r="L370" s="9"/>
      <c r="N370" s="2">
        <v>43271</v>
      </c>
      <c r="O370" s="1"/>
      <c r="P370" s="14"/>
      <c r="Q370" s="9"/>
      <c r="R370" s="1"/>
      <c r="S370" s="14"/>
      <c r="T370" s="9"/>
    </row>
    <row r="371" spans="1:20" x14ac:dyDescent="0.35">
      <c r="A371" s="4">
        <v>369</v>
      </c>
      <c r="B371" s="2">
        <v>43272</v>
      </c>
      <c r="C371" s="1">
        <v>268.05</v>
      </c>
      <c r="D371" s="1">
        <v>268.07</v>
      </c>
      <c r="E371" s="1">
        <v>265.83</v>
      </c>
      <c r="F371" s="1">
        <v>266.38</v>
      </c>
      <c r="G371" s="1" t="str">
        <f>IF(testdata[[#This Row],[high]]&gt;MAX(D367:D370,D372:D375),testdata[[#This Row],[high]],"")</f>
        <v/>
      </c>
      <c r="H371" s="14"/>
      <c r="I371" s="9"/>
      <c r="J371" s="1" t="str">
        <f>IF(testdata[[#This Row],[low]]&lt;MIN(E367:E370,E372:E375),testdata[[#This Row],[low]],"")</f>
        <v/>
      </c>
      <c r="K371" s="14"/>
      <c r="L371" s="9"/>
      <c r="N371" s="2">
        <v>43272</v>
      </c>
      <c r="O371" s="1"/>
      <c r="P371" s="14"/>
      <c r="Q371" s="9"/>
      <c r="R371" s="1"/>
      <c r="S371" s="14"/>
      <c r="T371" s="9"/>
    </row>
    <row r="372" spans="1:20" x14ac:dyDescent="0.35">
      <c r="A372" s="4">
        <v>370</v>
      </c>
      <c r="B372" s="2">
        <v>43273</v>
      </c>
      <c r="C372" s="1">
        <v>267.76</v>
      </c>
      <c r="D372" s="1">
        <v>267.88</v>
      </c>
      <c r="E372" s="1">
        <v>266.62</v>
      </c>
      <c r="F372" s="1">
        <v>266.86</v>
      </c>
      <c r="G372" s="1" t="str">
        <f>IF(testdata[[#This Row],[high]]&gt;MAX(D368:D371,D373:D376),testdata[[#This Row],[high]],"")</f>
        <v/>
      </c>
      <c r="H372" s="14"/>
      <c r="I372" s="9"/>
      <c r="J372" s="1" t="str">
        <f>IF(testdata[[#This Row],[low]]&lt;MIN(E368:E371,E373:E376),testdata[[#This Row],[low]],"")</f>
        <v/>
      </c>
      <c r="K372" s="14"/>
      <c r="L372" s="9"/>
      <c r="N372" s="2">
        <v>43273</v>
      </c>
      <c r="O372" s="1"/>
      <c r="P372" s="14"/>
      <c r="Q372" s="9"/>
      <c r="R372" s="1"/>
      <c r="S372" s="14"/>
      <c r="T372" s="9"/>
    </row>
    <row r="373" spans="1:20" x14ac:dyDescent="0.35">
      <c r="A373" s="4">
        <v>371</v>
      </c>
      <c r="B373" s="2">
        <v>43276</v>
      </c>
      <c r="C373" s="1">
        <v>265.60000000000002</v>
      </c>
      <c r="D373" s="1">
        <v>265.77</v>
      </c>
      <c r="E373" s="1">
        <v>261.38</v>
      </c>
      <c r="F373" s="1">
        <v>263.23</v>
      </c>
      <c r="G373" s="1" t="str">
        <f>IF(testdata[[#This Row],[high]]&gt;MAX(D369:D372,D374:D377),testdata[[#This Row],[high]],"")</f>
        <v/>
      </c>
      <c r="H373" s="14"/>
      <c r="I373" s="9"/>
      <c r="J373" s="1" t="str">
        <f>IF(testdata[[#This Row],[low]]&lt;MIN(E369:E372,E374:E377),testdata[[#This Row],[low]],"")</f>
        <v/>
      </c>
      <c r="K373" s="14"/>
      <c r="L373" s="9"/>
      <c r="N373" s="2">
        <v>43276</v>
      </c>
      <c r="O373" s="1"/>
      <c r="P373" s="14"/>
      <c r="Q373" s="9"/>
      <c r="R373" s="1"/>
      <c r="S373" s="14"/>
      <c r="T373" s="9"/>
    </row>
    <row r="374" spans="1:20" x14ac:dyDescent="0.35">
      <c r="A374" s="4">
        <v>372</v>
      </c>
      <c r="B374" s="2">
        <v>43277</v>
      </c>
      <c r="C374" s="1">
        <v>263.85000000000002</v>
      </c>
      <c r="D374" s="1">
        <v>264.74</v>
      </c>
      <c r="E374" s="1">
        <v>263.02</v>
      </c>
      <c r="F374" s="1">
        <v>263.81</v>
      </c>
      <c r="G374" s="1" t="str">
        <f>IF(testdata[[#This Row],[high]]&gt;MAX(D370:D373,D375:D378),testdata[[#This Row],[high]],"")</f>
        <v/>
      </c>
      <c r="H374" s="14"/>
      <c r="I374" s="9"/>
      <c r="J374" s="1" t="str">
        <f>IF(testdata[[#This Row],[low]]&lt;MIN(E370:E373,E375:E378),testdata[[#This Row],[low]],"")</f>
        <v/>
      </c>
      <c r="K374" s="14"/>
      <c r="L374" s="9"/>
      <c r="N374" s="2">
        <v>43277</v>
      </c>
      <c r="O374" s="1"/>
      <c r="P374" s="14"/>
      <c r="Q374" s="9"/>
      <c r="R374" s="1"/>
      <c r="S374" s="14"/>
      <c r="T374" s="9"/>
    </row>
    <row r="375" spans="1:20" x14ac:dyDescent="0.35">
      <c r="A375" s="4">
        <v>373</v>
      </c>
      <c r="B375" s="2">
        <v>43278</v>
      </c>
      <c r="C375" s="1">
        <v>264.45</v>
      </c>
      <c r="D375" s="1">
        <v>266.01</v>
      </c>
      <c r="E375" s="1">
        <v>261.45999999999998</v>
      </c>
      <c r="F375" s="1">
        <v>261.63</v>
      </c>
      <c r="G375" s="1" t="str">
        <f>IF(testdata[[#This Row],[high]]&gt;MAX(D371:D374,D376:D379),testdata[[#This Row],[high]],"")</f>
        <v/>
      </c>
      <c r="H375" s="14"/>
      <c r="I375" s="9"/>
      <c r="J375" s="1" t="str">
        <f>IF(testdata[[#This Row],[low]]&lt;MIN(E371:E374,E376:E379),testdata[[#This Row],[low]],"")</f>
        <v/>
      </c>
      <c r="K375" s="14"/>
      <c r="L375" s="9"/>
      <c r="N375" s="2">
        <v>43278</v>
      </c>
      <c r="O375" s="1"/>
      <c r="P375" s="14"/>
      <c r="Q375" s="9"/>
      <c r="R375" s="1"/>
      <c r="S375" s="14"/>
      <c r="T375" s="9"/>
    </row>
    <row r="376" spans="1:20" x14ac:dyDescent="0.35">
      <c r="A376" s="4">
        <v>374</v>
      </c>
      <c r="B376" s="2">
        <v>43279</v>
      </c>
      <c r="C376" s="1">
        <v>261.57</v>
      </c>
      <c r="D376" s="1">
        <v>263.95999999999998</v>
      </c>
      <c r="E376" s="1">
        <v>260.79000000000002</v>
      </c>
      <c r="F376" s="1">
        <v>263.12</v>
      </c>
      <c r="G376" s="1" t="str">
        <f>IF(testdata[[#This Row],[high]]&gt;MAX(D372:D375,D377:D380),testdata[[#This Row],[high]],"")</f>
        <v/>
      </c>
      <c r="H376" s="14"/>
      <c r="I376" s="9"/>
      <c r="J376" s="1">
        <f>IF(testdata[[#This Row],[low]]&lt;MIN(E372:E375,E377:E380),testdata[[#This Row],[low]],"")</f>
        <v>260.79000000000002</v>
      </c>
      <c r="K376" s="14"/>
      <c r="L376" s="9"/>
      <c r="N376" s="2">
        <v>43279</v>
      </c>
      <c r="O376" s="1"/>
      <c r="P376" s="14"/>
      <c r="Q376" s="9"/>
      <c r="R376" s="1">
        <v>260.79000000000002</v>
      </c>
      <c r="S376" s="14"/>
      <c r="T376" s="9"/>
    </row>
    <row r="377" spans="1:20" x14ac:dyDescent="0.35">
      <c r="A377" s="4">
        <v>375</v>
      </c>
      <c r="B377" s="2">
        <v>43280</v>
      </c>
      <c r="C377" s="1">
        <v>264.32</v>
      </c>
      <c r="D377" s="1">
        <v>265.81</v>
      </c>
      <c r="E377" s="1">
        <v>263.37</v>
      </c>
      <c r="F377" s="1">
        <v>263.5</v>
      </c>
      <c r="G377" s="1" t="str">
        <f>IF(testdata[[#This Row],[high]]&gt;MAX(D373:D376,D378:D381),testdata[[#This Row],[high]],"")</f>
        <v/>
      </c>
      <c r="H377" s="14"/>
      <c r="I377" s="9"/>
      <c r="J377" s="1" t="str">
        <f>IF(testdata[[#This Row],[low]]&lt;MIN(E373:E376,E378:E381),testdata[[#This Row],[low]],"")</f>
        <v/>
      </c>
      <c r="K377" s="14"/>
      <c r="L377" s="9"/>
      <c r="N377" s="2">
        <v>43280</v>
      </c>
      <c r="O377" s="1"/>
      <c r="P377" s="14"/>
      <c r="Q377" s="9"/>
      <c r="R377" s="1"/>
      <c r="S377" s="14"/>
      <c r="T377" s="9"/>
    </row>
    <row r="378" spans="1:20" x14ac:dyDescent="0.35">
      <c r="A378" s="4">
        <v>376</v>
      </c>
      <c r="B378" s="2">
        <v>43283</v>
      </c>
      <c r="C378" s="1">
        <v>261.77999999999997</v>
      </c>
      <c r="D378" s="1">
        <v>264.24</v>
      </c>
      <c r="E378" s="1">
        <v>261.52</v>
      </c>
      <c r="F378" s="1">
        <v>264.06</v>
      </c>
      <c r="G378" s="1" t="str">
        <f>IF(testdata[[#This Row],[high]]&gt;MAX(D374:D377,D379:D382),testdata[[#This Row],[high]],"")</f>
        <v/>
      </c>
      <c r="H378" s="14"/>
      <c r="I378" s="9"/>
      <c r="J378" s="1" t="str">
        <f>IF(testdata[[#This Row],[low]]&lt;MIN(E374:E377,E379:E382),testdata[[#This Row],[low]],"")</f>
        <v/>
      </c>
      <c r="K378" s="14"/>
      <c r="L378" s="9"/>
      <c r="N378" s="2">
        <v>43283</v>
      </c>
      <c r="O378" s="1"/>
      <c r="P378" s="14"/>
      <c r="Q378" s="9"/>
      <c r="R378" s="1"/>
      <c r="S378" s="14"/>
      <c r="T378" s="9"/>
    </row>
    <row r="379" spans="1:20" x14ac:dyDescent="0.35">
      <c r="A379" s="4">
        <v>377</v>
      </c>
      <c r="B379" s="2">
        <v>43284</v>
      </c>
      <c r="C379" s="1">
        <v>265.05</v>
      </c>
      <c r="D379" s="1">
        <v>265.14999999999998</v>
      </c>
      <c r="E379" s="1">
        <v>262.67</v>
      </c>
      <c r="F379" s="1">
        <v>263.13</v>
      </c>
      <c r="G379" s="1" t="str">
        <f>IF(testdata[[#This Row],[high]]&gt;MAX(D375:D378,D380:D383),testdata[[#This Row],[high]],"")</f>
        <v/>
      </c>
      <c r="H379" s="14"/>
      <c r="I379" s="9"/>
      <c r="J379" s="1" t="str">
        <f>IF(testdata[[#This Row],[low]]&lt;MIN(E375:E378,E380:E383),testdata[[#This Row],[low]],"")</f>
        <v/>
      </c>
      <c r="K379" s="14"/>
      <c r="L379" s="9"/>
      <c r="N379" s="2">
        <v>43284</v>
      </c>
      <c r="O379" s="1"/>
      <c r="P379" s="14"/>
      <c r="Q379" s="9"/>
      <c r="R379" s="1"/>
      <c r="S379" s="14"/>
      <c r="T379" s="9"/>
    </row>
    <row r="380" spans="1:20" x14ac:dyDescent="0.35">
      <c r="A380" s="4">
        <v>378</v>
      </c>
      <c r="B380" s="2">
        <v>43286</v>
      </c>
      <c r="C380" s="1">
        <v>264.36</v>
      </c>
      <c r="D380" s="1">
        <v>265.35000000000002</v>
      </c>
      <c r="E380" s="1">
        <v>263.19</v>
      </c>
      <c r="F380" s="1">
        <v>265.27999999999997</v>
      </c>
      <c r="G380" s="1" t="str">
        <f>IF(testdata[[#This Row],[high]]&gt;MAX(D376:D379,D381:D384),testdata[[#This Row],[high]],"")</f>
        <v/>
      </c>
      <c r="H380" s="14"/>
      <c r="I380" s="9"/>
      <c r="J380" s="1" t="str">
        <f>IF(testdata[[#This Row],[low]]&lt;MIN(E376:E379,E381:E384),testdata[[#This Row],[low]],"")</f>
        <v/>
      </c>
      <c r="K380" s="14"/>
      <c r="L380" s="9"/>
      <c r="N380" s="2">
        <v>43286</v>
      </c>
      <c r="O380" s="1"/>
      <c r="P380" s="14"/>
      <c r="Q380" s="9"/>
      <c r="R380" s="1"/>
      <c r="S380" s="14"/>
      <c r="T380" s="9"/>
    </row>
    <row r="381" spans="1:20" x14ac:dyDescent="0.35">
      <c r="A381" s="4">
        <v>379</v>
      </c>
      <c r="B381" s="2">
        <v>43287</v>
      </c>
      <c r="C381" s="1">
        <v>265.31</v>
      </c>
      <c r="D381" s="1">
        <v>267.93</v>
      </c>
      <c r="E381" s="1">
        <v>264.89</v>
      </c>
      <c r="F381" s="1">
        <v>267.52</v>
      </c>
      <c r="G381" s="1" t="str">
        <f>IF(testdata[[#This Row],[high]]&gt;MAX(D377:D380,D382:D385),testdata[[#This Row],[high]],"")</f>
        <v/>
      </c>
      <c r="H381" s="14"/>
      <c r="I381" s="9"/>
      <c r="J381" s="1" t="str">
        <f>IF(testdata[[#This Row],[low]]&lt;MIN(E377:E380,E382:E385),testdata[[#This Row],[low]],"")</f>
        <v/>
      </c>
      <c r="K381" s="14"/>
      <c r="L381" s="9"/>
      <c r="N381" s="2">
        <v>43287</v>
      </c>
      <c r="O381" s="1"/>
      <c r="P381" s="14"/>
      <c r="Q381" s="9"/>
      <c r="R381" s="1"/>
      <c r="S381" s="14"/>
      <c r="T381" s="9"/>
    </row>
    <row r="382" spans="1:20" x14ac:dyDescent="0.35">
      <c r="A382" s="4">
        <v>380</v>
      </c>
      <c r="B382" s="2">
        <v>43290</v>
      </c>
      <c r="C382" s="1">
        <v>268.62</v>
      </c>
      <c r="D382" s="1">
        <v>269.99</v>
      </c>
      <c r="E382" s="1">
        <v>268.57</v>
      </c>
      <c r="F382" s="1">
        <v>269.93</v>
      </c>
      <c r="G382" s="1" t="str">
        <f>IF(testdata[[#This Row],[high]]&gt;MAX(D378:D381,D383:D386),testdata[[#This Row],[high]],"")</f>
        <v/>
      </c>
      <c r="H382" s="14"/>
      <c r="I382" s="9"/>
      <c r="J382" s="1" t="str">
        <f>IF(testdata[[#This Row],[low]]&lt;MIN(E378:E381,E383:E386),testdata[[#This Row],[low]],"")</f>
        <v/>
      </c>
      <c r="K382" s="14"/>
      <c r="L382" s="9"/>
      <c r="N382" s="2">
        <v>43290</v>
      </c>
      <c r="O382" s="1"/>
      <c r="P382" s="14"/>
      <c r="Q382" s="9"/>
      <c r="R382" s="1"/>
      <c r="S382" s="14"/>
      <c r="T382" s="9"/>
    </row>
    <row r="383" spans="1:20" x14ac:dyDescent="0.35">
      <c r="A383" s="4">
        <v>381</v>
      </c>
      <c r="B383" s="2">
        <v>43291</v>
      </c>
      <c r="C383" s="1">
        <v>270.43</v>
      </c>
      <c r="D383" s="1">
        <v>271.01</v>
      </c>
      <c r="E383" s="1">
        <v>270.11</v>
      </c>
      <c r="F383" s="1">
        <v>270.89999999999998</v>
      </c>
      <c r="G383" s="1" t="str">
        <f>IF(testdata[[#This Row],[high]]&gt;MAX(D379:D382,D384:D387),testdata[[#This Row],[high]],"")</f>
        <v/>
      </c>
      <c r="H383" s="14"/>
      <c r="I383" s="9"/>
      <c r="J383" s="1" t="str">
        <f>IF(testdata[[#This Row],[low]]&lt;MIN(E379:E382,E384:E387),testdata[[#This Row],[low]],"")</f>
        <v/>
      </c>
      <c r="K383" s="14"/>
      <c r="L383" s="9"/>
      <c r="N383" s="2">
        <v>43291</v>
      </c>
      <c r="O383" s="1"/>
      <c r="P383" s="14"/>
      <c r="Q383" s="9"/>
      <c r="R383" s="1"/>
      <c r="S383" s="14"/>
      <c r="T383" s="9"/>
    </row>
    <row r="384" spans="1:20" x14ac:dyDescent="0.35">
      <c r="A384" s="4">
        <v>382</v>
      </c>
      <c r="B384" s="2">
        <v>43292</v>
      </c>
      <c r="C384" s="1">
        <v>269.2</v>
      </c>
      <c r="D384" s="1">
        <v>270.07</v>
      </c>
      <c r="E384" s="1">
        <v>268.58999999999997</v>
      </c>
      <c r="F384" s="1">
        <v>268.92</v>
      </c>
      <c r="G384" s="1" t="str">
        <f>IF(testdata[[#This Row],[high]]&gt;MAX(D380:D383,D385:D388),testdata[[#This Row],[high]],"")</f>
        <v/>
      </c>
      <c r="H384" s="14"/>
      <c r="I384" s="9"/>
      <c r="J384" s="1" t="str">
        <f>IF(testdata[[#This Row],[low]]&lt;MIN(E380:E383,E385:E388),testdata[[#This Row],[low]],"")</f>
        <v/>
      </c>
      <c r="K384" s="14"/>
      <c r="L384" s="9"/>
      <c r="N384" s="2">
        <v>43292</v>
      </c>
      <c r="O384" s="1"/>
      <c r="P384" s="14"/>
      <c r="Q384" s="9"/>
      <c r="R384" s="1"/>
      <c r="S384" s="14"/>
      <c r="T384" s="9"/>
    </row>
    <row r="385" spans="1:20" x14ac:dyDescent="0.35">
      <c r="A385" s="4">
        <v>383</v>
      </c>
      <c r="B385" s="2">
        <v>43293</v>
      </c>
      <c r="C385" s="1">
        <v>270.3</v>
      </c>
      <c r="D385" s="1">
        <v>271.42</v>
      </c>
      <c r="E385" s="1">
        <v>269.64</v>
      </c>
      <c r="F385" s="1">
        <v>271.36</v>
      </c>
      <c r="G385" s="1" t="str">
        <f>IF(testdata[[#This Row],[high]]&gt;MAX(D381:D384,D386:D389),testdata[[#This Row],[high]],"")</f>
        <v/>
      </c>
      <c r="H385" s="14"/>
      <c r="I385" s="9"/>
      <c r="J385" s="1" t="str">
        <f>IF(testdata[[#This Row],[low]]&lt;MIN(E381:E384,E386:E389),testdata[[#This Row],[low]],"")</f>
        <v/>
      </c>
      <c r="K385" s="14"/>
      <c r="L385" s="9"/>
      <c r="N385" s="2">
        <v>43293</v>
      </c>
      <c r="O385" s="1"/>
      <c r="P385" s="14"/>
      <c r="Q385" s="9"/>
      <c r="R385" s="1"/>
      <c r="S385" s="14"/>
      <c r="T385" s="9"/>
    </row>
    <row r="386" spans="1:20" x14ac:dyDescent="0.35">
      <c r="A386" s="4">
        <v>384</v>
      </c>
      <c r="B386" s="2">
        <v>43294</v>
      </c>
      <c r="C386" s="1">
        <v>271.16000000000003</v>
      </c>
      <c r="D386" s="1">
        <v>271.89999999999998</v>
      </c>
      <c r="E386" s="1">
        <v>270.67</v>
      </c>
      <c r="F386" s="1">
        <v>271.57</v>
      </c>
      <c r="G386" s="1" t="str">
        <f>IF(testdata[[#This Row],[high]]&gt;MAX(D382:D385,D387:D390),testdata[[#This Row],[high]],"")</f>
        <v/>
      </c>
      <c r="H386" s="14"/>
      <c r="I386" s="9"/>
      <c r="J386" s="1" t="str">
        <f>IF(testdata[[#This Row],[low]]&lt;MIN(E382:E385,E387:E390),testdata[[#This Row],[low]],"")</f>
        <v/>
      </c>
      <c r="K386" s="14"/>
      <c r="L386" s="9"/>
      <c r="N386" s="2">
        <v>43294</v>
      </c>
      <c r="O386" s="1"/>
      <c r="P386" s="14"/>
      <c r="Q386" s="9"/>
      <c r="R386" s="1"/>
      <c r="S386" s="14"/>
      <c r="T386" s="9"/>
    </row>
    <row r="387" spans="1:20" x14ac:dyDescent="0.35">
      <c r="A387" s="4">
        <v>385</v>
      </c>
      <c r="B387" s="2">
        <v>43297</v>
      </c>
      <c r="C387" s="1">
        <v>271.62</v>
      </c>
      <c r="D387" s="1">
        <v>271.77999999999997</v>
      </c>
      <c r="E387" s="1">
        <v>270.83999999999997</v>
      </c>
      <c r="F387" s="1">
        <v>271.33</v>
      </c>
      <c r="G387" s="1" t="str">
        <f>IF(testdata[[#This Row],[high]]&gt;MAX(D383:D386,D388:D391),testdata[[#This Row],[high]],"")</f>
        <v/>
      </c>
      <c r="H387" s="14"/>
      <c r="I387" s="9"/>
      <c r="J387" s="1" t="str">
        <f>IF(testdata[[#This Row],[low]]&lt;MIN(E383:E386,E388:E391),testdata[[#This Row],[low]],"")</f>
        <v/>
      </c>
      <c r="K387" s="14"/>
      <c r="L387" s="9"/>
      <c r="N387" s="2">
        <v>43297</v>
      </c>
      <c r="O387" s="1"/>
      <c r="P387" s="14"/>
      <c r="Q387" s="9"/>
      <c r="R387" s="1"/>
      <c r="S387" s="14"/>
      <c r="T387" s="9"/>
    </row>
    <row r="388" spans="1:20" x14ac:dyDescent="0.35">
      <c r="A388" s="4">
        <v>386</v>
      </c>
      <c r="B388" s="2">
        <v>43298</v>
      </c>
      <c r="C388" s="1">
        <v>270.48</v>
      </c>
      <c r="D388" s="1">
        <v>272.85000000000002</v>
      </c>
      <c r="E388" s="1">
        <v>270.43</v>
      </c>
      <c r="F388" s="1">
        <v>272.43</v>
      </c>
      <c r="G388" s="1" t="str">
        <f>IF(testdata[[#This Row],[high]]&gt;MAX(D384:D387,D389:D392),testdata[[#This Row],[high]],"")</f>
        <v/>
      </c>
      <c r="H388" s="14"/>
      <c r="I388" s="9"/>
      <c r="J388" s="1" t="str">
        <f>IF(testdata[[#This Row],[low]]&lt;MIN(E384:E387,E389:E392),testdata[[#This Row],[low]],"")</f>
        <v/>
      </c>
      <c r="K388" s="14"/>
      <c r="L388" s="9"/>
      <c r="N388" s="2">
        <v>43298</v>
      </c>
      <c r="O388" s="1"/>
      <c r="P388" s="14"/>
      <c r="Q388" s="9"/>
      <c r="R388" s="1"/>
      <c r="S388" s="14"/>
      <c r="T388" s="9"/>
    </row>
    <row r="389" spans="1:20" x14ac:dyDescent="0.35">
      <c r="A389" s="4">
        <v>387</v>
      </c>
      <c r="B389" s="2">
        <v>43299</v>
      </c>
      <c r="C389" s="1">
        <v>272.51</v>
      </c>
      <c r="D389" s="1">
        <v>273.12</v>
      </c>
      <c r="E389" s="1">
        <v>272.02999999999997</v>
      </c>
      <c r="F389" s="1">
        <v>273</v>
      </c>
      <c r="G389" s="1" t="str">
        <f>IF(testdata[[#This Row],[high]]&gt;MAX(D385:D388,D390:D393),testdata[[#This Row],[high]],"")</f>
        <v/>
      </c>
      <c r="H389" s="14"/>
      <c r="I389" s="9"/>
      <c r="J389" s="1" t="str">
        <f>IF(testdata[[#This Row],[low]]&lt;MIN(E385:E388,E390:E393),testdata[[#This Row],[low]],"")</f>
        <v/>
      </c>
      <c r="K389" s="14"/>
      <c r="L389" s="9"/>
      <c r="N389" s="2">
        <v>43299</v>
      </c>
      <c r="O389" s="1"/>
      <c r="P389" s="14"/>
      <c r="Q389" s="9"/>
      <c r="R389" s="1"/>
      <c r="S389" s="14"/>
      <c r="T389" s="9"/>
    </row>
    <row r="390" spans="1:20" x14ac:dyDescent="0.35">
      <c r="A390" s="4">
        <v>388</v>
      </c>
      <c r="B390" s="2">
        <v>43300</v>
      </c>
      <c r="C390" s="1">
        <v>272.27</v>
      </c>
      <c r="D390" s="1">
        <v>272.69</v>
      </c>
      <c r="E390" s="1">
        <v>271.45</v>
      </c>
      <c r="F390" s="1">
        <v>271.97000000000003</v>
      </c>
      <c r="G390" s="1" t="str">
        <f>IF(testdata[[#This Row],[high]]&gt;MAX(D386:D389,D391:D394),testdata[[#This Row],[high]],"")</f>
        <v/>
      </c>
      <c r="H390" s="14"/>
      <c r="I390" s="9"/>
      <c r="J390" s="1" t="str">
        <f>IF(testdata[[#This Row],[low]]&lt;MIN(E386:E389,E391:E394),testdata[[#This Row],[low]],"")</f>
        <v/>
      </c>
      <c r="K390" s="14"/>
      <c r="L390" s="9"/>
      <c r="N390" s="2">
        <v>43300</v>
      </c>
      <c r="O390" s="1"/>
      <c r="P390" s="14"/>
      <c r="Q390" s="9"/>
      <c r="R390" s="1"/>
      <c r="S390" s="14"/>
      <c r="T390" s="9"/>
    </row>
    <row r="391" spans="1:20" x14ac:dyDescent="0.35">
      <c r="A391" s="4">
        <v>389</v>
      </c>
      <c r="B391" s="2">
        <v>43301</v>
      </c>
      <c r="C391" s="1">
        <v>271.75</v>
      </c>
      <c r="D391" s="1">
        <v>272.44</v>
      </c>
      <c r="E391" s="1">
        <v>271.48</v>
      </c>
      <c r="F391" s="1">
        <v>271.66000000000003</v>
      </c>
      <c r="G391" s="1" t="str">
        <f>IF(testdata[[#This Row],[high]]&gt;MAX(D387:D390,D392:D395),testdata[[#This Row],[high]],"")</f>
        <v/>
      </c>
      <c r="H391" s="14"/>
      <c r="I391" s="9"/>
      <c r="J391" s="1" t="str">
        <f>IF(testdata[[#This Row],[low]]&lt;MIN(E387:E390,E392:E395),testdata[[#This Row],[low]],"")</f>
        <v/>
      </c>
      <c r="K391" s="14"/>
      <c r="L391" s="9"/>
      <c r="N391" s="2">
        <v>43301</v>
      </c>
      <c r="O391" s="1"/>
      <c r="P391" s="14"/>
      <c r="Q391" s="9"/>
      <c r="R391" s="1"/>
      <c r="S391" s="14"/>
      <c r="T391" s="9"/>
    </row>
    <row r="392" spans="1:20" x14ac:dyDescent="0.35">
      <c r="A392" s="4">
        <v>390</v>
      </c>
      <c r="B392" s="2">
        <v>43304</v>
      </c>
      <c r="C392" s="1">
        <v>271.44</v>
      </c>
      <c r="D392" s="1">
        <v>272.39</v>
      </c>
      <c r="E392" s="1">
        <v>271.06</v>
      </c>
      <c r="F392" s="1">
        <v>272.16000000000003</v>
      </c>
      <c r="G392" s="1" t="str">
        <f>IF(testdata[[#This Row],[high]]&gt;MAX(D388:D391,D393:D396),testdata[[#This Row],[high]],"")</f>
        <v/>
      </c>
      <c r="H392" s="14"/>
      <c r="I392" s="9"/>
      <c r="J392" s="1" t="str">
        <f>IF(testdata[[#This Row],[low]]&lt;MIN(E388:E391,E393:E396),testdata[[#This Row],[low]],"")</f>
        <v/>
      </c>
      <c r="K392" s="14"/>
      <c r="L392" s="9"/>
      <c r="N392" s="2">
        <v>43304</v>
      </c>
      <c r="O392" s="1"/>
      <c r="P392" s="14"/>
      <c r="Q392" s="9"/>
      <c r="R392" s="1"/>
      <c r="S392" s="14"/>
      <c r="T392" s="9"/>
    </row>
    <row r="393" spans="1:20" x14ac:dyDescent="0.35">
      <c r="A393" s="4">
        <v>391</v>
      </c>
      <c r="B393" s="2">
        <v>43305</v>
      </c>
      <c r="C393" s="1">
        <v>273.70999999999998</v>
      </c>
      <c r="D393" s="1">
        <v>274.45999999999998</v>
      </c>
      <c r="E393" s="1">
        <v>272.58</v>
      </c>
      <c r="F393" s="1">
        <v>273.52999999999997</v>
      </c>
      <c r="G393" s="1" t="str">
        <f>IF(testdata[[#This Row],[high]]&gt;MAX(D389:D392,D394:D397),testdata[[#This Row],[high]],"")</f>
        <v/>
      </c>
      <c r="H393" s="14"/>
      <c r="I393" s="9"/>
      <c r="J393" s="1" t="str">
        <f>IF(testdata[[#This Row],[low]]&lt;MIN(E389:E392,E394:E397),testdata[[#This Row],[low]],"")</f>
        <v/>
      </c>
      <c r="K393" s="14"/>
      <c r="L393" s="9"/>
      <c r="N393" s="2">
        <v>43305</v>
      </c>
      <c r="O393" s="1"/>
      <c r="P393" s="14"/>
      <c r="Q393" s="9"/>
      <c r="R393" s="1"/>
      <c r="S393" s="14"/>
      <c r="T393" s="9"/>
    </row>
    <row r="394" spans="1:20" x14ac:dyDescent="0.35">
      <c r="A394" s="4">
        <v>392</v>
      </c>
      <c r="B394" s="2">
        <v>43306</v>
      </c>
      <c r="C394" s="1">
        <v>273.26</v>
      </c>
      <c r="D394" s="1">
        <v>276.22000000000003</v>
      </c>
      <c r="E394" s="1">
        <v>273.20999999999998</v>
      </c>
      <c r="F394" s="1">
        <v>275.87</v>
      </c>
      <c r="G394" s="1">
        <f>IF(testdata[[#This Row],[high]]&gt;MAX(D390:D393,D395:D398),testdata[[#This Row],[high]],"")</f>
        <v>276.22000000000003</v>
      </c>
      <c r="H394" s="14"/>
      <c r="I394" s="9">
        <f>testdata[[#This Row],[Hpoint]]</f>
        <v>276.22000000000003</v>
      </c>
      <c r="J394" s="1" t="str">
        <f>IF(testdata[[#This Row],[low]]&lt;MIN(E390:E393,E395:E398),testdata[[#This Row],[low]],"")</f>
        <v/>
      </c>
      <c r="K394" s="14"/>
      <c r="L394" s="9"/>
      <c r="N394" s="2">
        <v>43306</v>
      </c>
      <c r="O394" s="1">
        <v>276.22000000000003</v>
      </c>
      <c r="P394" s="14"/>
      <c r="Q394" s="9">
        <v>276.22000000000003</v>
      </c>
      <c r="R394" s="1"/>
      <c r="S394" s="14"/>
      <c r="T394" s="9"/>
    </row>
    <row r="395" spans="1:20" x14ac:dyDescent="0.35">
      <c r="A395" s="4">
        <v>393</v>
      </c>
      <c r="B395" s="2">
        <v>43307</v>
      </c>
      <c r="C395" s="1">
        <v>275.08</v>
      </c>
      <c r="D395" s="1">
        <v>275.95999999999998</v>
      </c>
      <c r="E395" s="1">
        <v>274.97000000000003</v>
      </c>
      <c r="F395" s="1">
        <v>275.20999999999998</v>
      </c>
      <c r="G395" s="1" t="str">
        <f>IF(testdata[[#This Row],[high]]&gt;MAX(D391:D394,D396:D399),testdata[[#This Row],[high]],"")</f>
        <v/>
      </c>
      <c r="H395" s="14" t="s">
        <v>7</v>
      </c>
      <c r="I395" s="10">
        <f t="shared" ref="I395:I402" ca="1" si="25">AVERAGE(I394,I396)</f>
        <v>276.39666666666659</v>
      </c>
      <c r="J395" s="1" t="str">
        <f>IF(testdata[[#This Row],[low]]&lt;MIN(E391:E394,E396:E399),testdata[[#This Row],[low]],"")</f>
        <v/>
      </c>
      <c r="K395" s="14"/>
      <c r="L395" s="9"/>
      <c r="N395" s="2">
        <v>43307</v>
      </c>
      <c r="O395" s="1"/>
      <c r="P395" s="14" t="s">
        <v>7</v>
      </c>
      <c r="Q395" s="10">
        <v>276.39670000000001</v>
      </c>
      <c r="R395" s="1"/>
      <c r="S395" s="14"/>
      <c r="T395" s="9"/>
    </row>
    <row r="396" spans="1:20" x14ac:dyDescent="0.35">
      <c r="A396" s="4">
        <v>394</v>
      </c>
      <c r="B396" s="2">
        <v>43308</v>
      </c>
      <c r="C396" s="1">
        <v>275.57</v>
      </c>
      <c r="D396" s="1">
        <v>275.68</v>
      </c>
      <c r="E396" s="1">
        <v>272.33999999999997</v>
      </c>
      <c r="F396" s="1">
        <v>273.35000000000002</v>
      </c>
      <c r="G396" s="1" t="str">
        <f>IF(testdata[[#This Row],[high]]&gt;MAX(D392:D395,D397:D400),testdata[[#This Row],[high]],"")</f>
        <v/>
      </c>
      <c r="H396" s="14" t="s">
        <v>7</v>
      </c>
      <c r="I396" s="10">
        <f t="shared" ca="1" si="25"/>
        <v>276.57333333333315</v>
      </c>
      <c r="J396" s="1" t="str">
        <f>IF(testdata[[#This Row],[low]]&lt;MIN(E392:E395,E397:E400),testdata[[#This Row],[low]],"")</f>
        <v/>
      </c>
      <c r="K396" s="14"/>
      <c r="L396" s="9"/>
      <c r="N396" s="2">
        <v>43308</v>
      </c>
      <c r="O396" s="1"/>
      <c r="P396" s="14" t="s">
        <v>7</v>
      </c>
      <c r="Q396" s="10">
        <v>276.57330000000002</v>
      </c>
      <c r="R396" s="1"/>
      <c r="S396" s="14"/>
      <c r="T396" s="9"/>
    </row>
    <row r="397" spans="1:20" x14ac:dyDescent="0.35">
      <c r="A397" s="4">
        <v>395</v>
      </c>
      <c r="B397" s="2">
        <v>43311</v>
      </c>
      <c r="C397" s="1">
        <v>273.44</v>
      </c>
      <c r="D397" s="1">
        <v>273.61</v>
      </c>
      <c r="E397" s="1">
        <v>271.35000000000002</v>
      </c>
      <c r="F397" s="1">
        <v>271.92</v>
      </c>
      <c r="G397" s="1" t="str">
        <f>IF(testdata[[#This Row],[high]]&gt;MAX(D393:D396,D398:D401),testdata[[#This Row],[high]],"")</f>
        <v/>
      </c>
      <c r="H397" s="14" t="s">
        <v>7</v>
      </c>
      <c r="I397" s="10">
        <f t="shared" ca="1" si="25"/>
        <v>276.74999999999977</v>
      </c>
      <c r="J397" s="1" t="str">
        <f>IF(testdata[[#This Row],[low]]&lt;MIN(E393:E396,E398:E401),testdata[[#This Row],[low]],"")</f>
        <v/>
      </c>
      <c r="K397" s="14"/>
      <c r="L397" s="9"/>
      <c r="N397" s="2">
        <v>43311</v>
      </c>
      <c r="O397" s="1"/>
      <c r="P397" s="14" t="s">
        <v>7</v>
      </c>
      <c r="Q397" s="10">
        <v>276.75</v>
      </c>
      <c r="R397" s="1"/>
      <c r="S397" s="14"/>
      <c r="T397" s="9"/>
    </row>
    <row r="398" spans="1:20" x14ac:dyDescent="0.35">
      <c r="A398" s="4">
        <v>396</v>
      </c>
      <c r="B398" s="2">
        <v>43312</v>
      </c>
      <c r="C398" s="1">
        <v>272.76</v>
      </c>
      <c r="D398" s="1">
        <v>273.93</v>
      </c>
      <c r="E398" s="1">
        <v>272.33999999999997</v>
      </c>
      <c r="F398" s="1">
        <v>273.26</v>
      </c>
      <c r="G398" s="1" t="str">
        <f>IF(testdata[[#This Row],[high]]&gt;MAX(D394:D397,D399:D402),testdata[[#This Row],[high]],"")</f>
        <v/>
      </c>
      <c r="H398" s="14" t="s">
        <v>7</v>
      </c>
      <c r="I398" s="10">
        <f t="shared" ca="1" si="25"/>
        <v>276.92666666666639</v>
      </c>
      <c r="J398" s="1" t="str">
        <f>IF(testdata[[#This Row],[low]]&lt;MIN(E394:E397,E399:E402),testdata[[#This Row],[low]],"")</f>
        <v/>
      </c>
      <c r="K398" s="14"/>
      <c r="L398" s="9"/>
      <c r="N398" s="2">
        <v>43312</v>
      </c>
      <c r="O398" s="1"/>
      <c r="P398" s="14" t="s">
        <v>7</v>
      </c>
      <c r="Q398" s="10">
        <v>276.92669999999998</v>
      </c>
      <c r="R398" s="1"/>
      <c r="S398" s="14"/>
      <c r="T398" s="9"/>
    </row>
    <row r="399" spans="1:20" x14ac:dyDescent="0.35">
      <c r="A399" s="4">
        <v>397</v>
      </c>
      <c r="B399" s="2">
        <v>43313</v>
      </c>
      <c r="C399" s="1">
        <v>273.49</v>
      </c>
      <c r="D399" s="1">
        <v>274.04000000000002</v>
      </c>
      <c r="E399" s="1">
        <v>272.10000000000002</v>
      </c>
      <c r="F399" s="1">
        <v>272.81</v>
      </c>
      <c r="G399" s="1" t="str">
        <f>IF(testdata[[#This Row],[high]]&gt;MAX(D395:D398,D400:D403),testdata[[#This Row],[high]],"")</f>
        <v/>
      </c>
      <c r="H399" s="14" t="s">
        <v>7</v>
      </c>
      <c r="I399" s="10">
        <f t="shared" ca="1" si="25"/>
        <v>277.10333333333307</v>
      </c>
      <c r="J399" s="1" t="str">
        <f>IF(testdata[[#This Row],[low]]&lt;MIN(E395:E398,E400:E403),testdata[[#This Row],[low]],"")</f>
        <v/>
      </c>
      <c r="K399" s="14"/>
      <c r="L399" s="9"/>
      <c r="N399" s="2">
        <v>43313</v>
      </c>
      <c r="O399" s="1"/>
      <c r="P399" s="14" t="s">
        <v>7</v>
      </c>
      <c r="Q399" s="10">
        <v>277.10329999999999</v>
      </c>
      <c r="R399" s="1"/>
      <c r="S399" s="14"/>
      <c r="T399" s="9"/>
    </row>
    <row r="400" spans="1:20" x14ac:dyDescent="0.35">
      <c r="A400" s="4">
        <v>398</v>
      </c>
      <c r="B400" s="2">
        <v>43314</v>
      </c>
      <c r="C400" s="1">
        <v>271.38</v>
      </c>
      <c r="D400" s="1">
        <v>274.48</v>
      </c>
      <c r="E400" s="1">
        <v>271.14999999999998</v>
      </c>
      <c r="F400" s="1">
        <v>274.29000000000002</v>
      </c>
      <c r="G400" s="1" t="str">
        <f>IF(testdata[[#This Row],[high]]&gt;MAX(D396:D399,D401:D404),testdata[[#This Row],[high]],"")</f>
        <v/>
      </c>
      <c r="H400" s="14" t="s">
        <v>7</v>
      </c>
      <c r="I400" s="10">
        <f t="shared" ca="1" si="25"/>
        <v>277.27999999999975</v>
      </c>
      <c r="J400" s="1">
        <f>IF(testdata[[#This Row],[low]]&lt;MIN(E396:E399,E401:E404),testdata[[#This Row],[low]],"")</f>
        <v>271.14999999999998</v>
      </c>
      <c r="K400" s="14"/>
      <c r="L400" s="9">
        <f>testdata[[#This Row],[Lpoint]]</f>
        <v>271.14999999999998</v>
      </c>
      <c r="N400" s="2">
        <v>43314</v>
      </c>
      <c r="O400" s="1"/>
      <c r="P400" s="14" t="s">
        <v>7</v>
      </c>
      <c r="Q400" s="10">
        <v>277.27999999999997</v>
      </c>
      <c r="R400" s="1">
        <v>271.14999999999998</v>
      </c>
      <c r="S400" s="14"/>
      <c r="T400" s="9">
        <v>271.14999999999998</v>
      </c>
    </row>
    <row r="401" spans="1:20" x14ac:dyDescent="0.35">
      <c r="A401" s="4">
        <v>399</v>
      </c>
      <c r="B401" s="2">
        <v>43315</v>
      </c>
      <c r="C401" s="1">
        <v>274.43</v>
      </c>
      <c r="D401" s="1">
        <v>275.52</v>
      </c>
      <c r="E401" s="1">
        <v>274.23</v>
      </c>
      <c r="F401" s="1">
        <v>275.47000000000003</v>
      </c>
      <c r="G401" s="1" t="str">
        <f>IF(testdata[[#This Row],[high]]&gt;MAX(D397:D400,D402:D405),testdata[[#This Row],[high]],"")</f>
        <v/>
      </c>
      <c r="H401" s="14" t="s">
        <v>7</v>
      </c>
      <c r="I401" s="10">
        <f t="shared" ca="1" si="25"/>
        <v>277.45666666666648</v>
      </c>
      <c r="J401" s="1" t="str">
        <f>IF(testdata[[#This Row],[low]]&lt;MIN(E397:E400,E402:E405),testdata[[#This Row],[low]],"")</f>
        <v/>
      </c>
      <c r="K401" s="14" t="s">
        <v>8</v>
      </c>
      <c r="L401" s="10">
        <f t="shared" ref="L401:L408" ca="1" si="26">AVERAGE(L400,L402)</f>
        <v>271.25888888888875</v>
      </c>
      <c r="N401" s="2">
        <v>43315</v>
      </c>
      <c r="O401" s="1"/>
      <c r="P401" s="14" t="s">
        <v>7</v>
      </c>
      <c r="Q401" s="10">
        <v>277.45670000000001</v>
      </c>
      <c r="R401" s="1"/>
      <c r="S401" s="14" t="s">
        <v>8</v>
      </c>
      <c r="T401" s="10">
        <v>271.25889999999998</v>
      </c>
    </row>
    <row r="402" spans="1:20" x14ac:dyDescent="0.35">
      <c r="A402" s="4">
        <v>400</v>
      </c>
      <c r="B402" s="2">
        <v>43318</v>
      </c>
      <c r="C402" s="1">
        <v>275.51</v>
      </c>
      <c r="D402" s="1">
        <v>276.82</v>
      </c>
      <c r="E402" s="1">
        <v>275.08</v>
      </c>
      <c r="F402" s="1">
        <v>276.48</v>
      </c>
      <c r="G402" s="1" t="str">
        <f>IF(testdata[[#This Row],[high]]&gt;MAX(D398:D401,D403:D406),testdata[[#This Row],[high]],"")</f>
        <v/>
      </c>
      <c r="H402" s="14" t="s">
        <v>7</v>
      </c>
      <c r="I402" s="10">
        <f t="shared" ca="1" si="25"/>
        <v>277.63333333333321</v>
      </c>
      <c r="J402" s="1" t="str">
        <f>IF(testdata[[#This Row],[low]]&lt;MIN(E398:E401,E403:E406),testdata[[#This Row],[low]],"")</f>
        <v/>
      </c>
      <c r="K402" s="14" t="s">
        <v>8</v>
      </c>
      <c r="L402" s="10">
        <f t="shared" ca="1" si="26"/>
        <v>271.36777777777752</v>
      </c>
      <c r="N402" s="2">
        <v>43318</v>
      </c>
      <c r="O402" s="1"/>
      <c r="P402" s="14" t="s">
        <v>7</v>
      </c>
      <c r="Q402" s="10">
        <v>277.63330000000002</v>
      </c>
      <c r="R402" s="1"/>
      <c r="S402" s="14" t="s">
        <v>8</v>
      </c>
      <c r="T402" s="10">
        <v>271.36779999999999</v>
      </c>
    </row>
    <row r="403" spans="1:20" x14ac:dyDescent="0.35">
      <c r="A403" s="4">
        <v>401</v>
      </c>
      <c r="B403" s="2">
        <v>43319</v>
      </c>
      <c r="C403" s="1">
        <v>277.20999999999998</v>
      </c>
      <c r="D403" s="1">
        <v>277.81</v>
      </c>
      <c r="E403" s="1">
        <v>277.06</v>
      </c>
      <c r="F403" s="1">
        <v>277.39</v>
      </c>
      <c r="G403" s="1">
        <f>IF(testdata[[#This Row],[high]]&gt;MAX(D399:D402,D404:D407),testdata[[#This Row],[high]],"")</f>
        <v>277.81</v>
      </c>
      <c r="H403" s="14" t="s">
        <v>7</v>
      </c>
      <c r="I403" s="9">
        <f>testdata[[#This Row],[Hpoint]]</f>
        <v>277.81</v>
      </c>
      <c r="J403" s="1" t="str">
        <f>IF(testdata[[#This Row],[low]]&lt;MIN(E399:E402,E404:E407),testdata[[#This Row],[low]],"")</f>
        <v/>
      </c>
      <c r="K403" s="14" t="s">
        <v>8</v>
      </c>
      <c r="L403" s="10">
        <f t="shared" ca="1" si="26"/>
        <v>271.47666666666635</v>
      </c>
      <c r="N403" s="2">
        <v>43319</v>
      </c>
      <c r="O403" s="1">
        <v>277.81</v>
      </c>
      <c r="P403" s="14" t="s">
        <v>7</v>
      </c>
      <c r="Q403" s="9">
        <v>277.81</v>
      </c>
      <c r="R403" s="1"/>
      <c r="S403" s="14" t="s">
        <v>8</v>
      </c>
      <c r="T403" s="10">
        <v>271.47669999999999</v>
      </c>
    </row>
    <row r="404" spans="1:20" x14ac:dyDescent="0.35">
      <c r="A404" s="4">
        <v>402</v>
      </c>
      <c r="B404" s="2">
        <v>43320</v>
      </c>
      <c r="C404" s="1">
        <v>277.20999999999998</v>
      </c>
      <c r="D404" s="1">
        <v>277.70999999999998</v>
      </c>
      <c r="E404" s="1">
        <v>276.77</v>
      </c>
      <c r="F404" s="1">
        <v>277.27</v>
      </c>
      <c r="G404" s="1" t="str">
        <f>IF(testdata[[#This Row],[high]]&gt;MAX(D400:D403,D405:D408),testdata[[#This Row],[high]],"")</f>
        <v/>
      </c>
      <c r="H404" s="14" t="s">
        <v>7</v>
      </c>
      <c r="I404" s="10">
        <f t="shared" ref="I404:I418" ca="1" si="27">AVERAGE(I403,I405)</f>
        <v>278.1574999999998</v>
      </c>
      <c r="J404" s="1" t="str">
        <f>IF(testdata[[#This Row],[low]]&lt;MIN(E400:E403,E405:E408),testdata[[#This Row],[low]],"")</f>
        <v/>
      </c>
      <c r="K404" s="14" t="s">
        <v>8</v>
      </c>
      <c r="L404" s="10">
        <f t="shared" ca="1" si="26"/>
        <v>271.58555555555523</v>
      </c>
      <c r="N404" s="2">
        <v>43320</v>
      </c>
      <c r="O404" s="1"/>
      <c r="P404" s="14" t="s">
        <v>7</v>
      </c>
      <c r="Q404" s="10">
        <v>278.15750000000003</v>
      </c>
      <c r="R404" s="1"/>
      <c r="S404" s="14" t="s">
        <v>8</v>
      </c>
      <c r="T404" s="10">
        <v>271.5856</v>
      </c>
    </row>
    <row r="405" spans="1:20" x14ac:dyDescent="0.35">
      <c r="A405" s="4">
        <v>403</v>
      </c>
      <c r="B405" s="2">
        <v>43321</v>
      </c>
      <c r="C405" s="1">
        <v>277.33999999999997</v>
      </c>
      <c r="D405" s="1">
        <v>277.77</v>
      </c>
      <c r="E405" s="1">
        <v>276.74</v>
      </c>
      <c r="F405" s="1">
        <v>276.89999999999998</v>
      </c>
      <c r="G405" s="1" t="str">
        <f>IF(testdata[[#This Row],[high]]&gt;MAX(D401:D404,D406:D409),testdata[[#This Row],[high]],"")</f>
        <v/>
      </c>
      <c r="H405" s="14" t="s">
        <v>7</v>
      </c>
      <c r="I405" s="10">
        <f t="shared" ca="1" si="27"/>
        <v>278.5049999999996</v>
      </c>
      <c r="J405" s="1" t="str">
        <f>IF(testdata[[#This Row],[low]]&lt;MIN(E401:E404,E406:E409),testdata[[#This Row],[low]],"")</f>
        <v/>
      </c>
      <c r="K405" s="14" t="s">
        <v>8</v>
      </c>
      <c r="L405" s="10">
        <f t="shared" ca="1" si="26"/>
        <v>271.69444444444412</v>
      </c>
      <c r="N405" s="2">
        <v>43321</v>
      </c>
      <c r="O405" s="1"/>
      <c r="P405" s="14" t="s">
        <v>7</v>
      </c>
      <c r="Q405" s="10">
        <v>278.505</v>
      </c>
      <c r="R405" s="1"/>
      <c r="S405" s="14" t="s">
        <v>8</v>
      </c>
      <c r="T405" s="10">
        <v>271.69439999999997</v>
      </c>
    </row>
    <row r="406" spans="1:20" x14ac:dyDescent="0.35">
      <c r="A406" s="4">
        <v>404</v>
      </c>
      <c r="B406" s="2">
        <v>43322</v>
      </c>
      <c r="C406" s="1">
        <v>275.32</v>
      </c>
      <c r="D406" s="1">
        <v>275.91000000000003</v>
      </c>
      <c r="E406" s="1">
        <v>274.26</v>
      </c>
      <c r="F406" s="1">
        <v>275.04000000000002</v>
      </c>
      <c r="G406" s="1" t="str">
        <f>IF(testdata[[#This Row],[high]]&gt;MAX(D402:D405,D407:D410),testdata[[#This Row],[high]],"")</f>
        <v/>
      </c>
      <c r="H406" s="14" t="s">
        <v>7</v>
      </c>
      <c r="I406" s="10">
        <f t="shared" ca="1" si="27"/>
        <v>278.8524999999994</v>
      </c>
      <c r="J406" s="1" t="str">
        <f>IF(testdata[[#This Row],[low]]&lt;MIN(E402:E405,E407:E410),testdata[[#This Row],[low]],"")</f>
        <v/>
      </c>
      <c r="K406" s="14" t="s">
        <v>8</v>
      </c>
      <c r="L406" s="10">
        <f t="shared" ca="1" si="26"/>
        <v>271.80333333333306</v>
      </c>
      <c r="N406" s="2">
        <v>43322</v>
      </c>
      <c r="O406" s="1"/>
      <c r="P406" s="14" t="s">
        <v>7</v>
      </c>
      <c r="Q406" s="10">
        <v>278.85250000000002</v>
      </c>
      <c r="R406" s="1"/>
      <c r="S406" s="14" t="s">
        <v>8</v>
      </c>
      <c r="T406" s="10">
        <v>271.80329999999998</v>
      </c>
    </row>
    <row r="407" spans="1:20" x14ac:dyDescent="0.35">
      <c r="A407" s="4">
        <v>405</v>
      </c>
      <c r="B407" s="2">
        <v>43325</v>
      </c>
      <c r="C407" s="1">
        <v>275.33999999999997</v>
      </c>
      <c r="D407" s="1">
        <v>276.01</v>
      </c>
      <c r="E407" s="1">
        <v>273.69</v>
      </c>
      <c r="F407" s="1">
        <v>274.01</v>
      </c>
      <c r="G407" s="1" t="str">
        <f>IF(testdata[[#This Row],[high]]&gt;MAX(D403:D406,D408:D411),testdata[[#This Row],[high]],"")</f>
        <v/>
      </c>
      <c r="H407" s="14" t="s">
        <v>7</v>
      </c>
      <c r="I407" s="10">
        <f t="shared" ca="1" si="27"/>
        <v>279.19999999999925</v>
      </c>
      <c r="J407" s="1" t="str">
        <f>IF(testdata[[#This Row],[low]]&lt;MIN(E403:E406,E408:E411),testdata[[#This Row],[low]],"")</f>
        <v/>
      </c>
      <c r="K407" s="14" t="s">
        <v>8</v>
      </c>
      <c r="L407" s="10">
        <f t="shared" ca="1" si="26"/>
        <v>271.912222222222</v>
      </c>
      <c r="N407" s="2">
        <v>43325</v>
      </c>
      <c r="O407" s="1"/>
      <c r="P407" s="14" t="s">
        <v>7</v>
      </c>
      <c r="Q407" s="10">
        <v>279.2</v>
      </c>
      <c r="R407" s="1"/>
      <c r="S407" s="14" t="s">
        <v>8</v>
      </c>
      <c r="T407" s="10">
        <v>271.91219999999998</v>
      </c>
    </row>
    <row r="408" spans="1:20" x14ac:dyDescent="0.35">
      <c r="A408" s="4">
        <v>406</v>
      </c>
      <c r="B408" s="2">
        <v>43326</v>
      </c>
      <c r="C408" s="1">
        <v>274.81</v>
      </c>
      <c r="D408" s="1">
        <v>276.02</v>
      </c>
      <c r="E408" s="1">
        <v>274.38</v>
      </c>
      <c r="F408" s="1">
        <v>275.76</v>
      </c>
      <c r="G408" s="1" t="str">
        <f>IF(testdata[[#This Row],[high]]&gt;MAX(D404:D407,D409:D412),testdata[[#This Row],[high]],"")</f>
        <v/>
      </c>
      <c r="H408" s="14" t="s">
        <v>7</v>
      </c>
      <c r="I408" s="10">
        <f t="shared" ca="1" si="27"/>
        <v>279.5474999999991</v>
      </c>
      <c r="J408" s="1" t="str">
        <f>IF(testdata[[#This Row],[low]]&lt;MIN(E404:E407,E409:E412),testdata[[#This Row],[low]],"")</f>
        <v/>
      </c>
      <c r="K408" s="14" t="s">
        <v>8</v>
      </c>
      <c r="L408" s="10">
        <f t="shared" ca="1" si="26"/>
        <v>272.021111111111</v>
      </c>
      <c r="N408" s="2">
        <v>43326</v>
      </c>
      <c r="O408" s="1"/>
      <c r="P408" s="14" t="s">
        <v>7</v>
      </c>
      <c r="Q408" s="10">
        <v>279.54750000000001</v>
      </c>
      <c r="R408" s="1"/>
      <c r="S408" s="14" t="s">
        <v>8</v>
      </c>
      <c r="T408" s="10">
        <v>272.02109999999999</v>
      </c>
    </row>
    <row r="409" spans="1:20" x14ac:dyDescent="0.35">
      <c r="A409" s="4">
        <v>407</v>
      </c>
      <c r="B409" s="2">
        <v>43327</v>
      </c>
      <c r="C409" s="1">
        <v>274.27999999999997</v>
      </c>
      <c r="D409" s="1">
        <v>274.44</v>
      </c>
      <c r="E409" s="1">
        <v>272.13</v>
      </c>
      <c r="F409" s="1">
        <v>273.7</v>
      </c>
      <c r="G409" s="1" t="str">
        <f>IF(testdata[[#This Row],[high]]&gt;MAX(D405:D408,D410:D413),testdata[[#This Row],[high]],"")</f>
        <v/>
      </c>
      <c r="H409" s="14" t="s">
        <v>7</v>
      </c>
      <c r="I409" s="10">
        <f t="shared" ca="1" si="27"/>
        <v>279.89499999999902</v>
      </c>
      <c r="J409" s="1">
        <f>IF(testdata[[#This Row],[low]]&lt;MIN(E405:E408,E410:E413),testdata[[#This Row],[low]],"")</f>
        <v>272.13</v>
      </c>
      <c r="K409" s="14" t="s">
        <v>8</v>
      </c>
      <c r="L409" s="9">
        <f>testdata[[#This Row],[Lpoint]]</f>
        <v>272.13</v>
      </c>
      <c r="N409" s="2">
        <v>43327</v>
      </c>
      <c r="O409" s="1"/>
      <c r="P409" s="14" t="s">
        <v>7</v>
      </c>
      <c r="Q409" s="10">
        <v>279.89499999999998</v>
      </c>
      <c r="R409" s="1">
        <v>272.13</v>
      </c>
      <c r="S409" s="14" t="s">
        <v>8</v>
      </c>
      <c r="T409" s="9">
        <v>272.13</v>
      </c>
    </row>
    <row r="410" spans="1:20" x14ac:dyDescent="0.35">
      <c r="A410" s="4">
        <v>408</v>
      </c>
      <c r="B410" s="2">
        <v>43328</v>
      </c>
      <c r="C410" s="1">
        <v>275.27</v>
      </c>
      <c r="D410" s="1">
        <v>276.87</v>
      </c>
      <c r="E410" s="1">
        <v>275.23</v>
      </c>
      <c r="F410" s="1">
        <v>275.91000000000003</v>
      </c>
      <c r="G410" s="1" t="str">
        <f>IF(testdata[[#This Row],[high]]&gt;MAX(D406:D409,D411:D414),testdata[[#This Row],[high]],"")</f>
        <v/>
      </c>
      <c r="H410" s="14" t="s">
        <v>7</v>
      </c>
      <c r="I410" s="10">
        <f t="shared" ca="1" si="27"/>
        <v>280.24249999999893</v>
      </c>
      <c r="J410" s="1" t="str">
        <f>IF(testdata[[#This Row],[low]]&lt;MIN(E406:E409,E411:E414),testdata[[#This Row],[low]],"")</f>
        <v/>
      </c>
      <c r="K410" s="14" t="s">
        <v>8</v>
      </c>
      <c r="L410" s="10">
        <f t="shared" ref="L410:L424" ca="1" si="28">AVERAGE(L409,L411)</f>
        <v>272.52749999999975</v>
      </c>
      <c r="N410" s="2">
        <v>43328</v>
      </c>
      <c r="O410" s="1"/>
      <c r="P410" s="14" t="s">
        <v>7</v>
      </c>
      <c r="Q410" s="10">
        <v>280.24250000000001</v>
      </c>
      <c r="R410" s="1"/>
      <c r="S410" s="14" t="s">
        <v>8</v>
      </c>
      <c r="T410" s="10">
        <v>272.52749999999997</v>
      </c>
    </row>
    <row r="411" spans="1:20" x14ac:dyDescent="0.35">
      <c r="A411" s="4">
        <v>409</v>
      </c>
      <c r="B411" s="2">
        <v>43329</v>
      </c>
      <c r="C411" s="1">
        <v>275.69</v>
      </c>
      <c r="D411" s="1">
        <v>277.37</v>
      </c>
      <c r="E411" s="1">
        <v>275.24</v>
      </c>
      <c r="F411" s="1">
        <v>276.89</v>
      </c>
      <c r="G411" s="1" t="str">
        <f>IF(testdata[[#This Row],[high]]&gt;MAX(D407:D410,D412:D415),testdata[[#This Row],[high]],"")</f>
        <v/>
      </c>
      <c r="H411" s="14" t="s">
        <v>7</v>
      </c>
      <c r="I411" s="10">
        <f t="shared" ca="1" si="27"/>
        <v>280.58999999999889</v>
      </c>
      <c r="J411" s="1" t="str">
        <f>IF(testdata[[#This Row],[low]]&lt;MIN(E407:E410,E412:E415),testdata[[#This Row],[low]],"")</f>
        <v/>
      </c>
      <c r="K411" s="14" t="s">
        <v>8</v>
      </c>
      <c r="L411" s="10">
        <f t="shared" ca="1" si="28"/>
        <v>272.9249999999995</v>
      </c>
      <c r="N411" s="2">
        <v>43329</v>
      </c>
      <c r="O411" s="1"/>
      <c r="P411" s="14" t="s">
        <v>7</v>
      </c>
      <c r="Q411" s="10">
        <v>280.58999999999997</v>
      </c>
      <c r="R411" s="1"/>
      <c r="S411" s="14" t="s">
        <v>8</v>
      </c>
      <c r="T411" s="10">
        <v>272.92500000000001</v>
      </c>
    </row>
    <row r="412" spans="1:20" x14ac:dyDescent="0.35">
      <c r="A412" s="4">
        <v>410</v>
      </c>
      <c r="B412" s="2">
        <v>43332</v>
      </c>
      <c r="C412" s="1">
        <v>277.38</v>
      </c>
      <c r="D412" s="1">
        <v>277.77</v>
      </c>
      <c r="E412" s="1">
        <v>276.89</v>
      </c>
      <c r="F412" s="1">
        <v>277.48</v>
      </c>
      <c r="G412" s="1" t="str">
        <f>IF(testdata[[#This Row],[high]]&gt;MAX(D408:D411,D413:D416),testdata[[#This Row],[high]],"")</f>
        <v/>
      </c>
      <c r="H412" s="14" t="s">
        <v>7</v>
      </c>
      <c r="I412" s="10">
        <f t="shared" ca="1" si="27"/>
        <v>280.93749999999892</v>
      </c>
      <c r="J412" s="1" t="str">
        <f>IF(testdata[[#This Row],[low]]&lt;MIN(E408:E411,E413:E416),testdata[[#This Row],[low]],"")</f>
        <v/>
      </c>
      <c r="K412" s="14" t="s">
        <v>8</v>
      </c>
      <c r="L412" s="10">
        <f t="shared" ca="1" si="28"/>
        <v>273.32249999999931</v>
      </c>
      <c r="N412" s="2">
        <v>43332</v>
      </c>
      <c r="O412" s="1"/>
      <c r="P412" s="14" t="s">
        <v>7</v>
      </c>
      <c r="Q412" s="10">
        <v>280.9375</v>
      </c>
      <c r="R412" s="1"/>
      <c r="S412" s="14" t="s">
        <v>8</v>
      </c>
      <c r="T412" s="10">
        <v>273.32249999999999</v>
      </c>
    </row>
    <row r="413" spans="1:20" x14ac:dyDescent="0.35">
      <c r="A413" s="4">
        <v>411</v>
      </c>
      <c r="B413" s="2">
        <v>43333</v>
      </c>
      <c r="C413" s="1">
        <v>278.04000000000002</v>
      </c>
      <c r="D413" s="1">
        <v>279.07</v>
      </c>
      <c r="E413" s="1">
        <v>277.52</v>
      </c>
      <c r="F413" s="1">
        <v>278.13</v>
      </c>
      <c r="G413" s="1" t="str">
        <f>IF(testdata[[#This Row],[high]]&gt;MAX(D409:D412,D414:D417),testdata[[#This Row],[high]],"")</f>
        <v/>
      </c>
      <c r="H413" s="14" t="s">
        <v>7</v>
      </c>
      <c r="I413" s="10">
        <f t="shared" ca="1" si="27"/>
        <v>281.28499999999894</v>
      </c>
      <c r="J413" s="1" t="str">
        <f>IF(testdata[[#This Row],[low]]&lt;MIN(E409:E412,E414:E417),testdata[[#This Row],[low]],"")</f>
        <v/>
      </c>
      <c r="K413" s="14" t="s">
        <v>8</v>
      </c>
      <c r="L413" s="10">
        <f t="shared" ca="1" si="28"/>
        <v>273.71999999999917</v>
      </c>
      <c r="N413" s="2">
        <v>43333</v>
      </c>
      <c r="O413" s="1"/>
      <c r="P413" s="14" t="s">
        <v>7</v>
      </c>
      <c r="Q413" s="10">
        <v>281.28500000000003</v>
      </c>
      <c r="R413" s="1"/>
      <c r="S413" s="14" t="s">
        <v>8</v>
      </c>
      <c r="T413" s="10">
        <v>273.72000000000003</v>
      </c>
    </row>
    <row r="414" spans="1:20" x14ac:dyDescent="0.35">
      <c r="A414" s="4">
        <v>412</v>
      </c>
      <c r="B414" s="2">
        <v>43334</v>
      </c>
      <c r="C414" s="1">
        <v>277.68</v>
      </c>
      <c r="D414" s="1">
        <v>278.54000000000002</v>
      </c>
      <c r="E414" s="1">
        <v>277.39</v>
      </c>
      <c r="F414" s="1">
        <v>277.95999999999998</v>
      </c>
      <c r="G414" s="1" t="str">
        <f>IF(testdata[[#This Row],[high]]&gt;MAX(D410:D413,D415:D418),testdata[[#This Row],[high]],"")</f>
        <v/>
      </c>
      <c r="H414" s="14" t="s">
        <v>7</v>
      </c>
      <c r="I414" s="10">
        <f t="shared" ca="1" si="27"/>
        <v>281.63249999999903</v>
      </c>
      <c r="J414" s="1" t="str">
        <f>IF(testdata[[#This Row],[low]]&lt;MIN(E410:E413,E415:E418),testdata[[#This Row],[low]],"")</f>
        <v/>
      </c>
      <c r="K414" s="14" t="s">
        <v>8</v>
      </c>
      <c r="L414" s="10">
        <f t="shared" ca="1" si="28"/>
        <v>274.11749999999904</v>
      </c>
      <c r="N414" s="2">
        <v>43334</v>
      </c>
      <c r="O414" s="1"/>
      <c r="P414" s="14" t="s">
        <v>7</v>
      </c>
      <c r="Q414" s="10">
        <v>281.63249999999999</v>
      </c>
      <c r="R414" s="1"/>
      <c r="S414" s="14" t="s">
        <v>8</v>
      </c>
      <c r="T414" s="10">
        <v>274.11750000000001</v>
      </c>
    </row>
    <row r="415" spans="1:20" x14ac:dyDescent="0.35">
      <c r="A415" s="4">
        <v>413</v>
      </c>
      <c r="B415" s="2">
        <v>43335</v>
      </c>
      <c r="C415" s="1">
        <v>277.77</v>
      </c>
      <c r="D415" s="1">
        <v>278.70999999999998</v>
      </c>
      <c r="E415" s="1">
        <v>277.24</v>
      </c>
      <c r="F415" s="1">
        <v>277.58999999999997</v>
      </c>
      <c r="G415" s="1" t="str">
        <f>IF(testdata[[#This Row],[high]]&gt;MAX(D411:D414,D416:D419),testdata[[#This Row],[high]],"")</f>
        <v/>
      </c>
      <c r="H415" s="14" t="s">
        <v>7</v>
      </c>
      <c r="I415" s="10">
        <f t="shared" ca="1" si="27"/>
        <v>281.97999999999917</v>
      </c>
      <c r="J415" s="1" t="str">
        <f>IF(testdata[[#This Row],[low]]&lt;MIN(E411:E414,E416:E419),testdata[[#This Row],[low]],"")</f>
        <v/>
      </c>
      <c r="K415" s="14" t="s">
        <v>8</v>
      </c>
      <c r="L415" s="10">
        <f t="shared" ca="1" si="28"/>
        <v>274.51499999999896</v>
      </c>
      <c r="N415" s="2">
        <v>43335</v>
      </c>
      <c r="O415" s="1"/>
      <c r="P415" s="14" t="s">
        <v>7</v>
      </c>
      <c r="Q415" s="10">
        <v>281.98</v>
      </c>
      <c r="R415" s="1"/>
      <c r="S415" s="14" t="s">
        <v>8</v>
      </c>
      <c r="T415" s="10">
        <v>274.51499999999999</v>
      </c>
    </row>
    <row r="416" spans="1:20" x14ac:dyDescent="0.35">
      <c r="A416" s="4">
        <v>414</v>
      </c>
      <c r="B416" s="2">
        <v>43336</v>
      </c>
      <c r="C416" s="1">
        <v>278.23</v>
      </c>
      <c r="D416" s="1">
        <v>279.42</v>
      </c>
      <c r="E416" s="1">
        <v>278.17</v>
      </c>
      <c r="F416" s="1">
        <v>279.27</v>
      </c>
      <c r="G416" s="1" t="str">
        <f>IF(testdata[[#This Row],[high]]&gt;MAX(D412:D415,D417:D420),testdata[[#This Row],[high]],"")</f>
        <v/>
      </c>
      <c r="H416" s="14" t="s">
        <v>7</v>
      </c>
      <c r="I416" s="10">
        <f t="shared" ca="1" si="27"/>
        <v>282.3274999999993</v>
      </c>
      <c r="J416" s="1" t="str">
        <f>IF(testdata[[#This Row],[low]]&lt;MIN(E412:E415,E417:E420),testdata[[#This Row],[low]],"")</f>
        <v/>
      </c>
      <c r="K416" s="14" t="s">
        <v>8</v>
      </c>
      <c r="L416" s="10">
        <f t="shared" ca="1" si="28"/>
        <v>274.91249999999894</v>
      </c>
      <c r="N416" s="2">
        <v>43336</v>
      </c>
      <c r="O416" s="1"/>
      <c r="P416" s="14" t="s">
        <v>7</v>
      </c>
      <c r="Q416" s="10">
        <v>282.32749999999999</v>
      </c>
      <c r="R416" s="1"/>
      <c r="S416" s="14" t="s">
        <v>8</v>
      </c>
      <c r="T416" s="10">
        <v>274.91250000000002</v>
      </c>
    </row>
    <row r="417" spans="1:20" x14ac:dyDescent="0.35">
      <c r="A417" s="4">
        <v>415</v>
      </c>
      <c r="B417" s="2">
        <v>43339</v>
      </c>
      <c r="C417" s="1">
        <v>280.58</v>
      </c>
      <c r="D417" s="1">
        <v>281.58999999999997</v>
      </c>
      <c r="E417" s="1">
        <v>280.39999999999998</v>
      </c>
      <c r="F417" s="1">
        <v>281.47000000000003</v>
      </c>
      <c r="G417" s="1" t="str">
        <f>IF(testdata[[#This Row],[high]]&gt;MAX(D413:D416,D418:D421),testdata[[#This Row],[high]],"")</f>
        <v/>
      </c>
      <c r="H417" s="14" t="s">
        <v>7</v>
      </c>
      <c r="I417" s="10">
        <f t="shared" ca="1" si="27"/>
        <v>282.6749999999995</v>
      </c>
      <c r="J417" s="1" t="str">
        <f>IF(testdata[[#This Row],[low]]&lt;MIN(E413:E416,E418:E421),testdata[[#This Row],[low]],"")</f>
        <v/>
      </c>
      <c r="K417" s="14" t="s">
        <v>8</v>
      </c>
      <c r="L417" s="10">
        <f t="shared" ca="1" si="28"/>
        <v>275.30999999999892</v>
      </c>
      <c r="N417" s="2">
        <v>43339</v>
      </c>
      <c r="O417" s="1"/>
      <c r="P417" s="14" t="s">
        <v>7</v>
      </c>
      <c r="Q417" s="10">
        <v>282.67500000000001</v>
      </c>
      <c r="R417" s="1"/>
      <c r="S417" s="14" t="s">
        <v>8</v>
      </c>
      <c r="T417" s="10">
        <v>275.31</v>
      </c>
    </row>
    <row r="418" spans="1:20" x14ac:dyDescent="0.35">
      <c r="A418" s="4">
        <v>416</v>
      </c>
      <c r="B418" s="2">
        <v>43340</v>
      </c>
      <c r="C418" s="1">
        <v>281.98</v>
      </c>
      <c r="D418" s="1">
        <v>282.08999999999997</v>
      </c>
      <c r="E418" s="1">
        <v>281.10000000000002</v>
      </c>
      <c r="F418" s="1">
        <v>281.61</v>
      </c>
      <c r="G418" s="1" t="str">
        <f>IF(testdata[[#This Row],[high]]&gt;MAX(D414:D417,D419:D422),testdata[[#This Row],[high]],"")</f>
        <v/>
      </c>
      <c r="H418" s="14" t="s">
        <v>7</v>
      </c>
      <c r="I418" s="10">
        <f t="shared" ca="1" si="27"/>
        <v>283.02249999999975</v>
      </c>
      <c r="J418" s="1" t="str">
        <f>IF(testdata[[#This Row],[low]]&lt;MIN(E414:E417,E419:E422),testdata[[#This Row],[low]],"")</f>
        <v/>
      </c>
      <c r="K418" s="14" t="s">
        <v>8</v>
      </c>
      <c r="L418" s="10">
        <f t="shared" ca="1" si="28"/>
        <v>275.70749999999896</v>
      </c>
      <c r="N418" s="2">
        <v>43340</v>
      </c>
      <c r="O418" s="1"/>
      <c r="P418" s="14" t="s">
        <v>7</v>
      </c>
      <c r="Q418" s="10">
        <v>283.02249999999998</v>
      </c>
      <c r="R418" s="1"/>
      <c r="S418" s="14" t="s">
        <v>8</v>
      </c>
      <c r="T418" s="10">
        <v>275.70749999999998</v>
      </c>
    </row>
    <row r="419" spans="1:20" x14ac:dyDescent="0.35">
      <c r="A419" s="4">
        <v>417</v>
      </c>
      <c r="B419" s="2">
        <v>43341</v>
      </c>
      <c r="C419" s="1">
        <v>281.83999999999997</v>
      </c>
      <c r="D419" s="1">
        <v>283.37</v>
      </c>
      <c r="E419" s="1">
        <v>281.57</v>
      </c>
      <c r="F419" s="1">
        <v>283.12</v>
      </c>
      <c r="G419" s="1">
        <f>IF(testdata[[#This Row],[high]]&gt;MAX(D415:D418,D420:D423),testdata[[#This Row],[high]],"")</f>
        <v>283.37</v>
      </c>
      <c r="H419" s="14" t="s">
        <v>7</v>
      </c>
      <c r="I419" s="9">
        <f>testdata[[#This Row],[Hpoint]]</f>
        <v>283.37</v>
      </c>
      <c r="J419" s="1" t="str">
        <f>IF(testdata[[#This Row],[low]]&lt;MIN(E415:E418,E420:E423),testdata[[#This Row],[low]],"")</f>
        <v/>
      </c>
      <c r="K419" s="14" t="s">
        <v>8</v>
      </c>
      <c r="L419" s="10">
        <f t="shared" ca="1" si="28"/>
        <v>276.104999999999</v>
      </c>
      <c r="N419" s="2">
        <v>43341</v>
      </c>
      <c r="O419" s="1">
        <v>283.37</v>
      </c>
      <c r="P419" s="14" t="s">
        <v>7</v>
      </c>
      <c r="Q419" s="9">
        <v>283.37</v>
      </c>
      <c r="R419" s="1"/>
      <c r="S419" s="14" t="s">
        <v>8</v>
      </c>
      <c r="T419" s="10">
        <v>276.10500000000002</v>
      </c>
    </row>
    <row r="420" spans="1:20" x14ac:dyDescent="0.35">
      <c r="A420" s="4">
        <v>418</v>
      </c>
      <c r="B420" s="2">
        <v>43342</v>
      </c>
      <c r="C420" s="1">
        <v>282.60000000000002</v>
      </c>
      <c r="D420" s="1">
        <v>283</v>
      </c>
      <c r="E420" s="1">
        <v>281.32</v>
      </c>
      <c r="F420" s="1">
        <v>281.98</v>
      </c>
      <c r="G420" s="1" t="str">
        <f>IF(testdata[[#This Row],[high]]&gt;MAX(D416:D419,D421:D424),testdata[[#This Row],[high]],"")</f>
        <v/>
      </c>
      <c r="H420" s="14" t="s">
        <v>7</v>
      </c>
      <c r="I420" s="10">
        <f t="shared" ref="I420:I434" ca="1" si="29">AVERAGE(I419,I421)</f>
        <v>283.54062499999975</v>
      </c>
      <c r="J420" s="1" t="str">
        <f>IF(testdata[[#This Row],[low]]&lt;MIN(E416:E419,E421:E424),testdata[[#This Row],[low]],"")</f>
        <v/>
      </c>
      <c r="K420" s="14" t="s">
        <v>8</v>
      </c>
      <c r="L420" s="10">
        <f t="shared" ca="1" si="28"/>
        <v>276.50249999999909</v>
      </c>
      <c r="N420" s="2">
        <v>43342</v>
      </c>
      <c r="O420" s="1"/>
      <c r="P420" s="14" t="s">
        <v>7</v>
      </c>
      <c r="Q420" s="10">
        <v>283.54059999999998</v>
      </c>
      <c r="R420" s="1"/>
      <c r="S420" s="14" t="s">
        <v>8</v>
      </c>
      <c r="T420" s="10">
        <v>276.5025</v>
      </c>
    </row>
    <row r="421" spans="1:20" x14ac:dyDescent="0.35">
      <c r="A421" s="4">
        <v>419</v>
      </c>
      <c r="B421" s="2">
        <v>43343</v>
      </c>
      <c r="C421" s="1">
        <v>281.52999999999997</v>
      </c>
      <c r="D421" s="1">
        <v>282.47000000000003</v>
      </c>
      <c r="E421" s="1">
        <v>280.99</v>
      </c>
      <c r="F421" s="1">
        <v>281.98</v>
      </c>
      <c r="G421" s="1" t="str">
        <f>IF(testdata[[#This Row],[high]]&gt;MAX(D417:D420,D422:D425),testdata[[#This Row],[high]],"")</f>
        <v/>
      </c>
      <c r="H421" s="14" t="s">
        <v>7</v>
      </c>
      <c r="I421" s="10">
        <f t="shared" ca="1" si="29"/>
        <v>283.71124999999955</v>
      </c>
      <c r="J421" s="1" t="str">
        <f>IF(testdata[[#This Row],[low]]&lt;MIN(E417:E420,E422:E425),testdata[[#This Row],[low]],"")</f>
        <v/>
      </c>
      <c r="K421" s="14" t="s">
        <v>8</v>
      </c>
      <c r="L421" s="10">
        <f t="shared" ca="1" si="28"/>
        <v>276.89999999999918</v>
      </c>
      <c r="N421" s="2">
        <v>43343</v>
      </c>
      <c r="O421" s="1"/>
      <c r="P421" s="14" t="s">
        <v>7</v>
      </c>
      <c r="Q421" s="10">
        <v>283.71129999999999</v>
      </c>
      <c r="R421" s="1"/>
      <c r="S421" s="14" t="s">
        <v>8</v>
      </c>
      <c r="T421" s="10">
        <v>276.89999999999998</v>
      </c>
    </row>
    <row r="422" spans="1:20" x14ac:dyDescent="0.35">
      <c r="A422" s="4">
        <v>420</v>
      </c>
      <c r="B422" s="2">
        <v>43347</v>
      </c>
      <c r="C422" s="1">
        <v>281.52999999999997</v>
      </c>
      <c r="D422" s="1">
        <v>281.89</v>
      </c>
      <c r="E422" s="1">
        <v>280.39999999999998</v>
      </c>
      <c r="F422" s="1">
        <v>281.5</v>
      </c>
      <c r="G422" s="1" t="str">
        <f>IF(testdata[[#This Row],[high]]&gt;MAX(D418:D421,D423:D426),testdata[[#This Row],[high]],"")</f>
        <v/>
      </c>
      <c r="H422" s="14" t="s">
        <v>7</v>
      </c>
      <c r="I422" s="10">
        <f t="shared" ca="1" si="29"/>
        <v>283.88187499999935</v>
      </c>
      <c r="J422" s="1" t="str">
        <f>IF(testdata[[#This Row],[low]]&lt;MIN(E418:E421,E423:E426),testdata[[#This Row],[low]],"")</f>
        <v/>
      </c>
      <c r="K422" s="14" t="s">
        <v>8</v>
      </c>
      <c r="L422" s="10">
        <f t="shared" ca="1" si="28"/>
        <v>277.29749999999933</v>
      </c>
      <c r="N422" s="2">
        <v>43347</v>
      </c>
      <c r="O422" s="1"/>
      <c r="P422" s="14" t="s">
        <v>7</v>
      </c>
      <c r="Q422" s="10">
        <v>283.88189999999997</v>
      </c>
      <c r="R422" s="1"/>
      <c r="S422" s="14" t="s">
        <v>8</v>
      </c>
      <c r="T422" s="10">
        <v>277.29750000000001</v>
      </c>
    </row>
    <row r="423" spans="1:20" x14ac:dyDescent="0.35">
      <c r="A423" s="4">
        <v>421</v>
      </c>
      <c r="B423" s="2">
        <v>43348</v>
      </c>
      <c r="C423" s="1">
        <v>281.11</v>
      </c>
      <c r="D423" s="1">
        <v>281.33</v>
      </c>
      <c r="E423" s="1">
        <v>279.63</v>
      </c>
      <c r="F423" s="1">
        <v>280.74</v>
      </c>
      <c r="G423" s="1" t="str">
        <f>IF(testdata[[#This Row],[high]]&gt;MAX(D419:D422,D424:D427),testdata[[#This Row],[high]],"")</f>
        <v/>
      </c>
      <c r="H423" s="14" t="s">
        <v>7</v>
      </c>
      <c r="I423" s="10">
        <f t="shared" ca="1" si="29"/>
        <v>284.05249999999921</v>
      </c>
      <c r="J423" s="1" t="str">
        <f>IF(testdata[[#This Row],[low]]&lt;MIN(E419:E422,E424:E427),testdata[[#This Row],[low]],"")</f>
        <v/>
      </c>
      <c r="K423" s="14" t="s">
        <v>8</v>
      </c>
      <c r="L423" s="10">
        <f t="shared" ca="1" si="28"/>
        <v>277.69499999999954</v>
      </c>
      <c r="N423" s="2">
        <v>43348</v>
      </c>
      <c r="O423" s="1"/>
      <c r="P423" s="14" t="s">
        <v>7</v>
      </c>
      <c r="Q423" s="10">
        <v>284.05250000000001</v>
      </c>
      <c r="R423" s="1"/>
      <c r="S423" s="14" t="s">
        <v>8</v>
      </c>
      <c r="T423" s="10">
        <v>277.69499999999999</v>
      </c>
    </row>
    <row r="424" spans="1:20" x14ac:dyDescent="0.35">
      <c r="A424" s="4">
        <v>422</v>
      </c>
      <c r="B424" s="2">
        <v>43349</v>
      </c>
      <c r="C424" s="1">
        <v>280.86</v>
      </c>
      <c r="D424" s="1">
        <v>281.19</v>
      </c>
      <c r="E424" s="1">
        <v>278.77</v>
      </c>
      <c r="F424" s="1">
        <v>279.89999999999998</v>
      </c>
      <c r="G424" s="1" t="str">
        <f>IF(testdata[[#This Row],[high]]&gt;MAX(D420:D423,D425:D428),testdata[[#This Row],[high]],"")</f>
        <v/>
      </c>
      <c r="H424" s="14" t="s">
        <v>7</v>
      </c>
      <c r="I424" s="10">
        <f t="shared" ca="1" si="29"/>
        <v>284.22312499999907</v>
      </c>
      <c r="J424" s="1" t="str">
        <f>IF(testdata[[#This Row],[low]]&lt;MIN(E420:E423,E425:E428),testdata[[#This Row],[low]],"")</f>
        <v/>
      </c>
      <c r="K424" s="14" t="s">
        <v>8</v>
      </c>
      <c r="L424" s="10">
        <f t="shared" ca="1" si="28"/>
        <v>278.09249999999975</v>
      </c>
      <c r="N424" s="2">
        <v>43349</v>
      </c>
      <c r="O424" s="1"/>
      <c r="P424" s="14" t="s">
        <v>7</v>
      </c>
      <c r="Q424" s="10">
        <v>284.22309999999999</v>
      </c>
      <c r="R424" s="1"/>
      <c r="S424" s="14" t="s">
        <v>8</v>
      </c>
      <c r="T424" s="10">
        <v>278.09249999999997</v>
      </c>
    </row>
    <row r="425" spans="1:20" x14ac:dyDescent="0.35">
      <c r="A425" s="4">
        <v>423</v>
      </c>
      <c r="B425" s="2">
        <v>43350</v>
      </c>
      <c r="C425" s="1">
        <v>278.75</v>
      </c>
      <c r="D425" s="1">
        <v>280.42</v>
      </c>
      <c r="E425" s="1">
        <v>278.49</v>
      </c>
      <c r="F425" s="1">
        <v>279.35000000000002</v>
      </c>
      <c r="G425" s="1" t="str">
        <f>IF(testdata[[#This Row],[high]]&gt;MAX(D421:D424,D426:D429),testdata[[#This Row],[high]],"")</f>
        <v/>
      </c>
      <c r="H425" s="14" t="s">
        <v>7</v>
      </c>
      <c r="I425" s="10">
        <f t="shared" ca="1" si="29"/>
        <v>284.39374999999899</v>
      </c>
      <c r="J425" s="1">
        <f>IF(testdata[[#This Row],[low]]&lt;MIN(E421:E424,E426:E429),testdata[[#This Row],[low]],"")</f>
        <v>278.49</v>
      </c>
      <c r="K425" s="14" t="s">
        <v>8</v>
      </c>
      <c r="L425" s="9">
        <f>testdata[[#This Row],[Lpoint]]</f>
        <v>278.49</v>
      </c>
      <c r="N425" s="2">
        <v>43350</v>
      </c>
      <c r="O425" s="1"/>
      <c r="P425" s="14" t="s">
        <v>7</v>
      </c>
      <c r="Q425" s="10">
        <v>284.3938</v>
      </c>
      <c r="R425" s="1">
        <v>278.49</v>
      </c>
      <c r="S425" s="14" t="s">
        <v>8</v>
      </c>
      <c r="T425" s="9">
        <v>278.49</v>
      </c>
    </row>
    <row r="426" spans="1:20" x14ac:dyDescent="0.35">
      <c r="A426" s="4">
        <v>424</v>
      </c>
      <c r="B426" s="2">
        <v>43353</v>
      </c>
      <c r="C426" s="1">
        <v>280.45999999999998</v>
      </c>
      <c r="D426" s="1">
        <v>280.75</v>
      </c>
      <c r="E426" s="1">
        <v>279.62</v>
      </c>
      <c r="F426" s="1">
        <v>279.83999999999997</v>
      </c>
      <c r="G426" s="1" t="str">
        <f>IF(testdata[[#This Row],[high]]&gt;MAX(D422:D425,D427:D430),testdata[[#This Row],[high]],"")</f>
        <v/>
      </c>
      <c r="H426" s="14" t="s">
        <v>7</v>
      </c>
      <c r="I426" s="10">
        <f t="shared" ca="1" si="29"/>
        <v>284.5643749999989</v>
      </c>
      <c r="J426" s="1" t="str">
        <f>IF(testdata[[#This Row],[low]]&lt;MIN(E422:E425,E427:E430),testdata[[#This Row],[low]],"")</f>
        <v/>
      </c>
      <c r="K426" s="14" t="s">
        <v>8</v>
      </c>
      <c r="L426" s="10">
        <f t="shared" ref="L426:L437" ca="1" si="30">AVERAGE(L425,L427)</f>
        <v>278.78923076923058</v>
      </c>
      <c r="N426" s="2">
        <v>43353</v>
      </c>
      <c r="O426" s="1"/>
      <c r="P426" s="14" t="s">
        <v>7</v>
      </c>
      <c r="Q426" s="10">
        <v>284.56439999999998</v>
      </c>
      <c r="R426" s="1"/>
      <c r="S426" s="14" t="s">
        <v>8</v>
      </c>
      <c r="T426" s="10">
        <v>278.78919999999999</v>
      </c>
    </row>
    <row r="427" spans="1:20" x14ac:dyDescent="0.35">
      <c r="A427" s="4">
        <v>425</v>
      </c>
      <c r="B427" s="2">
        <v>43354</v>
      </c>
      <c r="C427" s="1">
        <v>279.13</v>
      </c>
      <c r="D427" s="1">
        <v>281.25</v>
      </c>
      <c r="E427" s="1">
        <v>278.75</v>
      </c>
      <c r="F427" s="1">
        <v>280.76</v>
      </c>
      <c r="G427" s="1" t="str">
        <f>IF(testdata[[#This Row],[high]]&gt;MAX(D423:D426,D428:D431),testdata[[#This Row],[high]],"")</f>
        <v/>
      </c>
      <c r="H427" s="14" t="s">
        <v>7</v>
      </c>
      <c r="I427" s="10">
        <f t="shared" ca="1" si="29"/>
        <v>284.73499999999888</v>
      </c>
      <c r="J427" s="1" t="str">
        <f>IF(testdata[[#This Row],[low]]&lt;MIN(E423:E426,E428:E431),testdata[[#This Row],[low]],"")</f>
        <v/>
      </c>
      <c r="K427" s="14" t="s">
        <v>8</v>
      </c>
      <c r="L427" s="10">
        <f t="shared" ca="1" si="30"/>
        <v>279.08846153846116</v>
      </c>
      <c r="N427" s="2">
        <v>43354</v>
      </c>
      <c r="O427" s="1"/>
      <c r="P427" s="14" t="s">
        <v>7</v>
      </c>
      <c r="Q427" s="10">
        <v>284.73500000000001</v>
      </c>
      <c r="R427" s="1"/>
      <c r="S427" s="14" t="s">
        <v>8</v>
      </c>
      <c r="T427" s="10">
        <v>279.08850000000001</v>
      </c>
    </row>
    <row r="428" spans="1:20" x14ac:dyDescent="0.35">
      <c r="A428" s="4">
        <v>426</v>
      </c>
      <c r="B428" s="2">
        <v>43355</v>
      </c>
      <c r="C428" s="1">
        <v>280.77</v>
      </c>
      <c r="D428" s="1">
        <v>281.49</v>
      </c>
      <c r="E428" s="1">
        <v>279.95999999999998</v>
      </c>
      <c r="F428" s="1">
        <v>280.83</v>
      </c>
      <c r="G428" s="1" t="str">
        <f>IF(testdata[[#This Row],[high]]&gt;MAX(D424:D427,D429:D432),testdata[[#This Row],[high]],"")</f>
        <v/>
      </c>
      <c r="H428" s="14" t="s">
        <v>7</v>
      </c>
      <c r="I428" s="10">
        <f t="shared" ca="1" si="29"/>
        <v>284.90562499999891</v>
      </c>
      <c r="J428" s="1" t="str">
        <f>IF(testdata[[#This Row],[low]]&lt;MIN(E424:E427,E429:E432),testdata[[#This Row],[low]],"")</f>
        <v/>
      </c>
      <c r="K428" s="14" t="s">
        <v>8</v>
      </c>
      <c r="L428" s="10">
        <f t="shared" ca="1" si="30"/>
        <v>279.38769230769179</v>
      </c>
      <c r="N428" s="2">
        <v>43355</v>
      </c>
      <c r="O428" s="1"/>
      <c r="P428" s="14" t="s">
        <v>7</v>
      </c>
      <c r="Q428" s="10">
        <v>284.90559999999999</v>
      </c>
      <c r="R428" s="1"/>
      <c r="S428" s="14" t="s">
        <v>8</v>
      </c>
      <c r="T428" s="10">
        <v>279.3877</v>
      </c>
    </row>
    <row r="429" spans="1:20" x14ac:dyDescent="0.35">
      <c r="A429" s="4">
        <v>427</v>
      </c>
      <c r="B429" s="2">
        <v>43356</v>
      </c>
      <c r="C429" s="1">
        <v>281.99</v>
      </c>
      <c r="D429" s="1">
        <v>282.69</v>
      </c>
      <c r="E429" s="1">
        <v>281.68</v>
      </c>
      <c r="F429" s="1">
        <v>282.49</v>
      </c>
      <c r="G429" s="1" t="str">
        <f>IF(testdata[[#This Row],[high]]&gt;MAX(D425:D428,D430:D433),testdata[[#This Row],[high]],"")</f>
        <v/>
      </c>
      <c r="H429" s="14" t="s">
        <v>7</v>
      </c>
      <c r="I429" s="10">
        <f t="shared" ca="1" si="29"/>
        <v>285.07624999999894</v>
      </c>
      <c r="J429" s="1" t="str">
        <f>IF(testdata[[#This Row],[low]]&lt;MIN(E425:E428,E430:E433),testdata[[#This Row],[low]],"")</f>
        <v/>
      </c>
      <c r="K429" s="14" t="s">
        <v>8</v>
      </c>
      <c r="L429" s="10">
        <f t="shared" ca="1" si="30"/>
        <v>279.68692307692243</v>
      </c>
      <c r="N429" s="2">
        <v>43356</v>
      </c>
      <c r="O429" s="1"/>
      <c r="P429" s="14" t="s">
        <v>7</v>
      </c>
      <c r="Q429" s="10">
        <v>285.0763</v>
      </c>
      <c r="R429" s="1"/>
      <c r="S429" s="14" t="s">
        <v>8</v>
      </c>
      <c r="T429" s="10">
        <v>279.68689999999998</v>
      </c>
    </row>
    <row r="430" spans="1:20" x14ac:dyDescent="0.35">
      <c r="A430" s="4">
        <v>428</v>
      </c>
      <c r="B430" s="2">
        <v>43357</v>
      </c>
      <c r="C430" s="1">
        <v>282.70999999999998</v>
      </c>
      <c r="D430" s="1">
        <v>282.92</v>
      </c>
      <c r="E430" s="1">
        <v>281.68</v>
      </c>
      <c r="F430" s="1">
        <v>282.54000000000002</v>
      </c>
      <c r="G430" s="1" t="str">
        <f>IF(testdata[[#This Row],[high]]&gt;MAX(D426:D429,D431:D434),testdata[[#This Row],[high]],"")</f>
        <v/>
      </c>
      <c r="H430" s="14" t="s">
        <v>7</v>
      </c>
      <c r="I430" s="10">
        <f t="shared" ca="1" si="29"/>
        <v>285.24687499999902</v>
      </c>
      <c r="J430" s="1" t="str">
        <f>IF(testdata[[#This Row],[low]]&lt;MIN(E426:E429,E431:E434),testdata[[#This Row],[low]],"")</f>
        <v/>
      </c>
      <c r="K430" s="14" t="s">
        <v>8</v>
      </c>
      <c r="L430" s="10">
        <f t="shared" ca="1" si="30"/>
        <v>279.98615384615312</v>
      </c>
      <c r="N430" s="2">
        <v>43357</v>
      </c>
      <c r="O430" s="1"/>
      <c r="P430" s="14" t="s">
        <v>7</v>
      </c>
      <c r="Q430" s="10">
        <v>285.24689999999998</v>
      </c>
      <c r="R430" s="1"/>
      <c r="S430" s="14" t="s">
        <v>8</v>
      </c>
      <c r="T430" s="10">
        <v>279.9862</v>
      </c>
    </row>
    <row r="431" spans="1:20" x14ac:dyDescent="0.35">
      <c r="A431" s="4">
        <v>429</v>
      </c>
      <c r="B431" s="2">
        <v>43360</v>
      </c>
      <c r="C431" s="1">
        <v>282.48</v>
      </c>
      <c r="D431" s="1">
        <v>282.52</v>
      </c>
      <c r="E431" s="1">
        <v>280.74</v>
      </c>
      <c r="F431" s="1">
        <v>281.04000000000002</v>
      </c>
      <c r="G431" s="1" t="str">
        <f>IF(testdata[[#This Row],[high]]&gt;MAX(D427:D430,D432:D435),testdata[[#This Row],[high]],"")</f>
        <v/>
      </c>
      <c r="H431" s="14" t="s">
        <v>7</v>
      </c>
      <c r="I431" s="10">
        <f t="shared" ca="1" si="29"/>
        <v>285.41749999999917</v>
      </c>
      <c r="J431" s="1" t="str">
        <f>IF(testdata[[#This Row],[low]]&lt;MIN(E427:E430,E432:E435),testdata[[#This Row],[low]],"")</f>
        <v/>
      </c>
      <c r="K431" s="14" t="s">
        <v>8</v>
      </c>
      <c r="L431" s="10">
        <f t="shared" ca="1" si="30"/>
        <v>280.28538461538386</v>
      </c>
      <c r="N431" s="2">
        <v>43360</v>
      </c>
      <c r="O431" s="1"/>
      <c r="P431" s="14" t="s">
        <v>7</v>
      </c>
      <c r="Q431" s="10">
        <v>285.41750000000002</v>
      </c>
      <c r="R431" s="1"/>
      <c r="S431" s="14" t="s">
        <v>8</v>
      </c>
      <c r="T431" s="10">
        <v>280.28539999999998</v>
      </c>
    </row>
    <row r="432" spans="1:20" x14ac:dyDescent="0.35">
      <c r="A432" s="4">
        <v>430</v>
      </c>
      <c r="B432" s="2">
        <v>43361</v>
      </c>
      <c r="C432" s="1">
        <v>281.27999999999997</v>
      </c>
      <c r="D432" s="1">
        <v>283.22000000000003</v>
      </c>
      <c r="E432" s="1">
        <v>281.25</v>
      </c>
      <c r="F432" s="1">
        <v>282.57</v>
      </c>
      <c r="G432" s="1" t="str">
        <f>IF(testdata[[#This Row],[high]]&gt;MAX(D428:D431,D433:D436),testdata[[#This Row],[high]],"")</f>
        <v/>
      </c>
      <c r="H432" s="14" t="s">
        <v>7</v>
      </c>
      <c r="I432" s="10">
        <f t="shared" ca="1" si="29"/>
        <v>285.58812499999931</v>
      </c>
      <c r="J432" s="1" t="str">
        <f>IF(testdata[[#This Row],[low]]&lt;MIN(E428:E431,E433:E436),testdata[[#This Row],[low]],"")</f>
        <v/>
      </c>
      <c r="K432" s="14" t="s">
        <v>8</v>
      </c>
      <c r="L432" s="10">
        <f t="shared" ca="1" si="30"/>
        <v>280.58461538461461</v>
      </c>
      <c r="N432" s="2">
        <v>43361</v>
      </c>
      <c r="O432" s="1"/>
      <c r="P432" s="14" t="s">
        <v>7</v>
      </c>
      <c r="Q432" s="10">
        <v>285.5881</v>
      </c>
      <c r="R432" s="1"/>
      <c r="S432" s="14" t="s">
        <v>8</v>
      </c>
      <c r="T432" s="10">
        <v>280.58460000000002</v>
      </c>
    </row>
    <row r="433" spans="1:20" x14ac:dyDescent="0.35">
      <c r="A433" s="4">
        <v>431</v>
      </c>
      <c r="B433" s="2">
        <v>43362</v>
      </c>
      <c r="C433" s="1">
        <v>282.63</v>
      </c>
      <c r="D433" s="1">
        <v>283.33</v>
      </c>
      <c r="E433" s="1">
        <v>282.48</v>
      </c>
      <c r="F433" s="1">
        <v>282.87</v>
      </c>
      <c r="G433" s="1" t="str">
        <f>IF(testdata[[#This Row],[high]]&gt;MAX(D429:D432,D434:D437),testdata[[#This Row],[high]],"")</f>
        <v/>
      </c>
      <c r="H433" s="14" t="s">
        <v>7</v>
      </c>
      <c r="I433" s="10">
        <f t="shared" ca="1" si="29"/>
        <v>285.75874999999951</v>
      </c>
      <c r="J433" s="1" t="str">
        <f>IF(testdata[[#This Row],[low]]&lt;MIN(E429:E432,E434:E437),testdata[[#This Row],[low]],"")</f>
        <v/>
      </c>
      <c r="K433" s="14" t="s">
        <v>8</v>
      </c>
      <c r="L433" s="10">
        <f t="shared" ca="1" si="30"/>
        <v>280.88384615384541</v>
      </c>
      <c r="N433" s="2">
        <v>43362</v>
      </c>
      <c r="O433" s="1"/>
      <c r="P433" s="14" t="s">
        <v>7</v>
      </c>
      <c r="Q433" s="10">
        <v>285.75880000000001</v>
      </c>
      <c r="R433" s="1"/>
      <c r="S433" s="14" t="s">
        <v>8</v>
      </c>
      <c r="T433" s="10">
        <v>280.88380000000001</v>
      </c>
    </row>
    <row r="434" spans="1:20" x14ac:dyDescent="0.35">
      <c r="A434" s="4">
        <v>432</v>
      </c>
      <c r="B434" s="2">
        <v>43363</v>
      </c>
      <c r="C434" s="1">
        <v>284.25</v>
      </c>
      <c r="D434" s="1">
        <v>285.51</v>
      </c>
      <c r="E434" s="1">
        <v>282.88</v>
      </c>
      <c r="F434" s="1">
        <v>285.16000000000003</v>
      </c>
      <c r="G434" s="1" t="str">
        <f>IF(testdata[[#This Row],[high]]&gt;MAX(D430:D433,D435:D438),testdata[[#This Row],[high]],"")</f>
        <v/>
      </c>
      <c r="H434" s="14" t="s">
        <v>7</v>
      </c>
      <c r="I434" s="10">
        <f t="shared" ca="1" si="29"/>
        <v>285.92937499999977</v>
      </c>
      <c r="J434" s="1" t="str">
        <f>IF(testdata[[#This Row],[low]]&lt;MIN(E430:E433,E435:E438),testdata[[#This Row],[low]],"")</f>
        <v/>
      </c>
      <c r="K434" s="14" t="s">
        <v>8</v>
      </c>
      <c r="L434" s="10">
        <f t="shared" ca="1" si="30"/>
        <v>281.18307692307627</v>
      </c>
      <c r="N434" s="2">
        <v>43363</v>
      </c>
      <c r="O434" s="1"/>
      <c r="P434" s="14" t="s">
        <v>7</v>
      </c>
      <c r="Q434" s="10">
        <v>285.92939999999999</v>
      </c>
      <c r="R434" s="1"/>
      <c r="S434" s="14" t="s">
        <v>8</v>
      </c>
      <c r="T434" s="10">
        <v>281.18310000000002</v>
      </c>
    </row>
    <row r="435" spans="1:20" x14ac:dyDescent="0.35">
      <c r="A435" s="4">
        <v>433</v>
      </c>
      <c r="B435" s="2">
        <v>43364</v>
      </c>
      <c r="C435" s="1">
        <v>285.97000000000003</v>
      </c>
      <c r="D435" s="1">
        <v>286.10000000000002</v>
      </c>
      <c r="E435" s="1">
        <v>284.72000000000003</v>
      </c>
      <c r="F435" s="1">
        <v>284.89999999999998</v>
      </c>
      <c r="G435" s="1">
        <f>IF(testdata[[#This Row],[high]]&gt;MAX(D431:D434,D436:D439),testdata[[#This Row],[high]],"")</f>
        <v>286.10000000000002</v>
      </c>
      <c r="H435" s="14" t="s">
        <v>7</v>
      </c>
      <c r="I435" s="9">
        <f>testdata[[#This Row],[Hpoint]]</f>
        <v>286.10000000000002</v>
      </c>
      <c r="J435" s="1" t="str">
        <f>IF(testdata[[#This Row],[low]]&lt;MIN(E431:E434,E436:E439),testdata[[#This Row],[low]],"")</f>
        <v/>
      </c>
      <c r="K435" s="14" t="s">
        <v>8</v>
      </c>
      <c r="L435" s="10">
        <f t="shared" ca="1" si="30"/>
        <v>281.48230769230713</v>
      </c>
      <c r="N435" s="2">
        <v>43364</v>
      </c>
      <c r="O435" s="1">
        <v>286.10000000000002</v>
      </c>
      <c r="P435" s="14" t="s">
        <v>7</v>
      </c>
      <c r="Q435" s="9">
        <v>286.10000000000002</v>
      </c>
      <c r="R435" s="1"/>
      <c r="S435" s="14" t="s">
        <v>8</v>
      </c>
      <c r="T435" s="10">
        <v>281.48230000000001</v>
      </c>
    </row>
    <row r="436" spans="1:20" x14ac:dyDescent="0.35">
      <c r="A436" s="4">
        <v>434</v>
      </c>
      <c r="B436" s="2">
        <v>43367</v>
      </c>
      <c r="C436" s="1">
        <v>284.27</v>
      </c>
      <c r="D436" s="1">
        <v>284.42</v>
      </c>
      <c r="E436" s="1">
        <v>283.32</v>
      </c>
      <c r="F436" s="1">
        <v>283.95</v>
      </c>
      <c r="G436" s="1" t="str">
        <f>IF(testdata[[#This Row],[high]]&gt;MAX(D432:D435,D437:D440),testdata[[#This Row],[high]],"")</f>
        <v/>
      </c>
      <c r="H436" s="14" t="s">
        <v>6</v>
      </c>
      <c r="I436" s="10">
        <f t="shared" ref="I436:I442" ca="1" si="31">AVERAGE(I435,I437)</f>
        <v>286.09874999999988</v>
      </c>
      <c r="J436" s="1" t="str">
        <f>IF(testdata[[#This Row],[low]]&lt;MIN(E432:E435,E437:E440),testdata[[#This Row],[low]],"")</f>
        <v/>
      </c>
      <c r="K436" s="14" t="s">
        <v>8</v>
      </c>
      <c r="L436" s="10">
        <f t="shared" ca="1" si="30"/>
        <v>281.78153846153805</v>
      </c>
      <c r="N436" s="2">
        <v>43367</v>
      </c>
      <c r="O436" s="1"/>
      <c r="P436" s="14" t="s">
        <v>6</v>
      </c>
      <c r="Q436" s="10">
        <v>286.09879999999998</v>
      </c>
      <c r="R436" s="1"/>
      <c r="S436" s="14" t="s">
        <v>8</v>
      </c>
      <c r="T436" s="10">
        <v>281.78149999999999</v>
      </c>
    </row>
    <row r="437" spans="1:20" x14ac:dyDescent="0.35">
      <c r="A437" s="4">
        <v>435</v>
      </c>
      <c r="B437" s="2">
        <v>43368</v>
      </c>
      <c r="C437" s="1">
        <v>284.45</v>
      </c>
      <c r="D437" s="1">
        <v>284.57</v>
      </c>
      <c r="E437" s="1">
        <v>283.43</v>
      </c>
      <c r="F437" s="1">
        <v>283.69</v>
      </c>
      <c r="G437" s="1" t="str">
        <f>IF(testdata[[#This Row],[high]]&gt;MAX(D433:D436,D438:D441),testdata[[#This Row],[high]],"")</f>
        <v/>
      </c>
      <c r="H437" s="14" t="s">
        <v>6</v>
      </c>
      <c r="I437" s="10">
        <f t="shared" ca="1" si="31"/>
        <v>286.0974999999998</v>
      </c>
      <c r="J437" s="1" t="str">
        <f>IF(testdata[[#This Row],[low]]&lt;MIN(E433:E436,E438:E441),testdata[[#This Row],[low]],"")</f>
        <v/>
      </c>
      <c r="K437" s="14" t="s">
        <v>8</v>
      </c>
      <c r="L437" s="10">
        <f t="shared" ca="1" si="30"/>
        <v>282.08076923076902</v>
      </c>
      <c r="N437" s="2">
        <v>43368</v>
      </c>
      <c r="O437" s="1"/>
      <c r="P437" s="14" t="s">
        <v>6</v>
      </c>
      <c r="Q437" s="10">
        <v>286.09750000000003</v>
      </c>
      <c r="R437" s="1"/>
      <c r="S437" s="14" t="s">
        <v>8</v>
      </c>
      <c r="T437" s="10">
        <v>282.08080000000001</v>
      </c>
    </row>
    <row r="438" spans="1:20" x14ac:dyDescent="0.35">
      <c r="A438" s="4">
        <v>436</v>
      </c>
      <c r="B438" s="2">
        <v>43369</v>
      </c>
      <c r="C438" s="1">
        <v>283.85000000000002</v>
      </c>
      <c r="D438" s="1">
        <v>285.14</v>
      </c>
      <c r="E438" s="1">
        <v>282.38</v>
      </c>
      <c r="F438" s="1">
        <v>282.83999999999997</v>
      </c>
      <c r="G438" s="1" t="str">
        <f>IF(testdata[[#This Row],[high]]&gt;MAX(D434:D437,D439:D442),testdata[[#This Row],[high]],"")</f>
        <v/>
      </c>
      <c r="H438" s="14" t="s">
        <v>6</v>
      </c>
      <c r="I438" s="10">
        <f t="shared" ca="1" si="31"/>
        <v>286.09624999999971</v>
      </c>
      <c r="J438" s="1">
        <f>IF(testdata[[#This Row],[low]]&lt;MIN(E434:E437,E439:E442),testdata[[#This Row],[low]],"")</f>
        <v>282.38</v>
      </c>
      <c r="K438" s="14" t="s">
        <v>8</v>
      </c>
      <c r="L438" s="9">
        <f>testdata[[#This Row],[Lpoint]]</f>
        <v>282.38</v>
      </c>
      <c r="N438" s="2">
        <v>43369</v>
      </c>
      <c r="O438" s="1"/>
      <c r="P438" s="14" t="s">
        <v>6</v>
      </c>
      <c r="Q438" s="10">
        <v>286.09629999999999</v>
      </c>
      <c r="R438" s="1">
        <v>282.38</v>
      </c>
      <c r="S438" s="14" t="s">
        <v>8</v>
      </c>
      <c r="T438" s="9">
        <v>282.38</v>
      </c>
    </row>
    <row r="439" spans="1:20" x14ac:dyDescent="0.35">
      <c r="A439" s="4">
        <v>437</v>
      </c>
      <c r="B439" s="2">
        <v>43370</v>
      </c>
      <c r="C439" s="1">
        <v>283.36</v>
      </c>
      <c r="D439" s="1">
        <v>284.82</v>
      </c>
      <c r="E439" s="1">
        <v>283.06</v>
      </c>
      <c r="F439" s="1">
        <v>283.63</v>
      </c>
      <c r="G439" s="1" t="str">
        <f>IF(testdata[[#This Row],[high]]&gt;MAX(D435:D438,D440:D443),testdata[[#This Row],[high]],"")</f>
        <v/>
      </c>
      <c r="H439" s="14" t="s">
        <v>6</v>
      </c>
      <c r="I439" s="10">
        <f t="shared" ca="1" si="31"/>
        <v>286.09499999999969</v>
      </c>
      <c r="J439" s="1" t="str">
        <f>IF(testdata[[#This Row],[low]]&lt;MIN(E435:E438,E440:E443),testdata[[#This Row],[low]],"")</f>
        <v/>
      </c>
      <c r="K439" s="14" t="s">
        <v>13</v>
      </c>
      <c r="L439" s="10">
        <f t="shared" ref="L439:L448" ca="1" si="32">AVERAGE(L438,L440)</f>
        <v>280.69090909090892</v>
      </c>
      <c r="N439" s="2">
        <v>43370</v>
      </c>
      <c r="O439" s="1"/>
      <c r="P439" s="14" t="s">
        <v>6</v>
      </c>
      <c r="Q439" s="10">
        <v>286.09500000000003</v>
      </c>
      <c r="R439" s="1"/>
      <c r="S439" s="14" t="s">
        <v>13</v>
      </c>
      <c r="T439" s="10">
        <v>280.6909</v>
      </c>
    </row>
    <row r="440" spans="1:20" x14ac:dyDescent="0.35">
      <c r="A440" s="4">
        <v>438</v>
      </c>
      <c r="B440" s="2">
        <v>43371</v>
      </c>
      <c r="C440" s="1">
        <v>282.95</v>
      </c>
      <c r="D440" s="1">
        <v>284.20999999999998</v>
      </c>
      <c r="E440" s="1">
        <v>282.91000000000003</v>
      </c>
      <c r="F440" s="1">
        <v>283.66000000000003</v>
      </c>
      <c r="G440" s="1" t="str">
        <f>IF(testdata[[#This Row],[high]]&gt;MAX(D436:D439,D441:D444),testdata[[#This Row],[high]],"")</f>
        <v/>
      </c>
      <c r="H440" s="14" t="s">
        <v>6</v>
      </c>
      <c r="I440" s="10">
        <f t="shared" ca="1" si="31"/>
        <v>286.09374999999972</v>
      </c>
      <c r="J440" s="1" t="str">
        <f>IF(testdata[[#This Row],[low]]&lt;MIN(E436:E439,E441:E444),testdata[[#This Row],[low]],"")</f>
        <v/>
      </c>
      <c r="K440" s="14" t="s">
        <v>13</v>
      </c>
      <c r="L440" s="10">
        <f t="shared" ca="1" si="32"/>
        <v>279.0018181818179</v>
      </c>
      <c r="N440" s="2">
        <v>43371</v>
      </c>
      <c r="O440" s="1"/>
      <c r="P440" s="14" t="s">
        <v>6</v>
      </c>
      <c r="Q440" s="10">
        <v>286.09379999999999</v>
      </c>
      <c r="R440" s="1"/>
      <c r="S440" s="14" t="s">
        <v>13</v>
      </c>
      <c r="T440" s="10">
        <v>279.0018</v>
      </c>
    </row>
    <row r="441" spans="1:20" x14ac:dyDescent="0.35">
      <c r="A441" s="4">
        <v>439</v>
      </c>
      <c r="B441" s="2">
        <v>43374</v>
      </c>
      <c r="C441" s="1">
        <v>285.02</v>
      </c>
      <c r="D441" s="1">
        <v>285.82</v>
      </c>
      <c r="E441" s="1">
        <v>283.91000000000003</v>
      </c>
      <c r="F441" s="1">
        <v>284.64999999999998</v>
      </c>
      <c r="G441" s="1" t="str">
        <f>IF(testdata[[#This Row],[high]]&gt;MAX(D437:D440,D442:D445),testdata[[#This Row],[high]],"")</f>
        <v/>
      </c>
      <c r="H441" s="14" t="s">
        <v>6</v>
      </c>
      <c r="I441" s="10">
        <f t="shared" ca="1" si="31"/>
        <v>286.09249999999975</v>
      </c>
      <c r="J441" s="1" t="str">
        <f>IF(testdata[[#This Row],[low]]&lt;MIN(E437:E440,E442:E445),testdata[[#This Row],[low]],"")</f>
        <v/>
      </c>
      <c r="K441" s="14" t="s">
        <v>13</v>
      </c>
      <c r="L441" s="10">
        <f t="shared" ca="1" si="32"/>
        <v>277.31272727272687</v>
      </c>
      <c r="N441" s="2">
        <v>43374</v>
      </c>
      <c r="O441" s="1"/>
      <c r="P441" s="14" t="s">
        <v>6</v>
      </c>
      <c r="Q441" s="10">
        <v>286.09249999999997</v>
      </c>
      <c r="R441" s="1"/>
      <c r="S441" s="14" t="s">
        <v>13</v>
      </c>
      <c r="T441" s="10">
        <v>277.31270000000001</v>
      </c>
    </row>
    <row r="442" spans="1:20" x14ac:dyDescent="0.35">
      <c r="A442" s="4">
        <v>440</v>
      </c>
      <c r="B442" s="2">
        <v>43375</v>
      </c>
      <c r="C442" s="1">
        <v>284.48</v>
      </c>
      <c r="D442" s="1">
        <v>285.26</v>
      </c>
      <c r="E442" s="1">
        <v>284.07</v>
      </c>
      <c r="F442" s="1">
        <v>284.48</v>
      </c>
      <c r="G442" s="1" t="str">
        <f>IF(testdata[[#This Row],[high]]&gt;MAX(D438:D441,D443:D446),testdata[[#This Row],[high]],"")</f>
        <v/>
      </c>
      <c r="H442" s="14" t="s">
        <v>6</v>
      </c>
      <c r="I442" s="10">
        <f t="shared" ca="1" si="31"/>
        <v>286.09124999999983</v>
      </c>
      <c r="J442" s="1" t="str">
        <f>IF(testdata[[#This Row],[low]]&lt;MIN(E438:E441,E443:E446),testdata[[#This Row],[low]],"")</f>
        <v/>
      </c>
      <c r="K442" s="14" t="s">
        <v>13</v>
      </c>
      <c r="L442" s="10">
        <f t="shared" ca="1" si="32"/>
        <v>275.62363636363591</v>
      </c>
      <c r="N442" s="2">
        <v>43375</v>
      </c>
      <c r="O442" s="1"/>
      <c r="P442" s="14" t="s">
        <v>6</v>
      </c>
      <c r="Q442" s="10">
        <v>286.09129999999999</v>
      </c>
      <c r="R442" s="1"/>
      <c r="S442" s="14" t="s">
        <v>13</v>
      </c>
      <c r="T442" s="10">
        <v>275.62360000000001</v>
      </c>
    </row>
    <row r="443" spans="1:20" x14ac:dyDescent="0.35">
      <c r="A443" s="4">
        <v>441</v>
      </c>
      <c r="B443" s="2">
        <v>43376</v>
      </c>
      <c r="C443" s="1">
        <v>285.63</v>
      </c>
      <c r="D443" s="1">
        <v>286.08999999999997</v>
      </c>
      <c r="E443" s="1">
        <v>284.25</v>
      </c>
      <c r="F443" s="1">
        <v>284.64</v>
      </c>
      <c r="G443" s="1">
        <f>IF(testdata[[#This Row],[high]]&gt;MAX(D439:D442,D444:D447),testdata[[#This Row],[high]],"")</f>
        <v>286.08999999999997</v>
      </c>
      <c r="H443" s="14" t="s">
        <v>6</v>
      </c>
      <c r="I443" s="9">
        <f>testdata[[#This Row],[Hpoint]]</f>
        <v>286.08999999999997</v>
      </c>
      <c r="J443" s="1" t="str">
        <f>IF(testdata[[#This Row],[low]]&lt;MIN(E439:E442,E444:E447),testdata[[#This Row],[low]],"")</f>
        <v/>
      </c>
      <c r="K443" s="14" t="s">
        <v>13</v>
      </c>
      <c r="L443" s="10">
        <f t="shared" ca="1" si="32"/>
        <v>273.934545454545</v>
      </c>
      <c r="N443" s="2">
        <v>43376</v>
      </c>
      <c r="O443" s="1">
        <v>286.08999999999997</v>
      </c>
      <c r="P443" s="14" t="s">
        <v>6</v>
      </c>
      <c r="Q443" s="9">
        <v>286.08999999999997</v>
      </c>
      <c r="R443" s="1"/>
      <c r="S443" s="14" t="s">
        <v>13</v>
      </c>
      <c r="T443" s="10">
        <v>273.93450000000001</v>
      </c>
    </row>
    <row r="444" spans="1:20" x14ac:dyDescent="0.35">
      <c r="A444" s="4">
        <v>442</v>
      </c>
      <c r="B444" s="2">
        <v>43377</v>
      </c>
      <c r="C444" s="1">
        <v>284.11</v>
      </c>
      <c r="D444" s="1">
        <v>284.17</v>
      </c>
      <c r="E444" s="1">
        <v>280.68</v>
      </c>
      <c r="F444" s="1">
        <v>282.41000000000003</v>
      </c>
      <c r="G444" s="1" t="str">
        <f>IF(testdata[[#This Row],[high]]&gt;MAX(D440:D443,D445:D448),testdata[[#This Row],[high]],"")</f>
        <v/>
      </c>
      <c r="H444" s="14" t="s">
        <v>6</v>
      </c>
      <c r="I444" s="10">
        <f t="shared" ref="I444:I452" ca="1" si="33">AVERAGE(I443,I445)</f>
        <v>284.9129999999999</v>
      </c>
      <c r="J444" s="1" t="str">
        <f>IF(testdata[[#This Row],[low]]&lt;MIN(E440:E443,E445:E448),testdata[[#This Row],[low]],"")</f>
        <v/>
      </c>
      <c r="K444" s="14" t="s">
        <v>13</v>
      </c>
      <c r="L444" s="10">
        <f t="shared" ca="1" si="32"/>
        <v>272.24545454545409</v>
      </c>
      <c r="N444" s="2">
        <v>43377</v>
      </c>
      <c r="O444" s="1"/>
      <c r="P444" s="14" t="s">
        <v>6</v>
      </c>
      <c r="Q444" s="10">
        <v>284.91300000000001</v>
      </c>
      <c r="R444" s="1"/>
      <c r="S444" s="14" t="s">
        <v>13</v>
      </c>
      <c r="T444" s="10">
        <v>272.24549999999999</v>
      </c>
    </row>
    <row r="445" spans="1:20" x14ac:dyDescent="0.35">
      <c r="A445" s="4">
        <v>443</v>
      </c>
      <c r="B445" s="2">
        <v>43378</v>
      </c>
      <c r="C445" s="1">
        <v>282.66000000000003</v>
      </c>
      <c r="D445" s="1">
        <v>283.22000000000003</v>
      </c>
      <c r="E445" s="1">
        <v>279.27</v>
      </c>
      <c r="F445" s="1">
        <v>280.83</v>
      </c>
      <c r="G445" s="1" t="str">
        <f>IF(testdata[[#This Row],[high]]&gt;MAX(D441:D444,D446:D449),testdata[[#This Row],[high]],"")</f>
        <v/>
      </c>
      <c r="H445" s="14" t="s">
        <v>6</v>
      </c>
      <c r="I445" s="10">
        <f t="shared" ca="1" si="33"/>
        <v>283.73599999999976</v>
      </c>
      <c r="J445" s="1" t="str">
        <f>IF(testdata[[#This Row],[low]]&lt;MIN(E441:E444,E446:E449),testdata[[#This Row],[low]],"")</f>
        <v/>
      </c>
      <c r="K445" s="14" t="s">
        <v>13</v>
      </c>
      <c r="L445" s="10">
        <f t="shared" ca="1" si="32"/>
        <v>270.55636363636324</v>
      </c>
      <c r="N445" s="2">
        <v>43378</v>
      </c>
      <c r="O445" s="1"/>
      <c r="P445" s="14" t="s">
        <v>6</v>
      </c>
      <c r="Q445" s="10">
        <v>283.73599999999999</v>
      </c>
      <c r="R445" s="1"/>
      <c r="S445" s="14" t="s">
        <v>13</v>
      </c>
      <c r="T445" s="10">
        <v>270.5564</v>
      </c>
    </row>
    <row r="446" spans="1:20" x14ac:dyDescent="0.35">
      <c r="A446" s="4">
        <v>444</v>
      </c>
      <c r="B446" s="2">
        <v>43381</v>
      </c>
      <c r="C446" s="1">
        <v>280.08</v>
      </c>
      <c r="D446" s="1">
        <v>281.22000000000003</v>
      </c>
      <c r="E446" s="1">
        <v>278.57</v>
      </c>
      <c r="F446" s="1">
        <v>280.83</v>
      </c>
      <c r="G446" s="1" t="str">
        <f>IF(testdata[[#This Row],[high]]&gt;MAX(D442:D445,D447:D450),testdata[[#This Row],[high]],"")</f>
        <v/>
      </c>
      <c r="H446" s="14" t="s">
        <v>6</v>
      </c>
      <c r="I446" s="10">
        <f t="shared" ca="1" si="33"/>
        <v>282.55899999999968</v>
      </c>
      <c r="J446" s="1" t="str">
        <f>IF(testdata[[#This Row],[low]]&lt;MIN(E442:E445,E447:E450),testdata[[#This Row],[low]],"")</f>
        <v/>
      </c>
      <c r="K446" s="14" t="s">
        <v>13</v>
      </c>
      <c r="L446" s="10">
        <f t="shared" ca="1" si="32"/>
        <v>268.86727272727239</v>
      </c>
      <c r="N446" s="2">
        <v>43381</v>
      </c>
      <c r="O446" s="1"/>
      <c r="P446" s="14" t="s">
        <v>6</v>
      </c>
      <c r="Q446" s="10">
        <v>282.55900000000003</v>
      </c>
      <c r="R446" s="1"/>
      <c r="S446" s="14" t="s">
        <v>13</v>
      </c>
      <c r="T446" s="10">
        <v>268.8673</v>
      </c>
    </row>
    <row r="447" spans="1:20" x14ac:dyDescent="0.35">
      <c r="A447" s="4">
        <v>445</v>
      </c>
      <c r="B447" s="2">
        <v>43382</v>
      </c>
      <c r="C447" s="1">
        <v>280.41000000000003</v>
      </c>
      <c r="D447" s="1">
        <v>281.85000000000002</v>
      </c>
      <c r="E447" s="1">
        <v>279.81</v>
      </c>
      <c r="F447" s="1">
        <v>280.42</v>
      </c>
      <c r="G447" s="1" t="str">
        <f>IF(testdata[[#This Row],[high]]&gt;MAX(D443:D446,D448:D451),testdata[[#This Row],[high]],"")</f>
        <v/>
      </c>
      <c r="H447" s="14" t="s">
        <v>6</v>
      </c>
      <c r="I447" s="10">
        <f t="shared" ca="1" si="33"/>
        <v>281.38199999999961</v>
      </c>
      <c r="J447" s="1" t="str">
        <f>IF(testdata[[#This Row],[low]]&lt;MIN(E443:E446,E448:E451),testdata[[#This Row],[low]],"")</f>
        <v/>
      </c>
      <c r="K447" s="14" t="s">
        <v>13</v>
      </c>
      <c r="L447" s="10">
        <f t="shared" ca="1" si="32"/>
        <v>267.1781818181816</v>
      </c>
      <c r="N447" s="2">
        <v>43382</v>
      </c>
      <c r="O447" s="1"/>
      <c r="P447" s="14" t="s">
        <v>6</v>
      </c>
      <c r="Q447" s="10">
        <v>281.38200000000001</v>
      </c>
      <c r="R447" s="1"/>
      <c r="S447" s="14" t="s">
        <v>13</v>
      </c>
      <c r="T447" s="10">
        <v>267.1782</v>
      </c>
    </row>
    <row r="448" spans="1:20" x14ac:dyDescent="0.35">
      <c r="A448" s="4">
        <v>446</v>
      </c>
      <c r="B448" s="2">
        <v>43383</v>
      </c>
      <c r="C448" s="1">
        <v>279.87</v>
      </c>
      <c r="D448" s="1">
        <v>279.94</v>
      </c>
      <c r="E448" s="1">
        <v>271.13</v>
      </c>
      <c r="F448" s="1">
        <v>271.54000000000002</v>
      </c>
      <c r="G448" s="1" t="str">
        <f>IF(testdata[[#This Row],[high]]&gt;MAX(D444:D447,D449:D452),testdata[[#This Row],[high]],"")</f>
        <v/>
      </c>
      <c r="H448" s="14" t="s">
        <v>6</v>
      </c>
      <c r="I448" s="10">
        <f t="shared" ca="1" si="33"/>
        <v>280.20499999999959</v>
      </c>
      <c r="J448" s="1" t="str">
        <f>IF(testdata[[#This Row],[low]]&lt;MIN(E444:E447,E449:E452),testdata[[#This Row],[low]],"")</f>
        <v/>
      </c>
      <c r="K448" s="14" t="s">
        <v>13</v>
      </c>
      <c r="L448" s="10">
        <f t="shared" ca="1" si="32"/>
        <v>265.48909090909081</v>
      </c>
      <c r="N448" s="2">
        <v>43383</v>
      </c>
      <c r="O448" s="1"/>
      <c r="P448" s="14" t="s">
        <v>6</v>
      </c>
      <c r="Q448" s="10">
        <v>280.20499999999998</v>
      </c>
      <c r="R448" s="1"/>
      <c r="S448" s="14" t="s">
        <v>13</v>
      </c>
      <c r="T448" s="10">
        <v>265.48910000000001</v>
      </c>
    </row>
    <row r="449" spans="1:20" x14ac:dyDescent="0.35">
      <c r="A449" s="4">
        <v>447</v>
      </c>
      <c r="B449" s="2">
        <v>43384</v>
      </c>
      <c r="C449" s="1">
        <v>270.35000000000002</v>
      </c>
      <c r="D449" s="1">
        <v>272.13</v>
      </c>
      <c r="E449" s="1">
        <v>263.8</v>
      </c>
      <c r="F449" s="1">
        <v>265.56</v>
      </c>
      <c r="G449" s="1" t="str">
        <f>IF(testdata[[#This Row],[high]]&gt;MAX(D445:D448,D450:D453),testdata[[#This Row],[high]],"")</f>
        <v/>
      </c>
      <c r="H449" s="14" t="s">
        <v>6</v>
      </c>
      <c r="I449" s="10">
        <f t="shared" ca="1" si="33"/>
        <v>279.02799999999962</v>
      </c>
      <c r="J449" s="1">
        <f>IF(testdata[[#This Row],[low]]&lt;MIN(E445:E448,E450:E453),testdata[[#This Row],[low]],"")</f>
        <v>263.8</v>
      </c>
      <c r="K449" s="14" t="s">
        <v>13</v>
      </c>
      <c r="L449" s="9">
        <f>testdata[[#This Row],[Lpoint]]</f>
        <v>263.8</v>
      </c>
      <c r="N449" s="2">
        <v>43384</v>
      </c>
      <c r="O449" s="1"/>
      <c r="P449" s="14" t="s">
        <v>6</v>
      </c>
      <c r="Q449" s="10">
        <v>279.02800000000002</v>
      </c>
      <c r="R449" s="1">
        <v>263.8</v>
      </c>
      <c r="S449" s="14" t="s">
        <v>13</v>
      </c>
      <c r="T449" s="9">
        <v>263.8</v>
      </c>
    </row>
    <row r="450" spans="1:20" x14ac:dyDescent="0.35">
      <c r="A450" s="4">
        <v>448</v>
      </c>
      <c r="B450" s="2">
        <v>43385</v>
      </c>
      <c r="C450" s="1">
        <v>270.05</v>
      </c>
      <c r="D450" s="1">
        <v>270.36</v>
      </c>
      <c r="E450" s="1">
        <v>265.76</v>
      </c>
      <c r="F450" s="1">
        <v>269.25</v>
      </c>
      <c r="G450" s="1" t="str">
        <f>IF(testdata[[#This Row],[high]]&gt;MAX(D446:D449,D451:D454),testdata[[#This Row],[high]],"")</f>
        <v/>
      </c>
      <c r="H450" s="14" t="s">
        <v>6</v>
      </c>
      <c r="I450" s="10">
        <f t="shared" ca="1" si="33"/>
        <v>277.85099999999966</v>
      </c>
      <c r="J450" s="1" t="str">
        <f>IF(testdata[[#This Row],[low]]&lt;MIN(E446:E449,E451:E454),testdata[[#This Row],[low]],"")</f>
        <v/>
      </c>
      <c r="K450" s="14" t="s">
        <v>13</v>
      </c>
      <c r="L450" s="10">
        <f t="shared" ref="L450:L460" ca="1" si="34">AVERAGE(L449,L451)</f>
        <v>262.94500000000016</v>
      </c>
      <c r="N450" s="2">
        <v>43385</v>
      </c>
      <c r="O450" s="1"/>
      <c r="P450" s="14" t="s">
        <v>6</v>
      </c>
      <c r="Q450" s="10">
        <v>277.851</v>
      </c>
      <c r="R450" s="1"/>
      <c r="S450" s="14" t="s">
        <v>13</v>
      </c>
      <c r="T450" s="10">
        <v>262.94499999999999</v>
      </c>
    </row>
    <row r="451" spans="1:20" x14ac:dyDescent="0.35">
      <c r="A451" s="4">
        <v>449</v>
      </c>
      <c r="B451" s="2">
        <v>43388</v>
      </c>
      <c r="C451" s="1">
        <v>268.86</v>
      </c>
      <c r="D451" s="1">
        <v>270.31</v>
      </c>
      <c r="E451" s="1">
        <v>267.64</v>
      </c>
      <c r="F451" s="1">
        <v>267.74</v>
      </c>
      <c r="G451" s="1" t="str">
        <f>IF(testdata[[#This Row],[high]]&gt;MAX(D447:D450,D452:D455),testdata[[#This Row],[high]],"")</f>
        <v/>
      </c>
      <c r="H451" s="14" t="s">
        <v>6</v>
      </c>
      <c r="I451" s="10">
        <f t="shared" ca="1" si="33"/>
        <v>276.67399999999975</v>
      </c>
      <c r="J451" s="1" t="str">
        <f>IF(testdata[[#This Row],[low]]&lt;MIN(E447:E450,E452:E455),testdata[[#This Row],[low]],"")</f>
        <v/>
      </c>
      <c r="K451" s="14" t="s">
        <v>13</v>
      </c>
      <c r="L451" s="10">
        <f t="shared" ca="1" si="34"/>
        <v>262.09000000000026</v>
      </c>
      <c r="N451" s="2">
        <v>43388</v>
      </c>
      <c r="O451" s="1"/>
      <c r="P451" s="14" t="s">
        <v>6</v>
      </c>
      <c r="Q451" s="10">
        <v>276.67399999999998</v>
      </c>
      <c r="R451" s="1"/>
      <c r="S451" s="14" t="s">
        <v>13</v>
      </c>
      <c r="T451" s="10">
        <v>262.08999999999997</v>
      </c>
    </row>
    <row r="452" spans="1:20" x14ac:dyDescent="0.35">
      <c r="A452" s="4">
        <v>450</v>
      </c>
      <c r="B452" s="2">
        <v>43389</v>
      </c>
      <c r="C452" s="1">
        <v>269.88</v>
      </c>
      <c r="D452" s="1">
        <v>274</v>
      </c>
      <c r="E452" s="1">
        <v>269.37</v>
      </c>
      <c r="F452" s="1">
        <v>273.58999999999997</v>
      </c>
      <c r="G452" s="1" t="str">
        <f>IF(testdata[[#This Row],[high]]&gt;MAX(D448:D451,D453:D456),testdata[[#This Row],[high]],"")</f>
        <v/>
      </c>
      <c r="H452" s="14" t="s">
        <v>6</v>
      </c>
      <c r="I452" s="10">
        <f t="shared" ca="1" si="33"/>
        <v>275.49699999999984</v>
      </c>
      <c r="J452" s="1" t="str">
        <f>IF(testdata[[#This Row],[low]]&lt;MIN(E448:E451,E453:E456),testdata[[#This Row],[low]],"")</f>
        <v/>
      </c>
      <c r="K452" s="14" t="s">
        <v>13</v>
      </c>
      <c r="L452" s="10">
        <f t="shared" ca="1" si="34"/>
        <v>261.23500000000035</v>
      </c>
      <c r="N452" s="2">
        <v>43389</v>
      </c>
      <c r="O452" s="1"/>
      <c r="P452" s="14" t="s">
        <v>6</v>
      </c>
      <c r="Q452" s="10">
        <v>275.49700000000001</v>
      </c>
      <c r="R452" s="1"/>
      <c r="S452" s="14" t="s">
        <v>13</v>
      </c>
      <c r="T452" s="10">
        <v>261.23500000000001</v>
      </c>
    </row>
    <row r="453" spans="1:20" x14ac:dyDescent="0.35">
      <c r="A453" s="4">
        <v>451</v>
      </c>
      <c r="B453" s="2">
        <v>43390</v>
      </c>
      <c r="C453" s="1">
        <v>273.63</v>
      </c>
      <c r="D453" s="1">
        <v>274.32</v>
      </c>
      <c r="E453" s="1">
        <v>270.82</v>
      </c>
      <c r="F453" s="1">
        <v>273.64</v>
      </c>
      <c r="G453" s="1">
        <f>IF(testdata[[#This Row],[high]]&gt;MAX(D449:D452,D454:D457),testdata[[#This Row],[high]],"")</f>
        <v>274.32</v>
      </c>
      <c r="H453" s="14" t="s">
        <v>6</v>
      </c>
      <c r="I453" s="9">
        <f>testdata[[#This Row],[Hpoint]]</f>
        <v>274.32</v>
      </c>
      <c r="J453" s="1" t="str">
        <f>IF(testdata[[#This Row],[low]]&lt;MIN(E449:E452,E454:E457),testdata[[#This Row],[low]],"")</f>
        <v/>
      </c>
      <c r="K453" s="14" t="s">
        <v>13</v>
      </c>
      <c r="L453" s="10">
        <f t="shared" ca="1" si="34"/>
        <v>260.38000000000045</v>
      </c>
      <c r="N453" s="2">
        <v>43390</v>
      </c>
      <c r="O453" s="1">
        <v>274.32</v>
      </c>
      <c r="P453" s="14" t="s">
        <v>6</v>
      </c>
      <c r="Q453" s="9">
        <v>274.32</v>
      </c>
      <c r="R453" s="1"/>
      <c r="S453" s="14" t="s">
        <v>13</v>
      </c>
      <c r="T453" s="10">
        <v>260.38</v>
      </c>
    </row>
    <row r="454" spans="1:20" x14ac:dyDescent="0.35">
      <c r="A454" s="4">
        <v>452</v>
      </c>
      <c r="B454" s="2">
        <v>43391</v>
      </c>
      <c r="C454" s="1">
        <v>272.62</v>
      </c>
      <c r="D454" s="1">
        <v>273.27</v>
      </c>
      <c r="E454" s="1">
        <v>268.29000000000002</v>
      </c>
      <c r="F454" s="1">
        <v>269.69</v>
      </c>
      <c r="G454" s="1" t="str">
        <f>IF(testdata[[#This Row],[high]]&gt;MAX(D450:D453,D455:D458),testdata[[#This Row],[high]],"")</f>
        <v/>
      </c>
      <c r="H454" s="14" t="s">
        <v>7</v>
      </c>
      <c r="I454" s="10">
        <f t="shared" ref="I454:I468" ca="1" si="35">AVERAGE(I453,I455)</f>
        <v>274.32437499999969</v>
      </c>
      <c r="J454" s="1" t="str">
        <f>IF(testdata[[#This Row],[low]]&lt;MIN(E450:E453,E455:E458),testdata[[#This Row],[low]],"")</f>
        <v/>
      </c>
      <c r="K454" s="14" t="s">
        <v>13</v>
      </c>
      <c r="L454" s="10">
        <f t="shared" ca="1" si="34"/>
        <v>259.52500000000049</v>
      </c>
      <c r="N454" s="2">
        <v>43391</v>
      </c>
      <c r="O454" s="1"/>
      <c r="P454" s="14" t="s">
        <v>7</v>
      </c>
      <c r="Q454" s="10">
        <v>274.32440000000003</v>
      </c>
      <c r="R454" s="1"/>
      <c r="S454" s="14" t="s">
        <v>13</v>
      </c>
      <c r="T454" s="10">
        <v>259.52499999999998</v>
      </c>
    </row>
    <row r="455" spans="1:20" x14ac:dyDescent="0.35">
      <c r="A455" s="4">
        <v>453</v>
      </c>
      <c r="B455" s="2">
        <v>43392</v>
      </c>
      <c r="C455" s="1">
        <v>270.39999999999998</v>
      </c>
      <c r="D455" s="1">
        <v>272.52</v>
      </c>
      <c r="E455" s="1">
        <v>268.77999999999997</v>
      </c>
      <c r="F455" s="1">
        <v>269.54000000000002</v>
      </c>
      <c r="G455" s="1" t="str">
        <f>IF(testdata[[#This Row],[high]]&gt;MAX(D451:D454,D456:D459),testdata[[#This Row],[high]],"")</f>
        <v/>
      </c>
      <c r="H455" s="14" t="s">
        <v>7</v>
      </c>
      <c r="I455" s="10">
        <f t="shared" ca="1" si="35"/>
        <v>274.32874999999945</v>
      </c>
      <c r="J455" s="1" t="str">
        <f>IF(testdata[[#This Row],[low]]&lt;MIN(E451:E454,E456:E459),testdata[[#This Row],[low]],"")</f>
        <v/>
      </c>
      <c r="K455" s="14" t="s">
        <v>13</v>
      </c>
      <c r="L455" s="10">
        <f t="shared" ca="1" si="34"/>
        <v>258.67000000000053</v>
      </c>
      <c r="N455" s="2">
        <v>43392</v>
      </c>
      <c r="O455" s="1"/>
      <c r="P455" s="14" t="s">
        <v>7</v>
      </c>
      <c r="Q455" s="10">
        <v>274.3288</v>
      </c>
      <c r="R455" s="1"/>
      <c r="S455" s="14" t="s">
        <v>13</v>
      </c>
      <c r="T455" s="10">
        <v>258.67</v>
      </c>
    </row>
    <row r="456" spans="1:20" x14ac:dyDescent="0.35">
      <c r="A456" s="4">
        <v>454</v>
      </c>
      <c r="B456" s="2">
        <v>43395</v>
      </c>
      <c r="C456" s="1">
        <v>270.27</v>
      </c>
      <c r="D456" s="1">
        <v>270.63</v>
      </c>
      <c r="E456" s="1">
        <v>267.75</v>
      </c>
      <c r="F456" s="1">
        <v>268.33</v>
      </c>
      <c r="G456" s="1" t="str">
        <f>IF(testdata[[#This Row],[high]]&gt;MAX(D452:D455,D457:D460),testdata[[#This Row],[high]],"")</f>
        <v/>
      </c>
      <c r="H456" s="14" t="s">
        <v>7</v>
      </c>
      <c r="I456" s="10">
        <f t="shared" ca="1" si="35"/>
        <v>274.33312499999926</v>
      </c>
      <c r="J456" s="1" t="str">
        <f>IF(testdata[[#This Row],[low]]&lt;MIN(E452:E455,E457:E460),testdata[[#This Row],[low]],"")</f>
        <v/>
      </c>
      <c r="K456" s="14" t="s">
        <v>13</v>
      </c>
      <c r="L456" s="10">
        <f t="shared" ca="1" si="34"/>
        <v>257.81500000000051</v>
      </c>
      <c r="N456" s="2">
        <v>43395</v>
      </c>
      <c r="O456" s="1"/>
      <c r="P456" s="14" t="s">
        <v>7</v>
      </c>
      <c r="Q456" s="10">
        <v>274.3331</v>
      </c>
      <c r="R456" s="1"/>
      <c r="S456" s="14" t="s">
        <v>13</v>
      </c>
      <c r="T456" s="10">
        <v>257.815</v>
      </c>
    </row>
    <row r="457" spans="1:20" x14ac:dyDescent="0.35">
      <c r="A457" s="4">
        <v>455</v>
      </c>
      <c r="B457" s="2">
        <v>43396</v>
      </c>
      <c r="C457" s="1">
        <v>264.37</v>
      </c>
      <c r="D457" s="1">
        <v>268.2</v>
      </c>
      <c r="E457" s="1">
        <v>262.08999999999997</v>
      </c>
      <c r="F457" s="1">
        <v>266.97000000000003</v>
      </c>
      <c r="G457" s="1" t="str">
        <f>IF(testdata[[#This Row],[high]]&gt;MAX(D453:D456,D458:D461),testdata[[#This Row],[high]],"")</f>
        <v/>
      </c>
      <c r="H457" s="14" t="s">
        <v>7</v>
      </c>
      <c r="I457" s="10">
        <f t="shared" ca="1" si="35"/>
        <v>274.33749999999907</v>
      </c>
      <c r="J457" s="1" t="str">
        <f>IF(testdata[[#This Row],[low]]&lt;MIN(E453:E456,E458:E461),testdata[[#This Row],[low]],"")</f>
        <v/>
      </c>
      <c r="K457" s="14" t="s">
        <v>13</v>
      </c>
      <c r="L457" s="10">
        <f t="shared" ca="1" si="34"/>
        <v>256.96000000000043</v>
      </c>
      <c r="N457" s="2">
        <v>43396</v>
      </c>
      <c r="O457" s="1"/>
      <c r="P457" s="14" t="s">
        <v>7</v>
      </c>
      <c r="Q457" s="10">
        <v>274.33749999999998</v>
      </c>
      <c r="R457" s="1"/>
      <c r="S457" s="14" t="s">
        <v>13</v>
      </c>
      <c r="T457" s="10">
        <v>256.95999999999998</v>
      </c>
    </row>
    <row r="458" spans="1:20" x14ac:dyDescent="0.35">
      <c r="A458" s="4">
        <v>456</v>
      </c>
      <c r="B458" s="2">
        <v>43397</v>
      </c>
      <c r="C458" s="1">
        <v>266.69</v>
      </c>
      <c r="D458" s="1">
        <v>267.11</v>
      </c>
      <c r="E458" s="1">
        <v>258.27</v>
      </c>
      <c r="F458" s="1">
        <v>258.88</v>
      </c>
      <c r="G458" s="1" t="str">
        <f>IF(testdata[[#This Row],[high]]&gt;MAX(D454:D457,D459:D462),testdata[[#This Row],[high]],"")</f>
        <v/>
      </c>
      <c r="H458" s="14" t="s">
        <v>7</v>
      </c>
      <c r="I458" s="10">
        <f t="shared" ca="1" si="35"/>
        <v>274.34187499999894</v>
      </c>
      <c r="J458" s="1" t="str">
        <f>IF(testdata[[#This Row],[low]]&lt;MIN(E454:E457,E459:E462),testdata[[#This Row],[low]],"")</f>
        <v/>
      </c>
      <c r="K458" s="14" t="s">
        <v>13</v>
      </c>
      <c r="L458" s="10">
        <f t="shared" ca="1" si="34"/>
        <v>256.10500000000036</v>
      </c>
      <c r="N458" s="2">
        <v>43397</v>
      </c>
      <c r="O458" s="1"/>
      <c r="P458" s="14" t="s">
        <v>7</v>
      </c>
      <c r="Q458" s="10">
        <v>274.34190000000001</v>
      </c>
      <c r="R458" s="1"/>
      <c r="S458" s="14" t="s">
        <v>13</v>
      </c>
      <c r="T458" s="10">
        <v>256.10500000000002</v>
      </c>
    </row>
    <row r="459" spans="1:20" x14ac:dyDescent="0.35">
      <c r="A459" s="4">
        <v>457</v>
      </c>
      <c r="B459" s="2">
        <v>43398</v>
      </c>
      <c r="C459" s="1">
        <v>260.89</v>
      </c>
      <c r="D459" s="1">
        <v>265.20999999999998</v>
      </c>
      <c r="E459" s="1">
        <v>259.77</v>
      </c>
      <c r="F459" s="1">
        <v>263.52</v>
      </c>
      <c r="G459" s="1" t="str">
        <f>IF(testdata[[#This Row],[high]]&gt;MAX(D455:D458,D460:D463),testdata[[#This Row],[high]],"")</f>
        <v/>
      </c>
      <c r="H459" s="14" t="s">
        <v>7</v>
      </c>
      <c r="I459" s="10">
        <f t="shared" ca="1" si="35"/>
        <v>274.34624999999886</v>
      </c>
      <c r="J459" s="1" t="str">
        <f>IF(testdata[[#This Row],[low]]&lt;MIN(E455:E458,E460:E463),testdata[[#This Row],[low]],"")</f>
        <v/>
      </c>
      <c r="K459" s="14" t="s">
        <v>13</v>
      </c>
      <c r="L459" s="10">
        <f t="shared" ca="1" si="34"/>
        <v>255.25000000000023</v>
      </c>
      <c r="N459" s="2">
        <v>43398</v>
      </c>
      <c r="O459" s="1"/>
      <c r="P459" s="14" t="s">
        <v>7</v>
      </c>
      <c r="Q459" s="10">
        <v>274.34629999999999</v>
      </c>
      <c r="R459" s="1"/>
      <c r="S459" s="14" t="s">
        <v>13</v>
      </c>
      <c r="T459" s="10">
        <v>255.25</v>
      </c>
    </row>
    <row r="460" spans="1:20" x14ac:dyDescent="0.35">
      <c r="A460" s="4">
        <v>458</v>
      </c>
      <c r="B460" s="2">
        <v>43399</v>
      </c>
      <c r="C460" s="1">
        <v>259.45999999999998</v>
      </c>
      <c r="D460" s="1">
        <v>264.42</v>
      </c>
      <c r="E460" s="1">
        <v>255.92</v>
      </c>
      <c r="F460" s="1">
        <v>258.89</v>
      </c>
      <c r="G460" s="1" t="str">
        <f>IF(testdata[[#This Row],[high]]&gt;MAX(D456:D459,D461:D464),testdata[[#This Row],[high]],"")</f>
        <v/>
      </c>
      <c r="H460" s="14" t="s">
        <v>7</v>
      </c>
      <c r="I460" s="10">
        <f t="shared" ca="1" si="35"/>
        <v>274.35062499999879</v>
      </c>
      <c r="J460" s="1" t="str">
        <f>IF(testdata[[#This Row],[low]]&lt;MIN(E456:E459,E461:E464),testdata[[#This Row],[low]],"")</f>
        <v/>
      </c>
      <c r="K460" s="14" t="s">
        <v>13</v>
      </c>
      <c r="L460" s="10">
        <f t="shared" ca="1" si="34"/>
        <v>254.3950000000001</v>
      </c>
      <c r="N460" s="2">
        <v>43399</v>
      </c>
      <c r="O460" s="1"/>
      <c r="P460" s="14" t="s">
        <v>7</v>
      </c>
      <c r="Q460" s="10">
        <v>274.35059999999999</v>
      </c>
      <c r="R460" s="1"/>
      <c r="S460" s="14" t="s">
        <v>13</v>
      </c>
      <c r="T460" s="10">
        <v>254.39500000000001</v>
      </c>
    </row>
    <row r="461" spans="1:20" x14ac:dyDescent="0.35">
      <c r="A461" s="4">
        <v>459</v>
      </c>
      <c r="B461" s="2">
        <v>43402</v>
      </c>
      <c r="C461" s="1">
        <v>262.27</v>
      </c>
      <c r="D461" s="1">
        <v>263.69</v>
      </c>
      <c r="E461" s="1">
        <v>253.54</v>
      </c>
      <c r="F461" s="1">
        <v>257.45</v>
      </c>
      <c r="G461" s="1" t="str">
        <f>IF(testdata[[#This Row],[high]]&gt;MAX(D457:D460,D462:D465),testdata[[#This Row],[high]],"")</f>
        <v/>
      </c>
      <c r="H461" s="14" t="s">
        <v>7</v>
      </c>
      <c r="I461" s="10">
        <f t="shared" ca="1" si="35"/>
        <v>274.35499999999877</v>
      </c>
      <c r="J461" s="1">
        <f>IF(testdata[[#This Row],[low]]&lt;MIN(E457:E460,E462:E465),testdata[[#This Row],[low]],"")</f>
        <v>253.54</v>
      </c>
      <c r="K461" s="14" t="s">
        <v>13</v>
      </c>
      <c r="L461" s="9">
        <f>testdata[[#This Row],[Lpoint]]</f>
        <v>253.54</v>
      </c>
      <c r="N461" s="2">
        <v>43402</v>
      </c>
      <c r="O461" s="1"/>
      <c r="P461" s="14" t="s">
        <v>7</v>
      </c>
      <c r="Q461" s="10">
        <v>274.35500000000002</v>
      </c>
      <c r="R461" s="1">
        <v>253.54</v>
      </c>
      <c r="S461" s="14" t="s">
        <v>13</v>
      </c>
      <c r="T461" s="9">
        <v>253.54</v>
      </c>
    </row>
    <row r="462" spans="1:20" x14ac:dyDescent="0.35">
      <c r="A462" s="4">
        <v>460</v>
      </c>
      <c r="B462" s="2">
        <v>43403</v>
      </c>
      <c r="C462" s="1">
        <v>257.27</v>
      </c>
      <c r="D462" s="1">
        <v>261.61</v>
      </c>
      <c r="E462" s="1">
        <v>256.73</v>
      </c>
      <c r="F462" s="1">
        <v>261.27</v>
      </c>
      <c r="G462" s="1" t="str">
        <f>IF(testdata[[#This Row],[high]]&gt;MAX(D458:D461,D463:D466),testdata[[#This Row],[high]],"")</f>
        <v/>
      </c>
      <c r="H462" s="14" t="s">
        <v>7</v>
      </c>
      <c r="I462" s="10">
        <f t="shared" ca="1" si="35"/>
        <v>274.35937499999881</v>
      </c>
      <c r="J462" s="1" t="str">
        <f>IF(testdata[[#This Row],[low]]&lt;MIN(E458:E461,E463:E466),testdata[[#This Row],[low]],"")</f>
        <v/>
      </c>
      <c r="K462" s="14" t="s">
        <v>8</v>
      </c>
      <c r="L462" s="10">
        <f t="shared" ref="L462:L478" ca="1" si="36">AVERAGE(L461,L463)</f>
        <v>253.71444444444455</v>
      </c>
      <c r="N462" s="2">
        <v>43403</v>
      </c>
      <c r="O462" s="1"/>
      <c r="P462" s="14" t="s">
        <v>7</v>
      </c>
      <c r="Q462" s="10">
        <v>274.35939999999999</v>
      </c>
      <c r="R462" s="1"/>
      <c r="S462" s="14" t="s">
        <v>8</v>
      </c>
      <c r="T462" s="10">
        <v>253.71440000000001</v>
      </c>
    </row>
    <row r="463" spans="1:20" x14ac:dyDescent="0.35">
      <c r="A463" s="4">
        <v>461</v>
      </c>
      <c r="B463" s="2">
        <v>43404</v>
      </c>
      <c r="C463" s="1">
        <v>264.08</v>
      </c>
      <c r="D463" s="1">
        <v>266.60000000000002</v>
      </c>
      <c r="E463" s="1">
        <v>263.56</v>
      </c>
      <c r="F463" s="1">
        <v>264.06</v>
      </c>
      <c r="G463" s="1" t="str">
        <f>IF(testdata[[#This Row],[high]]&gt;MAX(D459:D462,D464:D467),testdata[[#This Row],[high]],"")</f>
        <v/>
      </c>
      <c r="H463" s="14" t="s">
        <v>7</v>
      </c>
      <c r="I463" s="10">
        <f t="shared" ca="1" si="35"/>
        <v>274.36374999999884</v>
      </c>
      <c r="J463" s="1" t="str">
        <f>IF(testdata[[#This Row],[low]]&lt;MIN(E459:E462,E464:E467),testdata[[#This Row],[low]],"")</f>
        <v/>
      </c>
      <c r="K463" s="14" t="s">
        <v>8</v>
      </c>
      <c r="L463" s="10">
        <f t="shared" ca="1" si="36"/>
        <v>253.88888888888914</v>
      </c>
      <c r="N463" s="2">
        <v>43404</v>
      </c>
      <c r="O463" s="1"/>
      <c r="P463" s="14" t="s">
        <v>7</v>
      </c>
      <c r="Q463" s="10">
        <v>274.36380000000003</v>
      </c>
      <c r="R463" s="1"/>
      <c r="S463" s="14" t="s">
        <v>8</v>
      </c>
      <c r="T463" s="10">
        <v>253.88890000000001</v>
      </c>
    </row>
    <row r="464" spans="1:20" x14ac:dyDescent="0.35">
      <c r="A464" s="4">
        <v>462</v>
      </c>
      <c r="B464" s="2">
        <v>43405</v>
      </c>
      <c r="C464" s="1">
        <v>265.01</v>
      </c>
      <c r="D464" s="1">
        <v>267.08</v>
      </c>
      <c r="E464" s="1">
        <v>263.81</v>
      </c>
      <c r="F464" s="1">
        <v>266.87</v>
      </c>
      <c r="G464" s="1" t="str">
        <f>IF(testdata[[#This Row],[high]]&gt;MAX(D460:D463,D465:D468),testdata[[#This Row],[high]],"")</f>
        <v/>
      </c>
      <c r="H464" s="14" t="s">
        <v>7</v>
      </c>
      <c r="I464" s="10">
        <f t="shared" ca="1" si="35"/>
        <v>274.36812499999894</v>
      </c>
      <c r="J464" s="1" t="str">
        <f>IF(testdata[[#This Row],[low]]&lt;MIN(E460:E463,E465:E468),testdata[[#This Row],[low]],"")</f>
        <v/>
      </c>
      <c r="K464" s="14" t="s">
        <v>8</v>
      </c>
      <c r="L464" s="10">
        <f t="shared" ca="1" si="36"/>
        <v>254.0633333333337</v>
      </c>
      <c r="N464" s="2">
        <v>43405</v>
      </c>
      <c r="O464" s="1"/>
      <c r="P464" s="14" t="s">
        <v>7</v>
      </c>
      <c r="Q464" s="10">
        <v>274.36810000000003</v>
      </c>
      <c r="R464" s="1"/>
      <c r="S464" s="14" t="s">
        <v>8</v>
      </c>
      <c r="T464" s="10">
        <v>254.0633</v>
      </c>
    </row>
    <row r="465" spans="1:20" x14ac:dyDescent="0.35">
      <c r="A465" s="4">
        <v>463</v>
      </c>
      <c r="B465" s="2">
        <v>43406</v>
      </c>
      <c r="C465" s="1">
        <v>268.08</v>
      </c>
      <c r="D465" s="1">
        <v>268.55</v>
      </c>
      <c r="E465" s="1">
        <v>263.04000000000002</v>
      </c>
      <c r="F465" s="1">
        <v>265.29000000000002</v>
      </c>
      <c r="G465" s="1" t="str">
        <f>IF(testdata[[#This Row],[high]]&gt;MAX(D461:D464,D466:D469),testdata[[#This Row],[high]],"")</f>
        <v/>
      </c>
      <c r="H465" s="14" t="s">
        <v>7</v>
      </c>
      <c r="I465" s="10">
        <f t="shared" ca="1" si="35"/>
        <v>274.37249999999909</v>
      </c>
      <c r="J465" s="1" t="str">
        <f>IF(testdata[[#This Row],[low]]&lt;MIN(E461:E464,E466:E469),testdata[[#This Row],[low]],"")</f>
        <v/>
      </c>
      <c r="K465" s="14" t="s">
        <v>8</v>
      </c>
      <c r="L465" s="10">
        <f t="shared" ca="1" si="36"/>
        <v>254.23777777777826</v>
      </c>
      <c r="N465" s="2">
        <v>43406</v>
      </c>
      <c r="O465" s="1"/>
      <c r="P465" s="14" t="s">
        <v>7</v>
      </c>
      <c r="Q465" s="10">
        <v>274.3725</v>
      </c>
      <c r="R465" s="1"/>
      <c r="S465" s="14" t="s">
        <v>8</v>
      </c>
      <c r="T465" s="10">
        <v>254.23779999999999</v>
      </c>
    </row>
    <row r="466" spans="1:20" x14ac:dyDescent="0.35">
      <c r="A466" s="4">
        <v>464</v>
      </c>
      <c r="B466" s="2">
        <v>43409</v>
      </c>
      <c r="C466" s="1">
        <v>265.82</v>
      </c>
      <c r="D466" s="1">
        <v>267.36</v>
      </c>
      <c r="E466" s="1">
        <v>264.76</v>
      </c>
      <c r="F466" s="1">
        <v>266.75</v>
      </c>
      <c r="G466" s="1" t="str">
        <f>IF(testdata[[#This Row],[high]]&gt;MAX(D462:D465,D467:D470),testdata[[#This Row],[high]],"")</f>
        <v/>
      </c>
      <c r="H466" s="14" t="s">
        <v>7</v>
      </c>
      <c r="I466" s="10">
        <f t="shared" ca="1" si="35"/>
        <v>274.37687499999925</v>
      </c>
      <c r="J466" s="1" t="str">
        <f>IF(testdata[[#This Row],[low]]&lt;MIN(E462:E465,E467:E470),testdata[[#This Row],[low]],"")</f>
        <v/>
      </c>
      <c r="K466" s="14" t="s">
        <v>8</v>
      </c>
      <c r="L466" s="10">
        <f t="shared" ca="1" si="36"/>
        <v>254.41222222222279</v>
      </c>
      <c r="N466" s="2">
        <v>43409</v>
      </c>
      <c r="O466" s="1"/>
      <c r="P466" s="14" t="s">
        <v>7</v>
      </c>
      <c r="Q466" s="10">
        <v>274.37689999999998</v>
      </c>
      <c r="R466" s="1"/>
      <c r="S466" s="14" t="s">
        <v>8</v>
      </c>
      <c r="T466" s="10">
        <v>254.41220000000001</v>
      </c>
    </row>
    <row r="467" spans="1:20" x14ac:dyDescent="0.35">
      <c r="A467" s="4">
        <v>465</v>
      </c>
      <c r="B467" s="2">
        <v>43410</v>
      </c>
      <c r="C467" s="1">
        <v>266.68</v>
      </c>
      <c r="D467" s="1">
        <v>268.62</v>
      </c>
      <c r="E467" s="1">
        <v>266.62</v>
      </c>
      <c r="F467" s="1">
        <v>268.44</v>
      </c>
      <c r="G467" s="1" t="str">
        <f>IF(testdata[[#This Row],[high]]&gt;MAX(D463:D466,D468:D471),testdata[[#This Row],[high]],"")</f>
        <v/>
      </c>
      <c r="H467" s="14" t="s">
        <v>7</v>
      </c>
      <c r="I467" s="10">
        <f t="shared" ca="1" si="35"/>
        <v>274.38124999999945</v>
      </c>
      <c r="J467" s="1" t="str">
        <f>IF(testdata[[#This Row],[low]]&lt;MIN(E463:E466,E468:E471),testdata[[#This Row],[low]],"")</f>
        <v/>
      </c>
      <c r="K467" s="14" t="s">
        <v>8</v>
      </c>
      <c r="L467" s="10">
        <f t="shared" ca="1" si="36"/>
        <v>254.5866666666673</v>
      </c>
      <c r="N467" s="2">
        <v>43410</v>
      </c>
      <c r="O467" s="1"/>
      <c r="P467" s="14" t="s">
        <v>7</v>
      </c>
      <c r="Q467" s="10">
        <v>274.38130000000001</v>
      </c>
      <c r="R467" s="1"/>
      <c r="S467" s="14" t="s">
        <v>8</v>
      </c>
      <c r="T467" s="10">
        <v>254.58670000000001</v>
      </c>
    </row>
    <row r="468" spans="1:20" x14ac:dyDescent="0.35">
      <c r="A468" s="4">
        <v>466</v>
      </c>
      <c r="B468" s="2">
        <v>43411</v>
      </c>
      <c r="C468" s="1">
        <v>270.82</v>
      </c>
      <c r="D468" s="1">
        <v>274.27</v>
      </c>
      <c r="E468" s="1">
        <v>270.35000000000002</v>
      </c>
      <c r="F468" s="1">
        <v>274.19</v>
      </c>
      <c r="G468" s="1" t="str">
        <f>IF(testdata[[#This Row],[high]]&gt;MAX(D464:D467,D469:D472),testdata[[#This Row],[high]],"")</f>
        <v/>
      </c>
      <c r="H468" s="14" t="s">
        <v>7</v>
      </c>
      <c r="I468" s="10">
        <f t="shared" ca="1" si="35"/>
        <v>274.38562499999972</v>
      </c>
      <c r="J468" s="1" t="str">
        <f>IF(testdata[[#This Row],[low]]&lt;MIN(E464:E467,E469:E472),testdata[[#This Row],[low]],"")</f>
        <v/>
      </c>
      <c r="K468" s="14" t="s">
        <v>8</v>
      </c>
      <c r="L468" s="10">
        <f t="shared" ca="1" si="36"/>
        <v>254.7611111111118</v>
      </c>
      <c r="N468" s="2">
        <v>43411</v>
      </c>
      <c r="O468" s="1"/>
      <c r="P468" s="14" t="s">
        <v>7</v>
      </c>
      <c r="Q468" s="10">
        <v>274.38560000000001</v>
      </c>
      <c r="R468" s="1"/>
      <c r="S468" s="14" t="s">
        <v>8</v>
      </c>
      <c r="T468" s="10">
        <v>254.7611</v>
      </c>
    </row>
    <row r="469" spans="1:20" x14ac:dyDescent="0.35">
      <c r="A469" s="4">
        <v>467</v>
      </c>
      <c r="B469" s="2">
        <v>43412</v>
      </c>
      <c r="C469" s="1">
        <v>273.31</v>
      </c>
      <c r="D469" s="1">
        <v>274.39</v>
      </c>
      <c r="E469" s="1">
        <v>272.44</v>
      </c>
      <c r="F469" s="1">
        <v>273.69</v>
      </c>
      <c r="G469" s="1">
        <f>IF(testdata[[#This Row],[high]]&gt;MAX(D465:D468,D470:D473),testdata[[#This Row],[high]],"")</f>
        <v>274.39</v>
      </c>
      <c r="H469" s="14" t="s">
        <v>7</v>
      </c>
      <c r="I469" s="9">
        <f>testdata[[#This Row],[Hpoint]]</f>
        <v>274.39</v>
      </c>
      <c r="J469" s="1" t="str">
        <f>IF(testdata[[#This Row],[low]]&lt;MIN(E465:E468,E470:E473),testdata[[#This Row],[low]],"")</f>
        <v/>
      </c>
      <c r="K469" s="14" t="s">
        <v>8</v>
      </c>
      <c r="L469" s="10">
        <f t="shared" ca="1" si="36"/>
        <v>254.93555555555628</v>
      </c>
      <c r="N469" s="2">
        <v>43412</v>
      </c>
      <c r="O469" s="1">
        <v>274.39</v>
      </c>
      <c r="P469" s="14" t="s">
        <v>7</v>
      </c>
      <c r="Q469" s="9">
        <v>274.39</v>
      </c>
      <c r="R469" s="1"/>
      <c r="S469" s="14" t="s">
        <v>8</v>
      </c>
      <c r="T469" s="10">
        <v>254.93559999999999</v>
      </c>
    </row>
    <row r="470" spans="1:20" x14ac:dyDescent="0.35">
      <c r="A470" s="4">
        <v>468</v>
      </c>
      <c r="B470" s="2">
        <v>43413</v>
      </c>
      <c r="C470" s="1">
        <v>272.25</v>
      </c>
      <c r="D470" s="1">
        <v>272.45999999999998</v>
      </c>
      <c r="E470" s="1">
        <v>269.47000000000003</v>
      </c>
      <c r="F470" s="1">
        <v>271.02</v>
      </c>
      <c r="G470" s="1" t="str">
        <f>IF(testdata[[#This Row],[high]]&gt;MAX(D466:D469,D471:D474),testdata[[#This Row],[high]],"")</f>
        <v/>
      </c>
      <c r="H470" s="14" t="s">
        <v>6</v>
      </c>
      <c r="I470" s="10">
        <f t="shared" ref="I470:I484" ca="1" si="37">AVERAGE(I469,I471)</f>
        <v>274.33999999999975</v>
      </c>
      <c r="J470" s="1" t="str">
        <f>IF(testdata[[#This Row],[low]]&lt;MIN(E466:E469,E471:E474),testdata[[#This Row],[low]],"")</f>
        <v/>
      </c>
      <c r="K470" s="14" t="s">
        <v>8</v>
      </c>
      <c r="L470" s="10">
        <f t="shared" ca="1" si="36"/>
        <v>255.11000000000072</v>
      </c>
      <c r="N470" s="2">
        <v>43413</v>
      </c>
      <c r="O470" s="1"/>
      <c r="P470" s="14" t="s">
        <v>6</v>
      </c>
      <c r="Q470" s="10">
        <v>274.33999999999997</v>
      </c>
      <c r="R470" s="1"/>
      <c r="S470" s="14" t="s">
        <v>8</v>
      </c>
      <c r="T470" s="10">
        <v>255.11</v>
      </c>
    </row>
    <row r="471" spans="1:20" x14ac:dyDescent="0.35">
      <c r="A471" s="4">
        <v>469</v>
      </c>
      <c r="B471" s="2">
        <v>43416</v>
      </c>
      <c r="C471" s="1">
        <v>270.45999999999998</v>
      </c>
      <c r="D471" s="1">
        <v>270.72000000000003</v>
      </c>
      <c r="E471" s="1">
        <v>265.39</v>
      </c>
      <c r="F471" s="1">
        <v>265.95</v>
      </c>
      <c r="G471" s="1" t="str">
        <f>IF(testdata[[#This Row],[high]]&gt;MAX(D467:D470,D472:D475),testdata[[#This Row],[high]],"")</f>
        <v/>
      </c>
      <c r="H471" s="14" t="s">
        <v>6</v>
      </c>
      <c r="I471" s="10">
        <f t="shared" ca="1" si="37"/>
        <v>274.28999999999951</v>
      </c>
      <c r="J471" s="1" t="str">
        <f>IF(testdata[[#This Row],[low]]&lt;MIN(E467:E470,E472:E475),testdata[[#This Row],[low]],"")</f>
        <v/>
      </c>
      <c r="K471" s="14" t="s">
        <v>8</v>
      </c>
      <c r="L471" s="10">
        <f t="shared" ca="1" si="36"/>
        <v>255.28444444444517</v>
      </c>
      <c r="N471" s="2">
        <v>43416</v>
      </c>
      <c r="O471" s="1"/>
      <c r="P471" s="14" t="s">
        <v>6</v>
      </c>
      <c r="Q471" s="10">
        <v>274.29000000000002</v>
      </c>
      <c r="R471" s="1"/>
      <c r="S471" s="14" t="s">
        <v>8</v>
      </c>
      <c r="T471" s="10">
        <v>255.28440000000001</v>
      </c>
    </row>
    <row r="472" spans="1:20" x14ac:dyDescent="0.35">
      <c r="A472" s="4">
        <v>470</v>
      </c>
      <c r="B472" s="2">
        <v>43417</v>
      </c>
      <c r="C472" s="1">
        <v>266.45999999999998</v>
      </c>
      <c r="D472" s="1">
        <v>268.64</v>
      </c>
      <c r="E472" s="1">
        <v>264.66000000000003</v>
      </c>
      <c r="F472" s="1">
        <v>265.45</v>
      </c>
      <c r="G472" s="1" t="str">
        <f>IF(testdata[[#This Row],[high]]&gt;MAX(D468:D471,D473:D476),testdata[[#This Row],[high]],"")</f>
        <v/>
      </c>
      <c r="H472" s="14" t="s">
        <v>6</v>
      </c>
      <c r="I472" s="10">
        <f t="shared" ca="1" si="37"/>
        <v>274.23999999999933</v>
      </c>
      <c r="J472" s="1" t="str">
        <f>IF(testdata[[#This Row],[low]]&lt;MIN(E468:E471,E473:E476),testdata[[#This Row],[low]],"")</f>
        <v/>
      </c>
      <c r="K472" s="14" t="s">
        <v>8</v>
      </c>
      <c r="L472" s="10">
        <f t="shared" ca="1" si="36"/>
        <v>255.45888888888959</v>
      </c>
      <c r="N472" s="2">
        <v>43417</v>
      </c>
      <c r="O472" s="1"/>
      <c r="P472" s="14" t="s">
        <v>6</v>
      </c>
      <c r="Q472" s="10">
        <v>274.24</v>
      </c>
      <c r="R472" s="1"/>
      <c r="S472" s="14" t="s">
        <v>8</v>
      </c>
      <c r="T472" s="10">
        <v>255.4589</v>
      </c>
    </row>
    <row r="473" spans="1:20" x14ac:dyDescent="0.35">
      <c r="A473" s="4">
        <v>471</v>
      </c>
      <c r="B473" s="2">
        <v>43418</v>
      </c>
      <c r="C473" s="1">
        <v>267.5</v>
      </c>
      <c r="D473" s="1">
        <v>267.94</v>
      </c>
      <c r="E473" s="1">
        <v>261.93</v>
      </c>
      <c r="F473" s="1">
        <v>263.64</v>
      </c>
      <c r="G473" s="1" t="str">
        <f>IF(testdata[[#This Row],[high]]&gt;MAX(D469:D472,D474:D477),testdata[[#This Row],[high]],"")</f>
        <v/>
      </c>
      <c r="H473" s="14" t="s">
        <v>6</v>
      </c>
      <c r="I473" s="10">
        <f t="shared" ca="1" si="37"/>
        <v>274.1899999999992</v>
      </c>
      <c r="J473" s="1" t="str">
        <f>IF(testdata[[#This Row],[low]]&lt;MIN(E469:E472,E474:E477),testdata[[#This Row],[low]],"")</f>
        <v/>
      </c>
      <c r="K473" s="14" t="s">
        <v>8</v>
      </c>
      <c r="L473" s="10">
        <f t="shared" ca="1" si="36"/>
        <v>255.63333333333398</v>
      </c>
      <c r="N473" s="2">
        <v>43418</v>
      </c>
      <c r="O473" s="1"/>
      <c r="P473" s="14" t="s">
        <v>6</v>
      </c>
      <c r="Q473" s="10">
        <v>274.19</v>
      </c>
      <c r="R473" s="1"/>
      <c r="S473" s="14" t="s">
        <v>8</v>
      </c>
      <c r="T473" s="10">
        <v>255.63329999999999</v>
      </c>
    </row>
    <row r="474" spans="1:20" x14ac:dyDescent="0.35">
      <c r="A474" s="4">
        <v>472</v>
      </c>
      <c r="B474" s="2">
        <v>43419</v>
      </c>
      <c r="C474" s="1">
        <v>262.25</v>
      </c>
      <c r="D474" s="1">
        <v>266.89999999999998</v>
      </c>
      <c r="E474" s="1">
        <v>260.52999999999997</v>
      </c>
      <c r="F474" s="1">
        <v>266.39</v>
      </c>
      <c r="G474" s="7" t="str">
        <f>IF(testdata[[#This Row],[high]]&gt;MAX(D470:D473,D475:D478),testdata[[#This Row],[high]],"")</f>
        <v/>
      </c>
      <c r="H474" s="15" t="s">
        <v>6</v>
      </c>
      <c r="I474" s="16">
        <f t="shared" ca="1" si="37"/>
        <v>274.13999999999908</v>
      </c>
      <c r="J474" s="7" t="str">
        <f>IF(testdata[[#This Row],[low]]&lt;MIN(E470:E473,E475:E478),testdata[[#This Row],[low]],"")</f>
        <v/>
      </c>
      <c r="K474" s="15" t="s">
        <v>8</v>
      </c>
      <c r="L474" s="16">
        <f t="shared" ca="1" si="36"/>
        <v>255.80777777777837</v>
      </c>
      <c r="N474" s="2">
        <v>43419</v>
      </c>
      <c r="O474" s="1"/>
      <c r="P474" s="14" t="s">
        <v>6</v>
      </c>
      <c r="Q474" s="10">
        <v>274.14</v>
      </c>
      <c r="R474" s="1"/>
      <c r="S474" s="14" t="s">
        <v>8</v>
      </c>
      <c r="T474" s="10">
        <v>255.80779999999999</v>
      </c>
    </row>
    <row r="475" spans="1:20" x14ac:dyDescent="0.35">
      <c r="A475" s="4">
        <v>473</v>
      </c>
      <c r="B475" s="2">
        <v>43420</v>
      </c>
      <c r="C475" s="1">
        <v>265.19</v>
      </c>
      <c r="D475" s="1">
        <v>268.08</v>
      </c>
      <c r="E475" s="1">
        <v>264.62</v>
      </c>
      <c r="F475" s="1">
        <v>267.08</v>
      </c>
      <c r="G475" s="1" t="str">
        <f>IF(testdata[[#This Row],[high]]&gt;MAX(D471:D474,D476:D479),testdata[[#This Row],[high]],"")</f>
        <v/>
      </c>
      <c r="H475" s="14" t="s">
        <v>6</v>
      </c>
      <c r="I475" s="10">
        <f t="shared" ca="1" si="37"/>
        <v>274.08999999999901</v>
      </c>
      <c r="J475" s="1" t="str">
        <f>IF(testdata[[#This Row],[low]]&lt;MIN(E471:E474,E476:E479),testdata[[#This Row],[low]],"")</f>
        <v/>
      </c>
      <c r="K475" s="14" t="s">
        <v>8</v>
      </c>
      <c r="L475" s="10">
        <f t="shared" ca="1" si="36"/>
        <v>255.98222222222273</v>
      </c>
      <c r="N475" s="2">
        <v>43420</v>
      </c>
      <c r="O475" s="1"/>
      <c r="P475" s="14" t="s">
        <v>6</v>
      </c>
      <c r="Q475" s="10">
        <v>274.08999999999997</v>
      </c>
      <c r="R475" s="1"/>
      <c r="S475" s="14" t="s">
        <v>8</v>
      </c>
      <c r="T475" s="10">
        <v>255.98220000000001</v>
      </c>
    </row>
    <row r="476" spans="1:20" x14ac:dyDescent="0.35">
      <c r="A476" s="4">
        <v>474</v>
      </c>
      <c r="B476" s="2">
        <v>43423</v>
      </c>
      <c r="C476" s="1">
        <v>266.42</v>
      </c>
      <c r="D476" s="1">
        <v>266.74</v>
      </c>
      <c r="E476" s="1">
        <v>261.56</v>
      </c>
      <c r="F476" s="1">
        <v>262.57</v>
      </c>
      <c r="G476" s="1" t="str">
        <f>IF(testdata[[#This Row],[high]]&gt;MAX(D472:D475,D477:D480),testdata[[#This Row],[high]],"")</f>
        <v/>
      </c>
      <c r="H476" s="14" t="s">
        <v>6</v>
      </c>
      <c r="I476" s="10">
        <f t="shared" ca="1" si="37"/>
        <v>274.03999999999894</v>
      </c>
      <c r="J476" s="1" t="str">
        <f>IF(testdata[[#This Row],[low]]&lt;MIN(E472:E475,E477:E480),testdata[[#This Row],[low]],"")</f>
        <v/>
      </c>
      <c r="K476" s="14" t="s">
        <v>8</v>
      </c>
      <c r="L476" s="10">
        <f t="shared" ca="1" si="36"/>
        <v>256.15666666666709</v>
      </c>
      <c r="N476" s="2">
        <v>43423</v>
      </c>
      <c r="O476" s="1"/>
      <c r="P476" s="14" t="s">
        <v>6</v>
      </c>
      <c r="Q476" s="10">
        <v>274.04000000000002</v>
      </c>
      <c r="R476" s="1"/>
      <c r="S476" s="14" t="s">
        <v>8</v>
      </c>
      <c r="T476" s="10">
        <v>256.1567</v>
      </c>
    </row>
    <row r="477" spans="1:20" x14ac:dyDescent="0.35">
      <c r="A477" s="4">
        <v>475</v>
      </c>
      <c r="B477" s="2">
        <v>43424</v>
      </c>
      <c r="C477" s="1">
        <v>258.92</v>
      </c>
      <c r="D477" s="1">
        <v>260.52</v>
      </c>
      <c r="E477" s="1">
        <v>256.76</v>
      </c>
      <c r="F477" s="1">
        <v>257.70999999999998</v>
      </c>
      <c r="G477" s="1" t="str">
        <f>IF(testdata[[#This Row],[high]]&gt;MAX(D473:D476,D478:D481),testdata[[#This Row],[high]],"")</f>
        <v/>
      </c>
      <c r="H477" s="14" t="s">
        <v>6</v>
      </c>
      <c r="I477" s="10">
        <f t="shared" ca="1" si="37"/>
        <v>273.98999999999893</v>
      </c>
      <c r="J477" s="1" t="str">
        <f>IF(testdata[[#This Row],[low]]&lt;MIN(E473:E476,E478:E481),testdata[[#This Row],[low]],"")</f>
        <v/>
      </c>
      <c r="K477" s="14" t="s">
        <v>8</v>
      </c>
      <c r="L477" s="10">
        <f t="shared" ca="1" si="36"/>
        <v>256.3311111111114</v>
      </c>
      <c r="N477" s="2">
        <v>43424</v>
      </c>
      <c r="O477" s="1"/>
      <c r="P477" s="14" t="s">
        <v>6</v>
      </c>
      <c r="Q477" s="10">
        <v>273.99</v>
      </c>
      <c r="R477" s="1"/>
      <c r="S477" s="14" t="s">
        <v>8</v>
      </c>
      <c r="T477" s="10">
        <v>256.33109999999999</v>
      </c>
    </row>
    <row r="478" spans="1:20" x14ac:dyDescent="0.35">
      <c r="A478" s="4">
        <v>476</v>
      </c>
      <c r="B478" s="2">
        <v>43425</v>
      </c>
      <c r="C478" s="1">
        <v>259.39999999999998</v>
      </c>
      <c r="D478" s="1">
        <v>260.66000000000003</v>
      </c>
      <c r="E478" s="1">
        <v>258.58</v>
      </c>
      <c r="F478" s="1">
        <v>258.58</v>
      </c>
      <c r="G478" s="1" t="str">
        <f>IF(testdata[[#This Row],[high]]&gt;MAX(D474:D477,D479:D482),testdata[[#This Row],[high]],"")</f>
        <v/>
      </c>
      <c r="H478" s="14" t="s">
        <v>6</v>
      </c>
      <c r="I478" s="10">
        <f t="shared" ca="1" si="37"/>
        <v>273.93999999999892</v>
      </c>
      <c r="J478" s="1" t="str">
        <f>IF(testdata[[#This Row],[low]]&lt;MIN(E474:E477,E479:E482),testdata[[#This Row],[low]],"")</f>
        <v/>
      </c>
      <c r="K478" s="14" t="s">
        <v>8</v>
      </c>
      <c r="L478" s="10">
        <f t="shared" ca="1" si="36"/>
        <v>256.5055555555557</v>
      </c>
      <c r="N478" s="2">
        <v>43425</v>
      </c>
      <c r="O478" s="1"/>
      <c r="P478" s="14" t="s">
        <v>6</v>
      </c>
      <c r="Q478" s="10">
        <v>273.94</v>
      </c>
      <c r="R478" s="1"/>
      <c r="S478" s="14" t="s">
        <v>8</v>
      </c>
      <c r="T478" s="10">
        <v>256.50560000000002</v>
      </c>
    </row>
    <row r="479" spans="1:20" x14ac:dyDescent="0.35">
      <c r="A479" s="4">
        <v>477</v>
      </c>
      <c r="B479" s="2">
        <v>43427</v>
      </c>
      <c r="C479" s="1">
        <v>256.79000000000002</v>
      </c>
      <c r="D479" s="1">
        <v>258.39</v>
      </c>
      <c r="E479" s="1">
        <v>256.68</v>
      </c>
      <c r="F479" s="1">
        <v>256.86</v>
      </c>
      <c r="G479" s="1" t="str">
        <f>IF(testdata[[#This Row],[high]]&gt;MAX(D475:D478,D480:D483),testdata[[#This Row],[high]],"")</f>
        <v/>
      </c>
      <c r="H479" s="14" t="s">
        <v>6</v>
      </c>
      <c r="I479" s="10">
        <f t="shared" ca="1" si="37"/>
        <v>273.88999999999896</v>
      </c>
      <c r="J479" s="1">
        <f>IF(testdata[[#This Row],[low]]&lt;MIN(E475:E478,E480:E483),testdata[[#This Row],[low]],"")</f>
        <v>256.68</v>
      </c>
      <c r="K479" s="14" t="s">
        <v>8</v>
      </c>
      <c r="L479" s="9">
        <f>testdata[[#This Row],[Lpoint]]</f>
        <v>256.68</v>
      </c>
      <c r="N479" s="2">
        <v>43427</v>
      </c>
      <c r="O479" s="1"/>
      <c r="P479" s="14" t="s">
        <v>6</v>
      </c>
      <c r="Q479" s="10">
        <v>273.89</v>
      </c>
      <c r="R479" s="1">
        <v>256.68</v>
      </c>
      <c r="S479" s="14" t="s">
        <v>8</v>
      </c>
      <c r="T479" s="9">
        <v>256.68</v>
      </c>
    </row>
    <row r="480" spans="1:20" x14ac:dyDescent="0.35">
      <c r="A480" s="4">
        <v>478</v>
      </c>
      <c r="B480" s="2">
        <v>43430</v>
      </c>
      <c r="C480" s="1">
        <v>259.33</v>
      </c>
      <c r="D480" s="1">
        <v>261.25</v>
      </c>
      <c r="E480" s="1">
        <v>258.89999999999998</v>
      </c>
      <c r="F480" s="1">
        <v>261</v>
      </c>
      <c r="G480" s="1" t="str">
        <f>IF(testdata[[#This Row],[high]]&gt;MAX(D476:D479,D481:D484),testdata[[#This Row],[high]],"")</f>
        <v/>
      </c>
      <c r="H480" s="14" t="s">
        <v>6</v>
      </c>
      <c r="I480" s="10">
        <f t="shared" ca="1" si="37"/>
        <v>273.83999999999907</v>
      </c>
      <c r="J480" s="1" t="str">
        <f>IF(testdata[[#This Row],[low]]&lt;MIN(E476:E479,E481:E484),testdata[[#This Row],[low]],"")</f>
        <v/>
      </c>
      <c r="K480" s="14" t="s">
        <v>13</v>
      </c>
      <c r="L480" s="10">
        <f t="shared" ref="L480:L488" ca="1" si="38">AVERAGE(L479,L481)</f>
        <v>256.24600000000009</v>
      </c>
      <c r="N480" s="2">
        <v>43430</v>
      </c>
      <c r="O480" s="1"/>
      <c r="P480" s="14" t="s">
        <v>6</v>
      </c>
      <c r="Q480" s="10">
        <v>273.83999999999997</v>
      </c>
      <c r="R480" s="1"/>
      <c r="S480" s="14" t="s">
        <v>13</v>
      </c>
      <c r="T480" s="10">
        <v>256.24599999999998</v>
      </c>
    </row>
    <row r="481" spans="1:20" x14ac:dyDescent="0.35">
      <c r="A481" s="4">
        <v>479</v>
      </c>
      <c r="B481" s="2">
        <v>43431</v>
      </c>
      <c r="C481" s="1">
        <v>259.87</v>
      </c>
      <c r="D481" s="1">
        <v>261.88</v>
      </c>
      <c r="E481" s="1">
        <v>259.20999999999998</v>
      </c>
      <c r="F481" s="1">
        <v>261.88</v>
      </c>
      <c r="G481" s="1" t="str">
        <f>IF(testdata[[#This Row],[high]]&gt;MAX(D477:D480,D482:D485),testdata[[#This Row],[high]],"")</f>
        <v/>
      </c>
      <c r="H481" s="14" t="s">
        <v>6</v>
      </c>
      <c r="I481" s="10">
        <f t="shared" ca="1" si="37"/>
        <v>273.78999999999917</v>
      </c>
      <c r="J481" s="1" t="str">
        <f>IF(testdata[[#This Row],[low]]&lt;MIN(E477:E480,E482:E485),testdata[[#This Row],[low]],"")</f>
        <v/>
      </c>
      <c r="K481" s="14" t="s">
        <v>13</v>
      </c>
      <c r="L481" s="10">
        <f t="shared" ca="1" si="38"/>
        <v>255.81200000000013</v>
      </c>
      <c r="N481" s="2">
        <v>43431</v>
      </c>
      <c r="O481" s="1"/>
      <c r="P481" s="14" t="s">
        <v>6</v>
      </c>
      <c r="Q481" s="10">
        <v>273.79000000000002</v>
      </c>
      <c r="R481" s="1"/>
      <c r="S481" s="14" t="s">
        <v>13</v>
      </c>
      <c r="T481" s="10">
        <v>255.81200000000001</v>
      </c>
    </row>
    <row r="482" spans="1:20" x14ac:dyDescent="0.35">
      <c r="A482" s="4">
        <v>480</v>
      </c>
      <c r="B482" s="2">
        <v>43432</v>
      </c>
      <c r="C482" s="1">
        <v>263.05</v>
      </c>
      <c r="D482" s="1">
        <v>267.91000000000003</v>
      </c>
      <c r="E482" s="1">
        <v>261.81</v>
      </c>
      <c r="F482" s="1">
        <v>267.91000000000003</v>
      </c>
      <c r="G482" s="1" t="str">
        <f>IF(testdata[[#This Row],[high]]&gt;MAX(D478:D481,D483:D486),testdata[[#This Row],[high]],"")</f>
        <v/>
      </c>
      <c r="H482" s="14" t="s">
        <v>6</v>
      </c>
      <c r="I482" s="10">
        <f t="shared" ca="1" si="37"/>
        <v>273.73999999999933</v>
      </c>
      <c r="J482" s="1" t="str">
        <f>IF(testdata[[#This Row],[low]]&lt;MIN(E478:E481,E483:E486),testdata[[#This Row],[low]],"")</f>
        <v/>
      </c>
      <c r="K482" s="14" t="s">
        <v>13</v>
      </c>
      <c r="L482" s="10">
        <f t="shared" ca="1" si="38"/>
        <v>255.37800000000016</v>
      </c>
      <c r="N482" s="2">
        <v>43432</v>
      </c>
      <c r="O482" s="1"/>
      <c r="P482" s="14" t="s">
        <v>6</v>
      </c>
      <c r="Q482" s="10">
        <v>273.74</v>
      </c>
      <c r="R482" s="1"/>
      <c r="S482" s="14" t="s">
        <v>13</v>
      </c>
      <c r="T482" s="10">
        <v>255.37799999999999</v>
      </c>
    </row>
    <row r="483" spans="1:20" x14ac:dyDescent="0.35">
      <c r="A483" s="4">
        <v>481</v>
      </c>
      <c r="B483" s="2">
        <v>43433</v>
      </c>
      <c r="C483" s="1">
        <v>267.06</v>
      </c>
      <c r="D483" s="1">
        <v>268.86</v>
      </c>
      <c r="E483" s="1">
        <v>265.82</v>
      </c>
      <c r="F483" s="1">
        <v>267.33</v>
      </c>
      <c r="G483" s="1" t="str">
        <f>IF(testdata[[#This Row],[high]]&gt;MAX(D479:D482,D484:D487),testdata[[#This Row],[high]],"")</f>
        <v/>
      </c>
      <c r="H483" s="14" t="s">
        <v>6</v>
      </c>
      <c r="I483" s="10">
        <f t="shared" ca="1" si="37"/>
        <v>273.68999999999954</v>
      </c>
      <c r="J483" s="1" t="str">
        <f>IF(testdata[[#This Row],[low]]&lt;MIN(E479:E482,E484:E487),testdata[[#This Row],[low]],"")</f>
        <v/>
      </c>
      <c r="K483" s="14" t="s">
        <v>13</v>
      </c>
      <c r="L483" s="10">
        <f t="shared" ca="1" si="38"/>
        <v>254.94400000000019</v>
      </c>
      <c r="N483" s="2">
        <v>43433</v>
      </c>
      <c r="O483" s="1"/>
      <c r="P483" s="14" t="s">
        <v>6</v>
      </c>
      <c r="Q483" s="10">
        <v>273.69</v>
      </c>
      <c r="R483" s="1"/>
      <c r="S483" s="14" t="s">
        <v>13</v>
      </c>
      <c r="T483" s="10">
        <v>254.94399999999999</v>
      </c>
    </row>
    <row r="484" spans="1:20" x14ac:dyDescent="0.35">
      <c r="A484" s="4">
        <v>482</v>
      </c>
      <c r="B484" s="2">
        <v>43434</v>
      </c>
      <c r="C484" s="1">
        <v>267.16000000000003</v>
      </c>
      <c r="D484" s="1">
        <v>269.57</v>
      </c>
      <c r="E484" s="1">
        <v>266.81</v>
      </c>
      <c r="F484" s="1">
        <v>268.95999999999998</v>
      </c>
      <c r="G484" s="1" t="str">
        <f>IF(testdata[[#This Row],[high]]&gt;MAX(D480:D483,D485:D488),testdata[[#This Row],[high]],"")</f>
        <v/>
      </c>
      <c r="H484" s="14" t="s">
        <v>6</v>
      </c>
      <c r="I484" s="10">
        <f t="shared" ca="1" si="37"/>
        <v>273.63999999999976</v>
      </c>
      <c r="J484" s="1" t="str">
        <f>IF(testdata[[#This Row],[low]]&lt;MIN(E480:E483,E485:E488),testdata[[#This Row],[low]],"")</f>
        <v/>
      </c>
      <c r="K484" s="14" t="s">
        <v>13</v>
      </c>
      <c r="L484" s="10">
        <f t="shared" ca="1" si="38"/>
        <v>254.51000000000019</v>
      </c>
      <c r="N484" s="2">
        <v>43434</v>
      </c>
      <c r="O484" s="1"/>
      <c r="P484" s="14" t="s">
        <v>6</v>
      </c>
      <c r="Q484" s="10">
        <v>273.64</v>
      </c>
      <c r="R484" s="1"/>
      <c r="S484" s="14" t="s">
        <v>13</v>
      </c>
      <c r="T484" s="10">
        <v>254.51</v>
      </c>
    </row>
    <row r="485" spans="1:20" x14ac:dyDescent="0.35">
      <c r="A485" s="4">
        <v>483</v>
      </c>
      <c r="B485" s="2">
        <v>43437</v>
      </c>
      <c r="C485" s="1">
        <v>273.47000000000003</v>
      </c>
      <c r="D485" s="1">
        <v>273.58999999999997</v>
      </c>
      <c r="E485" s="1">
        <v>270.77</v>
      </c>
      <c r="F485" s="1">
        <v>272.52</v>
      </c>
      <c r="G485" s="1">
        <f>IF(testdata[[#This Row],[high]]&gt;MAX(D481:D484,D486:D489),testdata[[#This Row],[high]],"")</f>
        <v>273.58999999999997</v>
      </c>
      <c r="H485" s="14" t="s">
        <v>6</v>
      </c>
      <c r="I485" s="9">
        <f>testdata[[#This Row],[Hpoint]]</f>
        <v>273.58999999999997</v>
      </c>
      <c r="J485" s="1" t="str">
        <f>IF(testdata[[#This Row],[low]]&lt;MIN(E481:E484,E486:E489),testdata[[#This Row],[low]],"")</f>
        <v/>
      </c>
      <c r="K485" s="14" t="s">
        <v>13</v>
      </c>
      <c r="L485" s="10">
        <f t="shared" ca="1" si="38"/>
        <v>254.07600000000019</v>
      </c>
      <c r="N485" s="2">
        <v>43437</v>
      </c>
      <c r="O485" s="1">
        <v>273.58999999999997</v>
      </c>
      <c r="P485" s="14" t="s">
        <v>6</v>
      </c>
      <c r="Q485" s="9">
        <v>273.58999999999997</v>
      </c>
      <c r="R485" s="1"/>
      <c r="S485" s="14" t="s">
        <v>13</v>
      </c>
      <c r="T485" s="10">
        <v>254.07599999999999</v>
      </c>
    </row>
    <row r="486" spans="1:20" x14ac:dyDescent="0.35">
      <c r="A486" s="4">
        <v>484</v>
      </c>
      <c r="B486" s="2">
        <v>43438</v>
      </c>
      <c r="C486" s="1">
        <v>271.61</v>
      </c>
      <c r="D486" s="1">
        <v>272.08</v>
      </c>
      <c r="E486" s="1">
        <v>263.35000000000002</v>
      </c>
      <c r="F486" s="1">
        <v>263.69</v>
      </c>
      <c r="G486" s="1" t="str">
        <f>IF(testdata[[#This Row],[high]]&gt;MAX(D482:D485,D487:D490),testdata[[#This Row],[high]],"")</f>
        <v/>
      </c>
      <c r="H486" s="14"/>
      <c r="I486" s="9"/>
      <c r="J486" s="1" t="str">
        <f>IF(testdata[[#This Row],[low]]&lt;MIN(E482:E485,E487:E490),testdata[[#This Row],[low]],"")</f>
        <v/>
      </c>
      <c r="K486" s="14" t="s">
        <v>13</v>
      </c>
      <c r="L486" s="10">
        <f t="shared" ca="1" si="38"/>
        <v>253.64200000000017</v>
      </c>
      <c r="N486" s="2">
        <v>43438</v>
      </c>
      <c r="O486" s="1"/>
      <c r="P486" s="14"/>
      <c r="Q486" s="9"/>
      <c r="R486" s="1"/>
      <c r="S486" s="14" t="s">
        <v>13</v>
      </c>
      <c r="T486" s="10">
        <v>253.642</v>
      </c>
    </row>
    <row r="487" spans="1:20" x14ac:dyDescent="0.35">
      <c r="A487" s="4">
        <v>485</v>
      </c>
      <c r="B487" s="2">
        <v>43440</v>
      </c>
      <c r="C487" s="1">
        <v>259.45999999999998</v>
      </c>
      <c r="D487" s="1">
        <v>263.41000000000003</v>
      </c>
      <c r="E487" s="1">
        <v>256.07</v>
      </c>
      <c r="F487" s="1">
        <v>263.29000000000002</v>
      </c>
      <c r="G487" s="1" t="str">
        <f>IF(testdata[[#This Row],[high]]&gt;MAX(D483:D486,D488:D491),testdata[[#This Row],[high]],"")</f>
        <v/>
      </c>
      <c r="H487" s="14"/>
      <c r="I487" s="9"/>
      <c r="J487" s="1" t="str">
        <f>IF(testdata[[#This Row],[low]]&lt;MIN(E483:E486,E488:E491),testdata[[#This Row],[low]],"")</f>
        <v/>
      </c>
      <c r="K487" s="14" t="s">
        <v>13</v>
      </c>
      <c r="L487" s="10">
        <f t="shared" ca="1" si="38"/>
        <v>253.20800000000011</v>
      </c>
      <c r="N487" s="2">
        <v>43440</v>
      </c>
      <c r="O487" s="1"/>
      <c r="P487" s="14"/>
      <c r="Q487" s="9"/>
      <c r="R487" s="1"/>
      <c r="S487" s="14" t="s">
        <v>13</v>
      </c>
      <c r="T487" s="10">
        <v>253.208</v>
      </c>
    </row>
    <row r="488" spans="1:20" x14ac:dyDescent="0.35">
      <c r="A488" s="4">
        <v>486</v>
      </c>
      <c r="B488" s="2">
        <v>43441</v>
      </c>
      <c r="C488" s="1">
        <v>262.92</v>
      </c>
      <c r="D488" s="1">
        <v>264.63</v>
      </c>
      <c r="E488" s="1">
        <v>256.25</v>
      </c>
      <c r="F488" s="1">
        <v>257.17</v>
      </c>
      <c r="G488" s="1" t="str">
        <f>IF(testdata[[#This Row],[high]]&gt;MAX(D484:D487,D489:D492),testdata[[#This Row],[high]],"")</f>
        <v/>
      </c>
      <c r="H488" s="14"/>
      <c r="I488" s="9"/>
      <c r="J488" s="1" t="str">
        <f>IF(testdata[[#This Row],[low]]&lt;MIN(E484:E487,E489:E492),testdata[[#This Row],[low]],"")</f>
        <v/>
      </c>
      <c r="K488" s="14" t="s">
        <v>13</v>
      </c>
      <c r="L488" s="10">
        <f t="shared" ca="1" si="38"/>
        <v>252.77400000000006</v>
      </c>
      <c r="N488" s="2">
        <v>43441</v>
      </c>
      <c r="O488" s="1"/>
      <c r="P488" s="14"/>
      <c r="Q488" s="9"/>
      <c r="R488" s="1"/>
      <c r="S488" s="14" t="s">
        <v>13</v>
      </c>
      <c r="T488" s="10">
        <v>252.774</v>
      </c>
    </row>
    <row r="489" spans="1:20" x14ac:dyDescent="0.35">
      <c r="A489" s="4">
        <v>487</v>
      </c>
      <c r="B489" s="2">
        <v>43444</v>
      </c>
      <c r="C489" s="1">
        <v>256.98</v>
      </c>
      <c r="D489" s="1">
        <v>258.72000000000003</v>
      </c>
      <c r="E489" s="1">
        <v>252.34</v>
      </c>
      <c r="F489" s="1">
        <v>257.66000000000003</v>
      </c>
      <c r="G489" s="1" t="str">
        <f>IF(testdata[[#This Row],[high]]&gt;MAX(D485:D488,D490:D493),testdata[[#This Row],[high]],"")</f>
        <v/>
      </c>
      <c r="H489" s="14"/>
      <c r="I489" s="9"/>
      <c r="J489" s="1">
        <f>IF(testdata[[#This Row],[low]]&lt;MIN(E485:E488,E490:E493),testdata[[#This Row],[low]],"")</f>
        <v>252.34</v>
      </c>
      <c r="K489" s="14" t="s">
        <v>13</v>
      </c>
      <c r="L489" s="9">
        <f>testdata[[#This Row],[Lpoint]]</f>
        <v>252.34</v>
      </c>
      <c r="N489" s="2">
        <v>43444</v>
      </c>
      <c r="O489" s="1"/>
      <c r="P489" s="14"/>
      <c r="Q489" s="9"/>
      <c r="R489" s="1">
        <v>252.34</v>
      </c>
      <c r="S489" s="14" t="s">
        <v>13</v>
      </c>
      <c r="T489" s="9">
        <v>252.34</v>
      </c>
    </row>
    <row r="490" spans="1:20" x14ac:dyDescent="0.35">
      <c r="A490" s="4">
        <v>488</v>
      </c>
      <c r="B490" s="2">
        <v>43445</v>
      </c>
      <c r="C490" s="1">
        <v>261.16000000000003</v>
      </c>
      <c r="D490" s="1">
        <v>261.37</v>
      </c>
      <c r="E490" s="1">
        <v>256.11</v>
      </c>
      <c r="F490" s="1">
        <v>257.72000000000003</v>
      </c>
      <c r="G490" s="1" t="str">
        <f>IF(testdata[[#This Row],[high]]&gt;MAX(D486:D489,D491:D494),testdata[[#This Row],[high]],"")</f>
        <v/>
      </c>
      <c r="H490" s="14"/>
      <c r="I490" s="9"/>
      <c r="J490" s="1" t="str">
        <f>IF(testdata[[#This Row],[low]]&lt;MIN(E486:E489,E491:E494),testdata[[#This Row],[low]],"")</f>
        <v/>
      </c>
      <c r="K490" s="14"/>
      <c r="L490" s="9"/>
      <c r="N490" s="2">
        <v>43445</v>
      </c>
      <c r="O490" s="1"/>
      <c r="P490" s="14"/>
      <c r="Q490" s="9"/>
      <c r="R490" s="1"/>
      <c r="S490" s="14"/>
      <c r="T490" s="9"/>
    </row>
    <row r="491" spans="1:20" x14ac:dyDescent="0.35">
      <c r="A491" s="4">
        <v>489</v>
      </c>
      <c r="B491" s="2">
        <v>43446</v>
      </c>
      <c r="C491" s="1">
        <v>260.98</v>
      </c>
      <c r="D491" s="1">
        <v>262.47000000000003</v>
      </c>
      <c r="E491" s="1">
        <v>258.93</v>
      </c>
      <c r="F491" s="1">
        <v>259.01</v>
      </c>
      <c r="G491" s="1" t="str">
        <f>IF(testdata[[#This Row],[high]]&gt;MAX(D487:D490,D492:D495),testdata[[#This Row],[high]],"")</f>
        <v/>
      </c>
      <c r="H491" s="14"/>
      <c r="I491" s="9"/>
      <c r="J491" s="1" t="str">
        <f>IF(testdata[[#This Row],[low]]&lt;MIN(E487:E490,E492:E495),testdata[[#This Row],[low]],"")</f>
        <v/>
      </c>
      <c r="K491" s="14"/>
      <c r="L491" s="9"/>
      <c r="N491" s="2">
        <v>43446</v>
      </c>
      <c r="O491" s="1"/>
      <c r="P491" s="14"/>
      <c r="Q491" s="9"/>
      <c r="R491" s="1"/>
      <c r="S491" s="14"/>
      <c r="T491" s="9"/>
    </row>
    <row r="492" spans="1:20" x14ac:dyDescent="0.35">
      <c r="A492" s="4">
        <v>490</v>
      </c>
      <c r="B492" s="2">
        <v>43447</v>
      </c>
      <c r="C492" s="1">
        <v>260.05</v>
      </c>
      <c r="D492" s="1">
        <v>260.99</v>
      </c>
      <c r="E492" s="1">
        <v>257.70999999999998</v>
      </c>
      <c r="F492" s="1">
        <v>258.93</v>
      </c>
      <c r="G492" s="1" t="str">
        <f>IF(testdata[[#This Row],[high]]&gt;MAX(D488:D491,D493:D496),testdata[[#This Row],[high]],"")</f>
        <v/>
      </c>
      <c r="H492" s="14"/>
      <c r="I492" s="9"/>
      <c r="J492" s="1" t="str">
        <f>IF(testdata[[#This Row],[low]]&lt;MIN(E488:E491,E493:E496),testdata[[#This Row],[low]],"")</f>
        <v/>
      </c>
      <c r="K492" s="14"/>
      <c r="L492" s="9"/>
      <c r="N492" s="2">
        <v>43447</v>
      </c>
      <c r="O492" s="1"/>
      <c r="P492" s="14"/>
      <c r="Q492" s="9"/>
      <c r="R492" s="1"/>
      <c r="S492" s="14"/>
      <c r="T492" s="9"/>
    </row>
    <row r="493" spans="1:20" x14ac:dyDescent="0.35">
      <c r="A493" s="4">
        <v>491</v>
      </c>
      <c r="B493" s="2">
        <v>43448</v>
      </c>
      <c r="C493" s="1">
        <v>256.58</v>
      </c>
      <c r="D493" s="1">
        <v>257.62</v>
      </c>
      <c r="E493" s="1">
        <v>253.54</v>
      </c>
      <c r="F493" s="1">
        <v>254.15</v>
      </c>
      <c r="G493" s="1" t="str">
        <f>IF(testdata[[#This Row],[high]]&gt;MAX(D489:D492,D494:D497),testdata[[#This Row],[high]],"")</f>
        <v/>
      </c>
      <c r="H493" s="14"/>
      <c r="I493" s="9"/>
      <c r="J493" s="1" t="str">
        <f>IF(testdata[[#This Row],[low]]&lt;MIN(E489:E492,E494:E497),testdata[[#This Row],[low]],"")</f>
        <v/>
      </c>
      <c r="K493" s="14"/>
      <c r="L493" s="9"/>
      <c r="N493" s="2">
        <v>43448</v>
      </c>
      <c r="O493" s="1"/>
      <c r="P493" s="14"/>
      <c r="Q493" s="9"/>
      <c r="R493" s="1"/>
      <c r="S493" s="14"/>
      <c r="T493" s="9"/>
    </row>
    <row r="494" spans="1:20" x14ac:dyDescent="0.35">
      <c r="A494" s="4">
        <v>492</v>
      </c>
      <c r="B494" s="2">
        <v>43451</v>
      </c>
      <c r="C494" s="1">
        <v>253.1</v>
      </c>
      <c r="D494" s="1">
        <v>254.32</v>
      </c>
      <c r="E494" s="1">
        <v>247.37</v>
      </c>
      <c r="F494" s="1">
        <v>249.16</v>
      </c>
      <c r="G494" s="1" t="str">
        <f>IF(testdata[[#This Row],[high]]&gt;MAX(D490:D493,D495:D498),testdata[[#This Row],[high]],"")</f>
        <v/>
      </c>
      <c r="H494" s="14"/>
      <c r="I494" s="9"/>
      <c r="J494" s="1" t="str">
        <f>IF(testdata[[#This Row],[low]]&lt;MIN(E490:E493,E495:E498),testdata[[#This Row],[low]],"")</f>
        <v/>
      </c>
      <c r="K494" s="14"/>
      <c r="L494" s="9"/>
      <c r="N494" s="2">
        <v>43451</v>
      </c>
      <c r="O494" s="1"/>
      <c r="P494" s="14"/>
      <c r="Q494" s="9"/>
      <c r="R494" s="1"/>
      <c r="S494" s="14"/>
      <c r="T494" s="9"/>
    </row>
    <row r="495" spans="1:20" x14ac:dyDescent="0.35">
      <c r="A495" s="4">
        <v>493</v>
      </c>
      <c r="B495" s="2">
        <v>43452</v>
      </c>
      <c r="C495" s="1">
        <v>250.95</v>
      </c>
      <c r="D495" s="1">
        <v>251.69</v>
      </c>
      <c r="E495" s="1">
        <v>247.13</v>
      </c>
      <c r="F495" s="1">
        <v>248.89</v>
      </c>
      <c r="G495" s="1" t="str">
        <f>IF(testdata[[#This Row],[high]]&gt;MAX(D491:D494,D496:D499),testdata[[#This Row],[high]],"")</f>
        <v/>
      </c>
      <c r="H495" s="14"/>
      <c r="I495" s="9"/>
      <c r="J495" s="1" t="str">
        <f>IF(testdata[[#This Row],[low]]&lt;MIN(E491:E494,E496:E499),testdata[[#This Row],[low]],"")</f>
        <v/>
      </c>
      <c r="K495" s="14"/>
      <c r="L495" s="9"/>
      <c r="N495" s="2">
        <v>43452</v>
      </c>
      <c r="O495" s="1"/>
      <c r="P495" s="14"/>
      <c r="Q495" s="9"/>
      <c r="R495" s="1"/>
      <c r="S495" s="14"/>
      <c r="T495" s="9"/>
    </row>
    <row r="496" spans="1:20" x14ac:dyDescent="0.35">
      <c r="A496" s="4">
        <v>494</v>
      </c>
      <c r="B496" s="2">
        <v>43453</v>
      </c>
      <c r="C496" s="1">
        <v>248.97</v>
      </c>
      <c r="D496" s="1">
        <v>253.1</v>
      </c>
      <c r="E496" s="1">
        <v>243.3</v>
      </c>
      <c r="F496" s="1">
        <v>245.16</v>
      </c>
      <c r="G496" s="1" t="str">
        <f>IF(testdata[[#This Row],[high]]&gt;MAX(D492:D495,D497:D500),testdata[[#This Row],[high]],"")</f>
        <v/>
      </c>
      <c r="H496" s="14"/>
      <c r="I496" s="9"/>
      <c r="J496" s="1" t="str">
        <f>IF(testdata[[#This Row],[low]]&lt;MIN(E492:E495,E497:E500),testdata[[#This Row],[low]],"")</f>
        <v/>
      </c>
      <c r="K496" s="14"/>
      <c r="L496" s="9"/>
      <c r="N496" s="2">
        <v>43453</v>
      </c>
      <c r="O496" s="1"/>
      <c r="P496" s="14"/>
      <c r="Q496" s="9"/>
      <c r="R496" s="1"/>
      <c r="S496" s="14"/>
      <c r="T496" s="9"/>
    </row>
    <row r="497" spans="1:20" x14ac:dyDescent="0.35">
      <c r="A497" s="4">
        <v>495</v>
      </c>
      <c r="B497" s="2">
        <v>43454</v>
      </c>
      <c r="C497" s="1">
        <v>243.79</v>
      </c>
      <c r="D497" s="1">
        <v>245.51</v>
      </c>
      <c r="E497" s="1">
        <v>238.71</v>
      </c>
      <c r="F497" s="1">
        <v>241.17</v>
      </c>
      <c r="G497" s="1" t="str">
        <f>IF(testdata[[#This Row],[high]]&gt;MAX(D493:D496,D498:D501),testdata[[#This Row],[high]],"")</f>
        <v/>
      </c>
      <c r="H497" s="14"/>
      <c r="I497" s="9"/>
      <c r="J497" s="1" t="str">
        <f>IF(testdata[[#This Row],[low]]&lt;MIN(E493:E496,E498:E501),testdata[[#This Row],[low]],"")</f>
        <v/>
      </c>
      <c r="K497" s="14"/>
      <c r="L497" s="9"/>
      <c r="N497" s="2">
        <v>43454</v>
      </c>
      <c r="O497" s="1"/>
      <c r="P497" s="14"/>
      <c r="Q497" s="9"/>
      <c r="R497" s="1"/>
      <c r="S497" s="14"/>
      <c r="T497" s="9"/>
    </row>
    <row r="498" spans="1:20" x14ac:dyDescent="0.35">
      <c r="A498" s="4">
        <v>496</v>
      </c>
      <c r="B498" s="2">
        <v>43455</v>
      </c>
      <c r="C498" s="1">
        <v>242.16</v>
      </c>
      <c r="D498" s="1">
        <v>245.07</v>
      </c>
      <c r="E498" s="1">
        <v>235.52</v>
      </c>
      <c r="F498" s="1">
        <v>236.23</v>
      </c>
      <c r="G498" s="1" t="str">
        <f>IF(testdata[[#This Row],[high]]&gt;MAX(D494:D497,D499:D502),testdata[[#This Row],[high]],"")</f>
        <v/>
      </c>
      <c r="H498" s="14"/>
      <c r="I498" s="9"/>
      <c r="J498" s="1" t="str">
        <f>IF(testdata[[#This Row],[low]]&lt;MIN(E494:E497,E499:E502),testdata[[#This Row],[low]],"")</f>
        <v/>
      </c>
      <c r="K498" s="14"/>
      <c r="L498" s="9"/>
      <c r="N498" s="2">
        <v>43455</v>
      </c>
      <c r="O498" s="1"/>
      <c r="P498" s="14"/>
      <c r="Q498" s="9"/>
      <c r="R498" s="1"/>
      <c r="S498" s="14"/>
      <c r="T498" s="9"/>
    </row>
    <row r="499" spans="1:20" x14ac:dyDescent="0.35">
      <c r="A499" s="4">
        <v>497</v>
      </c>
      <c r="B499" s="2">
        <v>43458</v>
      </c>
      <c r="C499" s="1">
        <v>234.6</v>
      </c>
      <c r="D499" s="1">
        <v>236.36</v>
      </c>
      <c r="E499" s="1">
        <v>229.92</v>
      </c>
      <c r="F499" s="1">
        <v>229.99</v>
      </c>
      <c r="G499" s="1" t="str">
        <f>IF(testdata[[#This Row],[high]]&gt;MAX(D495:D498,D500:D503),testdata[[#This Row],[high]],"")</f>
        <v/>
      </c>
      <c r="H499" s="14"/>
      <c r="I499" s="9"/>
      <c r="J499" s="1" t="str">
        <f>IF(testdata[[#This Row],[low]]&lt;MIN(E495:E498,E500:E503),testdata[[#This Row],[low]],"")</f>
        <v/>
      </c>
      <c r="K499" s="14"/>
      <c r="L499" s="9"/>
      <c r="N499" s="2">
        <v>43458</v>
      </c>
      <c r="O499" s="1"/>
      <c r="P499" s="14"/>
      <c r="Q499" s="9"/>
      <c r="R499" s="1"/>
      <c r="S499" s="14"/>
      <c r="T499" s="9"/>
    </row>
    <row r="500" spans="1:20" x14ac:dyDescent="0.35">
      <c r="A500" s="4">
        <v>498</v>
      </c>
      <c r="B500" s="2">
        <v>43460</v>
      </c>
      <c r="C500" s="1">
        <v>231.59</v>
      </c>
      <c r="D500" s="1">
        <v>241.61</v>
      </c>
      <c r="E500" s="1">
        <v>229.42</v>
      </c>
      <c r="F500" s="1">
        <v>241.61</v>
      </c>
      <c r="G500" s="6"/>
      <c r="H500" s="13"/>
      <c r="I500" s="8"/>
      <c r="J500" s="6"/>
      <c r="K500" s="13"/>
      <c r="L500" s="8"/>
      <c r="N500" s="2">
        <v>43460</v>
      </c>
      <c r="O500" s="6"/>
      <c r="P500" s="13"/>
      <c r="Q500" s="8"/>
      <c r="R500" s="6"/>
      <c r="S500" s="13"/>
      <c r="T500" s="8"/>
    </row>
    <row r="501" spans="1:20" x14ac:dyDescent="0.35">
      <c r="A501" s="4">
        <v>499</v>
      </c>
      <c r="B501" s="2">
        <v>43461</v>
      </c>
      <c r="C501" s="1">
        <v>238.06</v>
      </c>
      <c r="D501" s="1">
        <v>243.68</v>
      </c>
      <c r="E501" s="1">
        <v>234.52</v>
      </c>
      <c r="F501" s="1">
        <v>243.46</v>
      </c>
      <c r="G501" s="6"/>
      <c r="H501" s="13"/>
      <c r="I501" s="8"/>
      <c r="J501" s="6" t="str">
        <f>IF(testdata[[#This Row],[low]]&lt;MIN(E499:E500,E502:E503),testdata[[#This Row],[low]],"")</f>
        <v/>
      </c>
      <c r="K501" s="13"/>
      <c r="L501" s="8"/>
      <c r="N501" s="2">
        <v>43461</v>
      </c>
      <c r="O501" s="6"/>
      <c r="P501" s="13"/>
      <c r="Q501" s="8"/>
      <c r="R501" s="6"/>
      <c r="S501" s="13"/>
      <c r="T501" s="8"/>
    </row>
    <row r="502" spans="1:20" x14ac:dyDescent="0.35">
      <c r="A502" s="4">
        <v>500</v>
      </c>
      <c r="B502" s="2">
        <v>43462</v>
      </c>
      <c r="C502" s="1">
        <v>244.94</v>
      </c>
      <c r="D502" s="1">
        <v>246.73</v>
      </c>
      <c r="E502" s="1">
        <v>241.87</v>
      </c>
      <c r="F502" s="1">
        <v>243.15</v>
      </c>
      <c r="G502" s="6"/>
      <c r="H502" s="13"/>
      <c r="I502" s="8"/>
      <c r="J502" s="6" t="str">
        <f>IF(testdata[[#This Row],[low]]&lt;MIN(E500:E501,E503:E504),testdata[[#This Row],[low]],"")</f>
        <v/>
      </c>
      <c r="K502" s="13"/>
      <c r="L502" s="8"/>
      <c r="N502" s="2">
        <v>43462</v>
      </c>
      <c r="O502" s="6"/>
      <c r="P502" s="13"/>
      <c r="Q502" s="8"/>
      <c r="R502" s="6"/>
      <c r="S502" s="13"/>
      <c r="T502" s="8"/>
    </row>
    <row r="503" spans="1:20" x14ac:dyDescent="0.35">
      <c r="A503" s="4">
        <v>501</v>
      </c>
      <c r="B503" s="2">
        <v>43465</v>
      </c>
      <c r="C503" s="1">
        <v>244.92</v>
      </c>
      <c r="D503" s="1">
        <v>245.54</v>
      </c>
      <c r="E503" s="1">
        <v>242.87</v>
      </c>
      <c r="F503" s="1">
        <v>245.28</v>
      </c>
      <c r="G503" s="6" t="str">
        <f>IF(testdata[[#This Row],[high]]&gt;MAX(D501:D502,D504:D505),testdata[[#This Row],[high]],"")</f>
        <v/>
      </c>
      <c r="H503" s="13"/>
      <c r="I503" s="8"/>
      <c r="J503" s="6" t="str">
        <f>IF(testdata[[#This Row],[low]]&lt;MIN(E501:E502,E504:E505),testdata[[#This Row],[low]],"")</f>
        <v/>
      </c>
      <c r="K503" s="13"/>
      <c r="L503" s="8"/>
      <c r="N503" s="2">
        <v>43465</v>
      </c>
      <c r="O503" s="6"/>
      <c r="P503" s="13"/>
      <c r="Q503" s="8"/>
      <c r="R503" s="6"/>
      <c r="S503" s="13"/>
      <c r="T503" s="8"/>
    </row>
  </sheetData>
  <phoneticPr fontId="18" type="noConversion"/>
  <pageMargins left="0.7" right="0.7" top="0.75" bottom="0.75" header="0.3" footer="0.3"/>
  <pageSetup orientation="portrait" r:id="rId1"/>
  <ignoredErrors>
    <ignoredError sqref="L10:L14 L16:L20 L48:L58 L60:L71 L73:L84 L86:L95 L97:L110 L112:L124" calculatedColumn="1"/>
    <ignoredError sqref="I66 I94 I106:I118 I285:I365" formula="1"/>
  </ignoredErrors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BFAC-8824-4F9F-A223-EE9AC1ECF1A5}">
  <dimension ref="A1:P1432"/>
  <sheetViews>
    <sheetView tabSelected="1" topLeftCell="A2" workbookViewId="0">
      <selection activeCell="T31" sqref="T31"/>
    </sheetView>
  </sheetViews>
  <sheetFormatPr defaultRowHeight="14.5" x14ac:dyDescent="0.35"/>
  <cols>
    <col min="1" max="1" width="6" style="5" bestFit="1" customWidth="1"/>
    <col min="2" max="2" width="15.1796875" style="17" bestFit="1" customWidth="1"/>
    <col min="3" max="6" width="11.08984375" style="1" bestFit="1" customWidth="1"/>
    <col min="7" max="7" width="8.6328125" style="18" bestFit="1" customWidth="1"/>
    <col min="8" max="8" width="3.7265625" style="5" customWidth="1"/>
    <col min="9" max="9" width="15.1796875" style="21" bestFit="1" customWidth="1"/>
    <col min="10" max="13" width="11.08984375" style="22" bestFit="1" customWidth="1"/>
    <col min="14" max="14" width="8" style="23" bestFit="1" customWidth="1"/>
    <col min="15" max="15" width="7.54296875" style="24" bestFit="1" customWidth="1"/>
    <col min="16" max="16" width="11" style="12" bestFit="1" customWidth="1"/>
  </cols>
  <sheetData>
    <row r="1" spans="1:16" x14ac:dyDescent="0.35">
      <c r="O1" s="23"/>
      <c r="P1"/>
    </row>
    <row r="2" spans="1:16" x14ac:dyDescent="0.35">
      <c r="A2" s="4" t="s">
        <v>16</v>
      </c>
      <c r="B2" s="17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9" t="s">
        <v>18</v>
      </c>
      <c r="I2" s="21" t="s">
        <v>5</v>
      </c>
      <c r="J2" s="25" t="s">
        <v>11</v>
      </c>
      <c r="K2" s="25" t="s">
        <v>12</v>
      </c>
      <c r="L2" s="25" t="s">
        <v>14</v>
      </c>
      <c r="M2" s="25" t="s">
        <v>15</v>
      </c>
      <c r="N2" s="25" t="s">
        <v>10</v>
      </c>
      <c r="O2" s="25" t="s">
        <v>9</v>
      </c>
      <c r="P2"/>
    </row>
    <row r="3" spans="1:16" x14ac:dyDescent="0.35">
      <c r="A3" s="4">
        <v>0</v>
      </c>
      <c r="B3" s="17">
        <v>46053.28402777778</v>
      </c>
      <c r="C3" s="1">
        <v>83710.66</v>
      </c>
      <c r="D3" s="20">
        <v>83710.8</v>
      </c>
      <c r="E3" s="20">
        <v>83637.81</v>
      </c>
      <c r="F3" s="1">
        <v>83642.100000000006</v>
      </c>
      <c r="G3" s="18">
        <v>109</v>
      </c>
      <c r="I3" s="21">
        <v>46053.28402777778</v>
      </c>
      <c r="J3" s="26"/>
      <c r="K3" s="26"/>
      <c r="L3" s="27"/>
      <c r="M3" s="27"/>
      <c r="N3" s="28"/>
      <c r="O3" s="28"/>
      <c r="P3"/>
    </row>
    <row r="4" spans="1:16" x14ac:dyDescent="0.35">
      <c r="A4" s="4">
        <v>1</v>
      </c>
      <c r="B4" s="17">
        <v>46053.284722222219</v>
      </c>
      <c r="C4" s="1">
        <v>83642.100000000006</v>
      </c>
      <c r="D4" s="20">
        <v>83686.03</v>
      </c>
      <c r="E4" s="20">
        <v>83642.100000000006</v>
      </c>
      <c r="F4" s="1">
        <v>83685.62</v>
      </c>
      <c r="G4" s="18">
        <v>139</v>
      </c>
      <c r="I4" s="21">
        <v>46053.284722222219</v>
      </c>
      <c r="J4" s="26"/>
      <c r="K4" s="26"/>
      <c r="L4" s="27"/>
      <c r="M4" s="27"/>
      <c r="N4" s="28"/>
      <c r="O4" s="28"/>
      <c r="P4"/>
    </row>
    <row r="5" spans="1:16" x14ac:dyDescent="0.35">
      <c r="A5" s="4">
        <v>2</v>
      </c>
      <c r="B5" s="17">
        <v>46053.285416666666</v>
      </c>
      <c r="C5" s="1">
        <v>83695.88</v>
      </c>
      <c r="D5" s="20">
        <v>83738.3</v>
      </c>
      <c r="E5" s="20">
        <v>83695.81</v>
      </c>
      <c r="F5" s="1">
        <v>83727.77</v>
      </c>
      <c r="G5" s="18">
        <v>154</v>
      </c>
      <c r="I5" s="21">
        <v>46053.285416666666</v>
      </c>
      <c r="J5" s="26">
        <v>83738.3</v>
      </c>
      <c r="K5" s="26"/>
      <c r="L5" s="27">
        <v>83738.3</v>
      </c>
      <c r="M5" s="27"/>
      <c r="N5" s="28"/>
      <c r="O5" s="28"/>
      <c r="P5"/>
    </row>
    <row r="6" spans="1:16" x14ac:dyDescent="0.35">
      <c r="A6" s="4">
        <v>3</v>
      </c>
      <c r="B6" s="17">
        <v>46053.286111111112</v>
      </c>
      <c r="C6" s="1">
        <v>83727.77</v>
      </c>
      <c r="D6" s="20">
        <v>83728.03</v>
      </c>
      <c r="E6" s="20">
        <v>83711.75</v>
      </c>
      <c r="F6" s="1">
        <v>83725.09</v>
      </c>
      <c r="G6" s="18">
        <v>88</v>
      </c>
      <c r="I6" s="21">
        <v>46053.286111111112</v>
      </c>
      <c r="J6" s="26"/>
      <c r="K6" s="26"/>
      <c r="L6" s="27">
        <v>83742.742499999993</v>
      </c>
      <c r="M6" s="27"/>
      <c r="N6" s="28" t="s">
        <v>7</v>
      </c>
      <c r="O6" s="28"/>
      <c r="P6"/>
    </row>
    <row r="7" spans="1:16" x14ac:dyDescent="0.35">
      <c r="A7" s="4">
        <v>4</v>
      </c>
      <c r="B7" s="17">
        <v>46053.286805555559</v>
      </c>
      <c r="C7" s="1">
        <v>83725.09</v>
      </c>
      <c r="D7" s="20">
        <v>83730.58</v>
      </c>
      <c r="E7" s="20">
        <v>83718.03</v>
      </c>
      <c r="F7" s="1">
        <v>83730.58</v>
      </c>
      <c r="G7" s="18">
        <v>116</v>
      </c>
      <c r="I7" s="21">
        <v>46053.286805555559</v>
      </c>
      <c r="J7" s="26"/>
      <c r="K7" s="26"/>
      <c r="L7" s="27">
        <v>83747.184999999998</v>
      </c>
      <c r="M7" s="27"/>
      <c r="N7" s="28" t="s">
        <v>7</v>
      </c>
      <c r="O7" s="28"/>
      <c r="P7"/>
    </row>
    <row r="8" spans="1:16" x14ac:dyDescent="0.35">
      <c r="A8" s="4">
        <v>5</v>
      </c>
      <c r="B8" s="17">
        <v>46053.287499999999</v>
      </c>
      <c r="C8" s="1">
        <v>83730.41</v>
      </c>
      <c r="D8" s="20">
        <v>83737.600000000006</v>
      </c>
      <c r="E8" s="20">
        <v>83730.080000000002</v>
      </c>
      <c r="F8" s="1">
        <v>83737.41</v>
      </c>
      <c r="G8" s="18">
        <v>97</v>
      </c>
      <c r="I8" s="21">
        <v>46053.287499999999</v>
      </c>
      <c r="J8" s="26"/>
      <c r="K8" s="26"/>
      <c r="L8" s="27">
        <v>83751.627500000002</v>
      </c>
      <c r="M8" s="27"/>
      <c r="N8" s="28" t="s">
        <v>7</v>
      </c>
      <c r="O8" s="28"/>
      <c r="P8"/>
    </row>
    <row r="9" spans="1:16" x14ac:dyDescent="0.35">
      <c r="A9" s="4">
        <v>6</v>
      </c>
      <c r="B9" s="17">
        <v>46053.288194444445</v>
      </c>
      <c r="C9" s="1">
        <v>83737.41</v>
      </c>
      <c r="D9" s="20">
        <v>83756.070000000007</v>
      </c>
      <c r="E9" s="20">
        <v>83730.649999999994</v>
      </c>
      <c r="F9" s="1">
        <v>83736.960000000006</v>
      </c>
      <c r="G9" s="18">
        <v>114</v>
      </c>
      <c r="I9" s="21">
        <v>46053.288194444445</v>
      </c>
      <c r="J9" s="26">
        <v>83756.070000000007</v>
      </c>
      <c r="K9" s="26"/>
      <c r="L9" s="27">
        <v>83756.070000000007</v>
      </c>
      <c r="M9" s="27"/>
      <c r="N9" s="28" t="s">
        <v>7</v>
      </c>
      <c r="O9" s="28"/>
      <c r="P9"/>
    </row>
    <row r="10" spans="1:16" x14ac:dyDescent="0.35">
      <c r="A10" s="4">
        <v>7</v>
      </c>
      <c r="B10" s="17">
        <v>46053.288888888892</v>
      </c>
      <c r="C10" s="1">
        <v>83736.91</v>
      </c>
      <c r="D10" s="20">
        <v>83736.91</v>
      </c>
      <c r="E10" s="20">
        <v>83708.38</v>
      </c>
      <c r="F10" s="1">
        <v>83709</v>
      </c>
      <c r="G10" s="18">
        <v>70</v>
      </c>
      <c r="I10" s="21">
        <v>46053.288888888892</v>
      </c>
      <c r="J10" s="26"/>
      <c r="K10" s="26"/>
      <c r="L10" s="27">
        <v>83755.108330000003</v>
      </c>
      <c r="M10" s="27"/>
      <c r="N10" s="28" t="s">
        <v>6</v>
      </c>
      <c r="O10" s="28"/>
      <c r="P10"/>
    </row>
    <row r="11" spans="1:16" x14ac:dyDescent="0.35">
      <c r="A11" s="4">
        <v>8</v>
      </c>
      <c r="B11" s="17">
        <v>46053.289583333331</v>
      </c>
      <c r="C11" s="1">
        <v>83709</v>
      </c>
      <c r="D11" s="20">
        <v>83716.84</v>
      </c>
      <c r="E11" s="20">
        <v>83708.03</v>
      </c>
      <c r="F11" s="1">
        <v>83708.77</v>
      </c>
      <c r="G11" s="18">
        <v>107</v>
      </c>
      <c r="I11" s="21">
        <v>46053.289583333331</v>
      </c>
      <c r="J11" s="26"/>
      <c r="K11" s="26">
        <v>83708.03</v>
      </c>
      <c r="L11" s="27">
        <v>83754.146670000002</v>
      </c>
      <c r="M11" s="27">
        <v>83708.03</v>
      </c>
      <c r="N11" s="28" t="s">
        <v>6</v>
      </c>
      <c r="O11" s="28"/>
      <c r="P11"/>
    </row>
    <row r="12" spans="1:16" x14ac:dyDescent="0.35">
      <c r="A12" s="4">
        <v>9</v>
      </c>
      <c r="B12" s="17">
        <v>46053.290277777778</v>
      </c>
      <c r="C12" s="1">
        <v>83708.69</v>
      </c>
      <c r="D12" s="20">
        <v>83729.600000000006</v>
      </c>
      <c r="E12" s="20">
        <v>83708.69</v>
      </c>
      <c r="F12" s="1">
        <v>83729.59</v>
      </c>
      <c r="G12" s="18">
        <v>58</v>
      </c>
      <c r="I12" s="21">
        <v>46053.290277777778</v>
      </c>
      <c r="J12" s="26"/>
      <c r="K12" s="26"/>
      <c r="L12" s="27">
        <v>83753.184999999998</v>
      </c>
      <c r="M12" s="27">
        <v>83700.98</v>
      </c>
      <c r="N12" s="28" t="s">
        <v>6</v>
      </c>
      <c r="O12" s="28" t="s">
        <v>13</v>
      </c>
      <c r="P12"/>
    </row>
    <row r="13" spans="1:16" x14ac:dyDescent="0.35">
      <c r="A13" s="4">
        <v>10</v>
      </c>
      <c r="B13" s="17">
        <v>46053.290972222225</v>
      </c>
      <c r="C13" s="1">
        <v>83729.600000000006</v>
      </c>
      <c r="D13" s="20">
        <v>83739.7</v>
      </c>
      <c r="E13" s="20">
        <v>83728.5</v>
      </c>
      <c r="F13" s="1">
        <v>83728.5</v>
      </c>
      <c r="G13" s="18">
        <v>84</v>
      </c>
      <c r="I13" s="21">
        <v>46053.290972222225</v>
      </c>
      <c r="J13" s="26"/>
      <c r="K13" s="26"/>
      <c r="L13" s="27">
        <v>83752.223329999993</v>
      </c>
      <c r="M13" s="27">
        <v>83693.929999999993</v>
      </c>
      <c r="N13" s="28" t="s">
        <v>6</v>
      </c>
      <c r="O13" s="28" t="s">
        <v>13</v>
      </c>
      <c r="P13"/>
    </row>
    <row r="14" spans="1:16" x14ac:dyDescent="0.35">
      <c r="A14" s="4">
        <v>11</v>
      </c>
      <c r="B14" s="17">
        <v>46053.291666666664</v>
      </c>
      <c r="C14" s="1">
        <v>83728.460000000006</v>
      </c>
      <c r="D14" s="20">
        <v>83741</v>
      </c>
      <c r="E14" s="20">
        <v>83727.759999999995</v>
      </c>
      <c r="F14" s="1">
        <v>83740.97</v>
      </c>
      <c r="G14" s="18">
        <v>83</v>
      </c>
      <c r="I14" s="21">
        <v>46053.291666666664</v>
      </c>
      <c r="J14" s="26"/>
      <c r="K14" s="26"/>
      <c r="L14" s="27">
        <v>83751.261670000007</v>
      </c>
      <c r="M14" s="27">
        <v>83686.880000000005</v>
      </c>
      <c r="N14" s="28" t="s">
        <v>6</v>
      </c>
      <c r="O14" s="28" t="s">
        <v>13</v>
      </c>
      <c r="P14"/>
    </row>
    <row r="15" spans="1:16" x14ac:dyDescent="0.35">
      <c r="A15" s="4">
        <v>12</v>
      </c>
      <c r="B15" s="17">
        <v>46053.292361111111</v>
      </c>
      <c r="C15" s="1">
        <v>83740.97</v>
      </c>
      <c r="D15" s="20">
        <v>83750.3</v>
      </c>
      <c r="E15" s="20">
        <v>83734.740000000005</v>
      </c>
      <c r="F15" s="1">
        <v>83735.199999999997</v>
      </c>
      <c r="G15" s="18">
        <v>85</v>
      </c>
      <c r="I15" s="21">
        <v>46053.292361111111</v>
      </c>
      <c r="J15" s="26">
        <v>83750.3</v>
      </c>
      <c r="K15" s="26"/>
      <c r="L15" s="27">
        <v>83750.3</v>
      </c>
      <c r="M15" s="27">
        <v>83679.83</v>
      </c>
      <c r="N15" s="28" t="s">
        <v>6</v>
      </c>
      <c r="O15" s="28" t="s">
        <v>13</v>
      </c>
      <c r="P15"/>
    </row>
    <row r="16" spans="1:16" x14ac:dyDescent="0.35">
      <c r="A16" s="4">
        <v>13</v>
      </c>
      <c r="B16" s="17">
        <v>46053.293055555558</v>
      </c>
      <c r="C16" s="1">
        <v>83734.8</v>
      </c>
      <c r="D16" s="20">
        <v>83735.240000000005</v>
      </c>
      <c r="E16" s="20">
        <v>83701.7</v>
      </c>
      <c r="F16" s="1">
        <v>83707.850000000006</v>
      </c>
      <c r="G16" s="18">
        <v>59</v>
      </c>
      <c r="I16" s="21">
        <v>46053.293055555558</v>
      </c>
      <c r="J16" s="26"/>
      <c r="K16" s="26"/>
      <c r="L16" s="27">
        <v>83747.824999999997</v>
      </c>
      <c r="M16" s="27">
        <v>83672.78</v>
      </c>
      <c r="N16" s="28" t="s">
        <v>6</v>
      </c>
      <c r="O16" s="28" t="s">
        <v>13</v>
      </c>
      <c r="P16"/>
    </row>
    <row r="17" spans="1:16" x14ac:dyDescent="0.35">
      <c r="A17" s="4">
        <v>14</v>
      </c>
      <c r="B17" s="17">
        <v>46053.293749999997</v>
      </c>
      <c r="C17" s="1">
        <v>83715.199999999997</v>
      </c>
      <c r="D17" s="20">
        <v>83726.83</v>
      </c>
      <c r="E17" s="20">
        <v>83699.070000000007</v>
      </c>
      <c r="F17" s="1">
        <v>83699.929999999993</v>
      </c>
      <c r="G17" s="18">
        <v>123</v>
      </c>
      <c r="I17" s="21">
        <v>46053.293749999997</v>
      </c>
      <c r="J17" s="26"/>
      <c r="K17" s="26"/>
      <c r="L17" s="27">
        <v>83745.350000000006</v>
      </c>
      <c r="M17" s="27">
        <v>83665.73</v>
      </c>
      <c r="N17" s="28" t="s">
        <v>6</v>
      </c>
      <c r="O17" s="28" t="s">
        <v>13</v>
      </c>
      <c r="P17"/>
    </row>
    <row r="18" spans="1:16" x14ac:dyDescent="0.35">
      <c r="A18" s="4">
        <v>15</v>
      </c>
      <c r="B18" s="17">
        <v>46053.294444444444</v>
      </c>
      <c r="C18" s="1">
        <v>83699.11</v>
      </c>
      <c r="D18" s="20">
        <v>83717.100000000006</v>
      </c>
      <c r="E18" s="20">
        <v>83696.52</v>
      </c>
      <c r="F18" s="1">
        <v>83716.679999999993</v>
      </c>
      <c r="G18" s="18">
        <v>110</v>
      </c>
      <c r="I18" s="21">
        <v>46053.294444444444</v>
      </c>
      <c r="J18" s="26"/>
      <c r="K18" s="26"/>
      <c r="L18" s="27">
        <v>83742.875</v>
      </c>
      <c r="M18" s="27">
        <v>83658.679999999993</v>
      </c>
      <c r="N18" s="28" t="s">
        <v>6</v>
      </c>
      <c r="O18" s="28" t="s">
        <v>13</v>
      </c>
      <c r="P18"/>
    </row>
    <row r="19" spans="1:16" x14ac:dyDescent="0.35">
      <c r="A19" s="4">
        <v>16</v>
      </c>
      <c r="B19" s="17">
        <v>46053.295138888891</v>
      </c>
      <c r="C19" s="1">
        <v>83718.710000000006</v>
      </c>
      <c r="D19" s="20">
        <v>83740.399999999994</v>
      </c>
      <c r="E19" s="20">
        <v>83718.710000000006</v>
      </c>
      <c r="F19" s="1">
        <v>83740.34</v>
      </c>
      <c r="G19" s="18">
        <v>74</v>
      </c>
      <c r="I19" s="21">
        <v>46053.295138888891</v>
      </c>
      <c r="J19" s="26">
        <v>83740.399999999994</v>
      </c>
      <c r="K19" s="26"/>
      <c r="L19" s="27">
        <v>83740.399999999994</v>
      </c>
      <c r="M19" s="27">
        <v>83651.63</v>
      </c>
      <c r="N19" s="28" t="s">
        <v>6</v>
      </c>
      <c r="O19" s="28" t="s">
        <v>13</v>
      </c>
      <c r="P19"/>
    </row>
    <row r="20" spans="1:16" x14ac:dyDescent="0.35">
      <c r="A20" s="4">
        <v>17</v>
      </c>
      <c r="B20" s="17">
        <v>46053.29583333333</v>
      </c>
      <c r="C20" s="1">
        <v>83740.350000000006</v>
      </c>
      <c r="D20" s="20">
        <v>83740.350000000006</v>
      </c>
      <c r="E20" s="20">
        <v>83644.58</v>
      </c>
      <c r="F20" s="1">
        <v>83646.009999999995</v>
      </c>
      <c r="G20" s="18">
        <v>121</v>
      </c>
      <c r="I20" s="21">
        <v>46053.29583333333</v>
      </c>
      <c r="J20" s="26"/>
      <c r="K20" s="26">
        <v>83644.58</v>
      </c>
      <c r="L20" s="27">
        <v>83736.95</v>
      </c>
      <c r="M20" s="27">
        <v>83644.58</v>
      </c>
      <c r="N20" s="28" t="s">
        <v>6</v>
      </c>
      <c r="O20" s="28" t="s">
        <v>13</v>
      </c>
      <c r="P20"/>
    </row>
    <row r="21" spans="1:16" x14ac:dyDescent="0.35">
      <c r="A21" s="4">
        <v>18</v>
      </c>
      <c r="B21" s="17">
        <v>46053.296527777777</v>
      </c>
      <c r="C21" s="1">
        <v>83644.820000000007</v>
      </c>
      <c r="D21" s="20">
        <v>83670.289999999994</v>
      </c>
      <c r="E21" s="20">
        <v>83644.820000000007</v>
      </c>
      <c r="F21" s="1">
        <v>83652.600000000006</v>
      </c>
      <c r="G21" s="18">
        <v>115</v>
      </c>
      <c r="I21" s="21">
        <v>46053.296527777777</v>
      </c>
      <c r="J21" s="26"/>
      <c r="K21" s="26"/>
      <c r="L21" s="27">
        <v>83733.5</v>
      </c>
      <c r="M21" s="27">
        <v>83643.289999999994</v>
      </c>
      <c r="N21" s="28" t="s">
        <v>6</v>
      </c>
      <c r="O21" s="28" t="s">
        <v>13</v>
      </c>
      <c r="P21"/>
    </row>
    <row r="22" spans="1:16" x14ac:dyDescent="0.35">
      <c r="A22" s="4">
        <v>19</v>
      </c>
      <c r="B22" s="17">
        <v>46053.297222222223</v>
      </c>
      <c r="C22" s="1">
        <v>83652.600000000006</v>
      </c>
      <c r="D22" s="20">
        <v>83674.16</v>
      </c>
      <c r="E22" s="20">
        <v>83652.600000000006</v>
      </c>
      <c r="F22" s="1">
        <v>83655.320000000007</v>
      </c>
      <c r="G22" s="18">
        <v>107</v>
      </c>
      <c r="I22" s="21">
        <v>46053.297222222223</v>
      </c>
      <c r="J22" s="26"/>
      <c r="K22" s="26"/>
      <c r="L22" s="27">
        <v>83730.05</v>
      </c>
      <c r="M22" s="27">
        <v>83642</v>
      </c>
      <c r="N22" s="28" t="s">
        <v>6</v>
      </c>
      <c r="O22" s="28" t="s">
        <v>13</v>
      </c>
      <c r="P22"/>
    </row>
    <row r="23" spans="1:16" x14ac:dyDescent="0.35">
      <c r="A23" s="4">
        <v>20</v>
      </c>
      <c r="B23" s="17">
        <v>46053.29791666667</v>
      </c>
      <c r="C23" s="1">
        <v>83655.320000000007</v>
      </c>
      <c r="D23" s="20">
        <v>83655.399999999994</v>
      </c>
      <c r="E23" s="20">
        <v>83640.710000000006</v>
      </c>
      <c r="F23" s="1">
        <v>83655.399999999994</v>
      </c>
      <c r="G23" s="18">
        <v>94</v>
      </c>
      <c r="I23" s="21">
        <v>46053.29791666667</v>
      </c>
      <c r="J23" s="26"/>
      <c r="K23" s="26">
        <v>83640.710000000006</v>
      </c>
      <c r="L23" s="27">
        <v>83726.600000000006</v>
      </c>
      <c r="M23" s="27">
        <v>83640.710000000006</v>
      </c>
      <c r="N23" s="28" t="s">
        <v>6</v>
      </c>
      <c r="O23" s="28" t="s">
        <v>13</v>
      </c>
      <c r="P23"/>
    </row>
    <row r="24" spans="1:16" x14ac:dyDescent="0.35">
      <c r="A24" s="4">
        <v>21</v>
      </c>
      <c r="B24" s="17">
        <v>46053.298611111109</v>
      </c>
      <c r="C24" s="1">
        <v>83655.399999999994</v>
      </c>
      <c r="D24" s="20">
        <v>83685.399999999994</v>
      </c>
      <c r="E24" s="20">
        <v>83655.399999999994</v>
      </c>
      <c r="F24" s="1">
        <v>83685.009999999995</v>
      </c>
      <c r="G24" s="18">
        <v>101</v>
      </c>
      <c r="I24" s="21">
        <v>46053.298611111109</v>
      </c>
      <c r="J24" s="26"/>
      <c r="K24" s="26"/>
      <c r="L24" s="27">
        <v>83723.149999999994</v>
      </c>
      <c r="M24" s="27">
        <v>83639.350999999995</v>
      </c>
      <c r="N24" s="28" t="s">
        <v>6</v>
      </c>
      <c r="O24" s="28" t="s">
        <v>13</v>
      </c>
      <c r="P24"/>
    </row>
    <row r="25" spans="1:16" x14ac:dyDescent="0.35">
      <c r="A25" s="4">
        <v>22</v>
      </c>
      <c r="B25" s="17">
        <v>46053.299305555556</v>
      </c>
      <c r="C25" s="1">
        <v>83685.009999999995</v>
      </c>
      <c r="D25" s="20">
        <v>83696.02</v>
      </c>
      <c r="E25" s="20">
        <v>83683.81</v>
      </c>
      <c r="F25" s="1">
        <v>83685.3</v>
      </c>
      <c r="G25" s="18">
        <v>86</v>
      </c>
      <c r="I25" s="21">
        <v>46053.299305555556</v>
      </c>
      <c r="J25" s="26"/>
      <c r="K25" s="26"/>
      <c r="L25" s="27">
        <v>83719.7</v>
      </c>
      <c r="M25" s="27">
        <v>83637.991999999998</v>
      </c>
      <c r="N25" s="28" t="s">
        <v>6</v>
      </c>
      <c r="O25" s="28" t="s">
        <v>13</v>
      </c>
      <c r="P25"/>
    </row>
    <row r="26" spans="1:16" x14ac:dyDescent="0.35">
      <c r="A26" s="4">
        <v>23</v>
      </c>
      <c r="B26" s="17">
        <v>46053.3</v>
      </c>
      <c r="C26" s="1">
        <v>83685.3</v>
      </c>
      <c r="D26" s="20">
        <v>83685.3</v>
      </c>
      <c r="E26" s="20">
        <v>83685.2</v>
      </c>
      <c r="F26" s="1">
        <v>83685.210000000006</v>
      </c>
      <c r="G26" s="18">
        <v>15</v>
      </c>
      <c r="I26" s="21">
        <v>46053.3</v>
      </c>
      <c r="J26" s="26"/>
      <c r="K26" s="26"/>
      <c r="L26" s="27">
        <v>83716.25</v>
      </c>
      <c r="M26" s="27">
        <v>83636.633000000002</v>
      </c>
      <c r="N26" s="28" t="s">
        <v>6</v>
      </c>
      <c r="O26" s="28" t="s">
        <v>13</v>
      </c>
      <c r="P26"/>
    </row>
    <row r="27" spans="1:16" x14ac:dyDescent="0.35">
      <c r="A27" s="4">
        <v>24</v>
      </c>
      <c r="B27" s="17">
        <v>46053.300694444442</v>
      </c>
      <c r="C27" s="1">
        <v>83685.210000000006</v>
      </c>
      <c r="D27" s="20">
        <v>83712.800000000003</v>
      </c>
      <c r="E27" s="20">
        <v>83685.210000000006</v>
      </c>
      <c r="F27" s="1">
        <v>83712.78</v>
      </c>
      <c r="G27" s="18">
        <v>87</v>
      </c>
      <c r="I27" s="21">
        <v>46053.300694444442</v>
      </c>
      <c r="J27" s="26">
        <v>83712.800000000003</v>
      </c>
      <c r="K27" s="26"/>
      <c r="L27" s="27">
        <v>83712.800000000003</v>
      </c>
      <c r="M27" s="27">
        <v>83635.274000000005</v>
      </c>
      <c r="N27" s="28" t="s">
        <v>6</v>
      </c>
      <c r="O27" s="28" t="s">
        <v>13</v>
      </c>
      <c r="P27"/>
    </row>
    <row r="28" spans="1:16" x14ac:dyDescent="0.35">
      <c r="A28" s="4">
        <v>25</v>
      </c>
      <c r="B28" s="17">
        <v>46053.301388888889</v>
      </c>
      <c r="C28" s="1">
        <v>83712.789999999994</v>
      </c>
      <c r="D28" s="20">
        <v>83712.789999999994</v>
      </c>
      <c r="E28" s="20">
        <v>83699.259999999995</v>
      </c>
      <c r="F28" s="1">
        <v>83702.600000000006</v>
      </c>
      <c r="G28" s="18">
        <v>76</v>
      </c>
      <c r="I28" s="21">
        <v>46053.301388888889</v>
      </c>
      <c r="J28" s="26"/>
      <c r="K28" s="26"/>
      <c r="L28" s="27">
        <v>83714.05</v>
      </c>
      <c r="M28" s="27">
        <v>83633.914999999994</v>
      </c>
      <c r="N28" s="28" t="s">
        <v>7</v>
      </c>
      <c r="O28" s="28" t="s">
        <v>13</v>
      </c>
      <c r="P28"/>
    </row>
    <row r="29" spans="1:16" x14ac:dyDescent="0.35">
      <c r="A29" s="4">
        <v>26</v>
      </c>
      <c r="B29" s="17">
        <v>46053.302083333336</v>
      </c>
      <c r="C29" s="1">
        <v>83697.820000000007</v>
      </c>
      <c r="D29" s="20">
        <v>83697.850000000006</v>
      </c>
      <c r="E29" s="20">
        <v>83683.81</v>
      </c>
      <c r="F29" s="1">
        <v>83683.94</v>
      </c>
      <c r="G29" s="18">
        <v>71</v>
      </c>
      <c r="I29" s="21">
        <v>46053.302083333336</v>
      </c>
      <c r="J29" s="26"/>
      <c r="K29" s="26"/>
      <c r="L29" s="27">
        <v>83715.3</v>
      </c>
      <c r="M29" s="27">
        <v>83632.555999999997</v>
      </c>
      <c r="N29" s="28" t="s">
        <v>7</v>
      </c>
      <c r="O29" s="28" t="s">
        <v>13</v>
      </c>
      <c r="P29"/>
    </row>
    <row r="30" spans="1:16" x14ac:dyDescent="0.35">
      <c r="A30" s="4">
        <v>27</v>
      </c>
      <c r="B30" s="17">
        <v>46053.302777777775</v>
      </c>
      <c r="C30" s="1">
        <v>83683.960000000006</v>
      </c>
      <c r="D30" s="20">
        <v>83683.960000000006</v>
      </c>
      <c r="E30" s="20">
        <v>83669.25</v>
      </c>
      <c r="F30" s="1">
        <v>83669.33</v>
      </c>
      <c r="G30" s="18">
        <v>58</v>
      </c>
      <c r="I30" s="21">
        <v>46053.302777777775</v>
      </c>
      <c r="J30" s="26"/>
      <c r="K30" s="26"/>
      <c r="L30" s="27">
        <v>83716.55</v>
      </c>
      <c r="M30" s="27">
        <v>83631.197</v>
      </c>
      <c r="N30" s="28" t="s">
        <v>7</v>
      </c>
      <c r="O30" s="28" t="s">
        <v>13</v>
      </c>
      <c r="P30"/>
    </row>
    <row r="31" spans="1:16" x14ac:dyDescent="0.35">
      <c r="A31" s="4">
        <v>28</v>
      </c>
      <c r="B31" s="17">
        <v>46053.303472222222</v>
      </c>
      <c r="C31" s="1">
        <v>83669.320000000007</v>
      </c>
      <c r="D31" s="20">
        <v>83670.41</v>
      </c>
      <c r="E31" s="20">
        <v>83663.8</v>
      </c>
      <c r="F31" s="1">
        <v>83663.820000000007</v>
      </c>
      <c r="G31" s="18">
        <v>28</v>
      </c>
      <c r="I31" s="21">
        <v>46053.303472222222</v>
      </c>
      <c r="J31" s="26"/>
      <c r="K31" s="26"/>
      <c r="L31" s="27">
        <v>83717.8</v>
      </c>
      <c r="M31" s="27">
        <v>83629.838000000003</v>
      </c>
      <c r="N31" s="28" t="s">
        <v>7</v>
      </c>
      <c r="O31" s="28" t="s">
        <v>13</v>
      </c>
      <c r="P31"/>
    </row>
    <row r="32" spans="1:16" x14ac:dyDescent="0.35">
      <c r="A32" s="4">
        <v>29</v>
      </c>
      <c r="B32" s="17">
        <v>46053.304166666669</v>
      </c>
      <c r="C32" s="1">
        <v>83663.81</v>
      </c>
      <c r="D32" s="20">
        <v>83668.100000000006</v>
      </c>
      <c r="E32" s="20">
        <v>83651.05</v>
      </c>
      <c r="F32" s="1">
        <v>83652.41</v>
      </c>
      <c r="G32" s="18">
        <v>34</v>
      </c>
      <c r="I32" s="21">
        <v>46053.304166666669</v>
      </c>
      <c r="J32" s="26"/>
      <c r="K32" s="26"/>
      <c r="L32" s="27">
        <v>83719.05</v>
      </c>
      <c r="M32" s="27">
        <v>83628.479000000007</v>
      </c>
      <c r="N32" s="28" t="s">
        <v>7</v>
      </c>
      <c r="O32" s="28" t="s">
        <v>13</v>
      </c>
      <c r="P32"/>
    </row>
    <row r="33" spans="1:16" x14ac:dyDescent="0.35">
      <c r="A33" s="4">
        <v>30</v>
      </c>
      <c r="B33" s="17">
        <v>46053.304861111108</v>
      </c>
      <c r="C33" s="1">
        <v>83652.399999999994</v>
      </c>
      <c r="D33" s="20">
        <v>83652.41</v>
      </c>
      <c r="E33" s="20">
        <v>83627.12</v>
      </c>
      <c r="F33" s="1">
        <v>83627.81</v>
      </c>
      <c r="G33" s="18">
        <v>42</v>
      </c>
      <c r="I33" s="21">
        <v>46053.304861111108</v>
      </c>
      <c r="J33" s="26"/>
      <c r="K33" s="26">
        <v>83627.12</v>
      </c>
      <c r="L33" s="27">
        <v>83720.3</v>
      </c>
      <c r="M33" s="27">
        <v>83627.12</v>
      </c>
      <c r="N33" s="28" t="s">
        <v>7</v>
      </c>
      <c r="O33" s="28" t="s">
        <v>13</v>
      </c>
      <c r="P33"/>
    </row>
    <row r="34" spans="1:16" x14ac:dyDescent="0.35">
      <c r="A34" s="4">
        <v>31</v>
      </c>
      <c r="B34" s="17">
        <v>46053.305555555555</v>
      </c>
      <c r="C34" s="1">
        <v>83640.5</v>
      </c>
      <c r="D34" s="20">
        <v>83664.850000000006</v>
      </c>
      <c r="E34" s="20">
        <v>83639.31</v>
      </c>
      <c r="F34" s="1">
        <v>83647.91</v>
      </c>
      <c r="G34" s="18">
        <v>75</v>
      </c>
      <c r="I34" s="21">
        <v>46053.305555555555</v>
      </c>
      <c r="J34" s="26"/>
      <c r="K34" s="26"/>
      <c r="L34" s="27">
        <v>83721.55</v>
      </c>
      <c r="M34" s="27">
        <v>83613.662859999997</v>
      </c>
      <c r="N34" s="28" t="s">
        <v>7</v>
      </c>
      <c r="O34" s="28" t="s">
        <v>13</v>
      </c>
      <c r="P34"/>
    </row>
    <row r="35" spans="1:16" x14ac:dyDescent="0.35">
      <c r="A35" s="4">
        <v>32</v>
      </c>
      <c r="B35" s="17">
        <v>46053.306250000001</v>
      </c>
      <c r="C35" s="1">
        <v>83647.91</v>
      </c>
      <c r="D35" s="20">
        <v>83668.2</v>
      </c>
      <c r="E35" s="20">
        <v>83647.91</v>
      </c>
      <c r="F35" s="1">
        <v>83648.149999999994</v>
      </c>
      <c r="G35" s="18">
        <v>81</v>
      </c>
      <c r="I35" s="21">
        <v>46053.306250000001</v>
      </c>
      <c r="J35" s="26"/>
      <c r="K35" s="26"/>
      <c r="L35" s="27">
        <v>83722.8</v>
      </c>
      <c r="M35" s="27">
        <v>83600.205709999995</v>
      </c>
      <c r="N35" s="28" t="s">
        <v>7</v>
      </c>
      <c r="O35" s="28" t="s">
        <v>13</v>
      </c>
      <c r="P35"/>
    </row>
    <row r="36" spans="1:16" x14ac:dyDescent="0.35">
      <c r="A36" s="4">
        <v>33</v>
      </c>
      <c r="B36" s="17">
        <v>46053.306944444441</v>
      </c>
      <c r="C36" s="1">
        <v>83648.19</v>
      </c>
      <c r="D36" s="20">
        <v>83668.960000000006</v>
      </c>
      <c r="E36" s="20">
        <v>83648.11</v>
      </c>
      <c r="F36" s="1">
        <v>83668.960000000006</v>
      </c>
      <c r="G36" s="18">
        <v>65</v>
      </c>
      <c r="I36" s="21">
        <v>46053.306944444441</v>
      </c>
      <c r="J36" s="26"/>
      <c r="K36" s="26"/>
      <c r="L36" s="27">
        <v>83724.05</v>
      </c>
      <c r="M36" s="27">
        <v>83586.748569999996</v>
      </c>
      <c r="N36" s="28" t="s">
        <v>7</v>
      </c>
      <c r="O36" s="28" t="s">
        <v>13</v>
      </c>
      <c r="P36"/>
    </row>
    <row r="37" spans="1:16" x14ac:dyDescent="0.35">
      <c r="A37" s="4">
        <v>34</v>
      </c>
      <c r="B37" s="17">
        <v>46053.307638888888</v>
      </c>
      <c r="C37" s="1">
        <v>83668.960000000006</v>
      </c>
      <c r="D37" s="20">
        <v>83690.45</v>
      </c>
      <c r="E37" s="20">
        <v>83668.960000000006</v>
      </c>
      <c r="F37" s="1">
        <v>83685.100000000006</v>
      </c>
      <c r="G37" s="18">
        <v>59</v>
      </c>
      <c r="I37" s="21">
        <v>46053.307638888888</v>
      </c>
      <c r="J37" s="26"/>
      <c r="K37" s="26"/>
      <c r="L37" s="27">
        <v>83725.3</v>
      </c>
      <c r="M37" s="27">
        <v>83573.291429999997</v>
      </c>
      <c r="N37" s="28" t="s">
        <v>7</v>
      </c>
      <c r="O37" s="28" t="s">
        <v>13</v>
      </c>
      <c r="P37"/>
    </row>
    <row r="38" spans="1:16" x14ac:dyDescent="0.35">
      <c r="A38" s="4">
        <v>35</v>
      </c>
      <c r="B38" s="17">
        <v>46053.308333333334</v>
      </c>
      <c r="C38" s="1">
        <v>83685.100000000006</v>
      </c>
      <c r="D38" s="20">
        <v>83700.350000000006</v>
      </c>
      <c r="E38" s="20">
        <v>83673.42</v>
      </c>
      <c r="F38" s="1">
        <v>83700.350000000006</v>
      </c>
      <c r="G38" s="18">
        <v>61</v>
      </c>
      <c r="I38" s="21">
        <v>46053.308333333334</v>
      </c>
      <c r="J38" s="26"/>
      <c r="K38" s="26"/>
      <c r="L38" s="27">
        <v>83726.55</v>
      </c>
      <c r="M38" s="27">
        <v>83559.834289999999</v>
      </c>
      <c r="N38" s="28" t="s">
        <v>7</v>
      </c>
      <c r="O38" s="28" t="s">
        <v>13</v>
      </c>
      <c r="P38"/>
    </row>
    <row r="39" spans="1:16" x14ac:dyDescent="0.35">
      <c r="A39" s="4">
        <v>36</v>
      </c>
      <c r="B39" s="17">
        <v>46053.309027777781</v>
      </c>
      <c r="C39" s="1">
        <v>83700.350000000006</v>
      </c>
      <c r="D39" s="20">
        <v>83718.33</v>
      </c>
      <c r="E39" s="20">
        <v>83690.67</v>
      </c>
      <c r="F39" s="1">
        <v>83708.61</v>
      </c>
      <c r="G39" s="18">
        <v>55</v>
      </c>
      <c r="I39" s="21">
        <v>46053.309027777781</v>
      </c>
      <c r="J39" s="26"/>
      <c r="K39" s="26"/>
      <c r="L39" s="27">
        <v>83727.8</v>
      </c>
      <c r="M39" s="27">
        <v>83546.377139999997</v>
      </c>
      <c r="N39" s="28" t="s">
        <v>7</v>
      </c>
      <c r="O39" s="28" t="s">
        <v>13</v>
      </c>
      <c r="P39"/>
    </row>
    <row r="40" spans="1:16" x14ac:dyDescent="0.35">
      <c r="A40" s="4">
        <v>37</v>
      </c>
      <c r="B40" s="17">
        <v>46053.30972222222</v>
      </c>
      <c r="C40" s="1">
        <v>83708.600000000006</v>
      </c>
      <c r="D40" s="20">
        <v>83724.3</v>
      </c>
      <c r="E40" s="20">
        <v>83697.119999999995</v>
      </c>
      <c r="F40" s="1">
        <v>83724.2</v>
      </c>
      <c r="G40" s="18">
        <v>59</v>
      </c>
      <c r="I40" s="21">
        <v>46053.30972222222</v>
      </c>
      <c r="J40" s="26"/>
      <c r="K40" s="26"/>
      <c r="L40" s="27">
        <v>83729.05</v>
      </c>
      <c r="M40" s="27">
        <v>83532.92</v>
      </c>
      <c r="N40" s="28" t="s">
        <v>7</v>
      </c>
      <c r="O40" s="28" t="s">
        <v>13</v>
      </c>
      <c r="P40"/>
    </row>
    <row r="41" spans="1:16" x14ac:dyDescent="0.35">
      <c r="A41" s="4">
        <v>38</v>
      </c>
      <c r="B41" s="17">
        <v>46053.310416666667</v>
      </c>
      <c r="C41" s="1">
        <v>83730.3</v>
      </c>
      <c r="D41" s="20">
        <v>83730.3</v>
      </c>
      <c r="E41" s="20">
        <v>83693.84</v>
      </c>
      <c r="F41" s="1">
        <v>83693.84</v>
      </c>
      <c r="G41" s="18">
        <v>62</v>
      </c>
      <c r="I41" s="21">
        <v>46053.310416666667</v>
      </c>
      <c r="J41" s="26">
        <v>83730.3</v>
      </c>
      <c r="K41" s="26"/>
      <c r="L41" s="27">
        <v>83730.3</v>
      </c>
      <c r="M41" s="27">
        <v>83519.46286</v>
      </c>
      <c r="N41" s="28" t="s">
        <v>7</v>
      </c>
      <c r="O41" s="28" t="s">
        <v>13</v>
      </c>
      <c r="P41"/>
    </row>
    <row r="42" spans="1:16" x14ac:dyDescent="0.35">
      <c r="A42" s="4">
        <v>39</v>
      </c>
      <c r="B42" s="17">
        <v>46053.311111111114</v>
      </c>
      <c r="C42" s="1">
        <v>83690.61</v>
      </c>
      <c r="D42" s="20">
        <v>83692.66</v>
      </c>
      <c r="E42" s="20">
        <v>83663.44</v>
      </c>
      <c r="F42" s="1">
        <v>83663.61</v>
      </c>
      <c r="G42" s="18">
        <v>55</v>
      </c>
      <c r="I42" s="21">
        <v>46053.311111111114</v>
      </c>
      <c r="J42" s="26"/>
      <c r="K42" s="26"/>
      <c r="L42" s="27">
        <v>83720.434290000005</v>
      </c>
      <c r="M42" s="27">
        <v>83506.005709999998</v>
      </c>
      <c r="N42" s="28" t="s">
        <v>6</v>
      </c>
      <c r="O42" s="28" t="s">
        <v>13</v>
      </c>
      <c r="P42"/>
    </row>
    <row r="43" spans="1:16" x14ac:dyDescent="0.35">
      <c r="A43" s="4">
        <v>40</v>
      </c>
      <c r="B43" s="17">
        <v>46053.311805555553</v>
      </c>
      <c r="C43" s="1">
        <v>83663.61</v>
      </c>
      <c r="D43" s="20">
        <v>83663.61</v>
      </c>
      <c r="E43" s="20">
        <v>83650.5</v>
      </c>
      <c r="F43" s="1">
        <v>83651.92</v>
      </c>
      <c r="G43" s="18">
        <v>31</v>
      </c>
      <c r="I43" s="21">
        <v>46053.311805555553</v>
      </c>
      <c r="J43" s="26"/>
      <c r="K43" s="26"/>
      <c r="L43" s="27">
        <v>83710.568570000003</v>
      </c>
      <c r="M43" s="27">
        <v>83492.548569999999</v>
      </c>
      <c r="N43" s="28" t="s">
        <v>6</v>
      </c>
      <c r="O43" s="28" t="s">
        <v>13</v>
      </c>
      <c r="P43"/>
    </row>
    <row r="44" spans="1:16" x14ac:dyDescent="0.35">
      <c r="A44" s="4">
        <v>41</v>
      </c>
      <c r="B44" s="17">
        <v>46053.3125</v>
      </c>
      <c r="C44" s="1">
        <v>83651.899999999994</v>
      </c>
      <c r="D44" s="20">
        <v>83672.210000000006</v>
      </c>
      <c r="E44" s="20">
        <v>83540.11</v>
      </c>
      <c r="F44" s="1">
        <v>83540.11</v>
      </c>
      <c r="G44" s="18">
        <v>78</v>
      </c>
      <c r="I44" s="21">
        <v>46053.3125</v>
      </c>
      <c r="J44" s="26"/>
      <c r="K44" s="26"/>
      <c r="L44" s="27">
        <v>83700.702860000005</v>
      </c>
      <c r="M44" s="27">
        <v>83479.09143</v>
      </c>
      <c r="N44" s="28" t="s">
        <v>6</v>
      </c>
      <c r="O44" s="28" t="s">
        <v>13</v>
      </c>
      <c r="P44"/>
    </row>
    <row r="45" spans="1:16" x14ac:dyDescent="0.35">
      <c r="A45" s="4">
        <v>42</v>
      </c>
      <c r="B45" s="17">
        <v>46053.313194444447</v>
      </c>
      <c r="C45" s="1">
        <v>83532.17</v>
      </c>
      <c r="D45" s="20">
        <v>83578.210000000006</v>
      </c>
      <c r="E45" s="20">
        <v>83507.19</v>
      </c>
      <c r="F45" s="1">
        <v>83559.009999999995</v>
      </c>
      <c r="G45" s="18">
        <v>149</v>
      </c>
      <c r="I45" s="21">
        <v>46053.313194444447</v>
      </c>
      <c r="J45" s="26"/>
      <c r="K45" s="26"/>
      <c r="L45" s="27">
        <v>83690.837140000003</v>
      </c>
      <c r="M45" s="27">
        <v>83465.634290000002</v>
      </c>
      <c r="N45" s="28" t="s">
        <v>6</v>
      </c>
      <c r="O45" s="28" t="s">
        <v>13</v>
      </c>
      <c r="P45"/>
    </row>
    <row r="46" spans="1:16" x14ac:dyDescent="0.35">
      <c r="A46" s="4">
        <v>43</v>
      </c>
      <c r="B46" s="17">
        <v>46053.313888888886</v>
      </c>
      <c r="C46" s="1">
        <v>83571.710000000006</v>
      </c>
      <c r="D46" s="20">
        <v>83579.039999999994</v>
      </c>
      <c r="E46" s="20">
        <v>83510.009999999995</v>
      </c>
      <c r="F46" s="1">
        <v>83522.509999999995</v>
      </c>
      <c r="G46" s="18">
        <v>128</v>
      </c>
      <c r="I46" s="21">
        <v>46053.313888888886</v>
      </c>
      <c r="J46" s="26"/>
      <c r="K46" s="26"/>
      <c r="L46" s="27">
        <v>83680.971430000005</v>
      </c>
      <c r="M46" s="27">
        <v>83452.17714</v>
      </c>
      <c r="N46" s="28" t="s">
        <v>6</v>
      </c>
      <c r="O46" s="28" t="s">
        <v>13</v>
      </c>
      <c r="P46"/>
    </row>
    <row r="47" spans="1:16" x14ac:dyDescent="0.35">
      <c r="A47" s="4">
        <v>44</v>
      </c>
      <c r="B47" s="17">
        <v>46053.314583333333</v>
      </c>
      <c r="C47" s="1">
        <v>83522.509999999995</v>
      </c>
      <c r="D47" s="20">
        <v>83531.7</v>
      </c>
      <c r="E47" s="20">
        <v>83438.720000000001</v>
      </c>
      <c r="F47" s="1">
        <v>83531.7</v>
      </c>
      <c r="G47" s="18">
        <v>190</v>
      </c>
      <c r="I47" s="21">
        <v>46053.314583333333</v>
      </c>
      <c r="J47" s="26"/>
      <c r="K47" s="26">
        <v>83438.720000000001</v>
      </c>
      <c r="L47" s="27">
        <v>83671.105710000003</v>
      </c>
      <c r="M47" s="27">
        <v>83438.720000000001</v>
      </c>
      <c r="N47" s="28" t="s">
        <v>6</v>
      </c>
      <c r="O47" s="28" t="s">
        <v>13</v>
      </c>
      <c r="P47"/>
    </row>
    <row r="48" spans="1:16" x14ac:dyDescent="0.35">
      <c r="A48" s="4">
        <v>45</v>
      </c>
      <c r="B48" s="17">
        <v>46053.31527777778</v>
      </c>
      <c r="C48" s="1">
        <v>83538.210000000006</v>
      </c>
      <c r="D48" s="20">
        <v>83558.600000000006</v>
      </c>
      <c r="E48" s="20">
        <v>83486.37</v>
      </c>
      <c r="F48" s="1">
        <v>83491.509999999995</v>
      </c>
      <c r="G48" s="18">
        <v>153</v>
      </c>
      <c r="I48" s="21">
        <v>46053.31527777778</v>
      </c>
      <c r="J48" s="26"/>
      <c r="K48" s="26"/>
      <c r="L48" s="27">
        <v>83661.240000000005</v>
      </c>
      <c r="M48" s="27">
        <v>83428.622499999998</v>
      </c>
      <c r="N48" s="28" t="s">
        <v>6</v>
      </c>
      <c r="O48" s="28" t="s">
        <v>13</v>
      </c>
      <c r="P48"/>
    </row>
    <row r="49" spans="1:16" x14ac:dyDescent="0.35">
      <c r="A49" s="4">
        <v>46</v>
      </c>
      <c r="B49" s="17">
        <v>46053.315972222219</v>
      </c>
      <c r="C49" s="1">
        <v>83491.509999999995</v>
      </c>
      <c r="D49" s="20">
        <v>83525.22</v>
      </c>
      <c r="E49" s="20">
        <v>83491.509999999995</v>
      </c>
      <c r="F49" s="1">
        <v>83504.210000000006</v>
      </c>
      <c r="G49" s="18">
        <v>155</v>
      </c>
      <c r="I49" s="21">
        <v>46053.315972222219</v>
      </c>
      <c r="J49" s="26"/>
      <c r="K49" s="26"/>
      <c r="L49" s="27">
        <v>83651.374290000007</v>
      </c>
      <c r="M49" s="27">
        <v>83418.524999999994</v>
      </c>
      <c r="N49" s="28" t="s">
        <v>6</v>
      </c>
      <c r="O49" s="28" t="s">
        <v>13</v>
      </c>
      <c r="P49"/>
    </row>
    <row r="50" spans="1:16" x14ac:dyDescent="0.35">
      <c r="A50" s="4">
        <v>47</v>
      </c>
      <c r="B50" s="17">
        <v>46053.316666666666</v>
      </c>
      <c r="C50" s="1">
        <v>83504.2</v>
      </c>
      <c r="D50" s="20">
        <v>83504.2</v>
      </c>
      <c r="E50" s="20">
        <v>83494.539999999994</v>
      </c>
      <c r="F50" s="1">
        <v>83499.600000000006</v>
      </c>
      <c r="G50" s="18">
        <v>89</v>
      </c>
      <c r="I50" s="21">
        <v>46053.316666666666</v>
      </c>
      <c r="J50" s="26"/>
      <c r="K50" s="26"/>
      <c r="L50" s="27">
        <v>83641.508570000005</v>
      </c>
      <c r="M50" s="27">
        <v>83408.427500000005</v>
      </c>
      <c r="N50" s="28" t="s">
        <v>6</v>
      </c>
      <c r="O50" s="28" t="s">
        <v>13</v>
      </c>
      <c r="P50"/>
    </row>
    <row r="51" spans="1:16" x14ac:dyDescent="0.35">
      <c r="A51" s="4">
        <v>48</v>
      </c>
      <c r="B51" s="17">
        <v>46053.317361111112</v>
      </c>
      <c r="C51" s="1">
        <v>83499.600000000006</v>
      </c>
      <c r="D51" s="20">
        <v>83502.600000000006</v>
      </c>
      <c r="E51" s="20">
        <v>83446.81</v>
      </c>
      <c r="F51" s="1">
        <v>83446.81</v>
      </c>
      <c r="G51" s="18">
        <v>158</v>
      </c>
      <c r="I51" s="21">
        <v>46053.317361111112</v>
      </c>
      <c r="J51" s="26"/>
      <c r="K51" s="26"/>
      <c r="L51" s="27">
        <v>83631.642860000007</v>
      </c>
      <c r="M51" s="27">
        <v>83398.33</v>
      </c>
      <c r="N51" s="28" t="s">
        <v>6</v>
      </c>
      <c r="O51" s="28" t="s">
        <v>13</v>
      </c>
      <c r="P51"/>
    </row>
    <row r="52" spans="1:16" x14ac:dyDescent="0.35">
      <c r="A52" s="4">
        <v>49</v>
      </c>
      <c r="B52" s="17">
        <v>46053.318055555559</v>
      </c>
      <c r="C52" s="1">
        <v>83446.77</v>
      </c>
      <c r="D52" s="20">
        <v>83450.5</v>
      </c>
      <c r="E52" s="20">
        <v>83409.87</v>
      </c>
      <c r="F52" s="1">
        <v>83417.320000000007</v>
      </c>
      <c r="G52" s="18">
        <v>174</v>
      </c>
      <c r="I52" s="21">
        <v>46053.318055555559</v>
      </c>
      <c r="J52" s="26"/>
      <c r="K52" s="26"/>
      <c r="L52" s="27">
        <v>83621.777140000006</v>
      </c>
      <c r="M52" s="27">
        <v>83388.232499999998</v>
      </c>
      <c r="N52" s="28" t="s">
        <v>6</v>
      </c>
      <c r="O52" s="28" t="s">
        <v>13</v>
      </c>
      <c r="P52"/>
    </row>
    <row r="53" spans="1:16" x14ac:dyDescent="0.35">
      <c r="A53" s="4">
        <v>50</v>
      </c>
      <c r="B53" s="17">
        <v>46053.318749999999</v>
      </c>
      <c r="C53" s="1">
        <v>83417.34</v>
      </c>
      <c r="D53" s="20">
        <v>83432.7</v>
      </c>
      <c r="E53" s="20">
        <v>83369.350000000006</v>
      </c>
      <c r="F53" s="1">
        <v>83416.039999999994</v>
      </c>
      <c r="G53" s="18">
        <v>211</v>
      </c>
      <c r="I53" s="21">
        <v>46053.318749999999</v>
      </c>
      <c r="J53" s="26"/>
      <c r="K53" s="26"/>
      <c r="L53" s="27">
        <v>83611.911429999993</v>
      </c>
      <c r="M53" s="27">
        <v>83378.134999999995</v>
      </c>
      <c r="N53" s="28" t="s">
        <v>6</v>
      </c>
      <c r="O53" s="28" t="s">
        <v>13</v>
      </c>
      <c r="P53"/>
    </row>
    <row r="54" spans="1:16" x14ac:dyDescent="0.35">
      <c r="A54" s="4">
        <v>51</v>
      </c>
      <c r="B54" s="17">
        <v>46053.319444444445</v>
      </c>
      <c r="C54" s="1">
        <v>83415.97</v>
      </c>
      <c r="D54" s="20">
        <v>83423.850000000006</v>
      </c>
      <c r="E54" s="20">
        <v>83365.5</v>
      </c>
      <c r="F54" s="1">
        <v>83373.399999999994</v>
      </c>
      <c r="G54" s="18">
        <v>127</v>
      </c>
      <c r="I54" s="21">
        <v>46053.319444444445</v>
      </c>
      <c r="J54" s="26"/>
      <c r="K54" s="26"/>
      <c r="L54" s="27">
        <v>83602.045710000006</v>
      </c>
      <c r="M54" s="27">
        <v>83368.037500000006</v>
      </c>
      <c r="N54" s="28" t="s">
        <v>6</v>
      </c>
      <c r="O54" s="28" t="s">
        <v>13</v>
      </c>
      <c r="P54"/>
    </row>
    <row r="55" spans="1:16" x14ac:dyDescent="0.35">
      <c r="A55" s="4">
        <v>52</v>
      </c>
      <c r="B55" s="17">
        <v>46053.320138888892</v>
      </c>
      <c r="C55" s="1">
        <v>83373.399999999994</v>
      </c>
      <c r="D55" s="20">
        <v>83385.34</v>
      </c>
      <c r="E55" s="20">
        <v>83357.94</v>
      </c>
      <c r="F55" s="1">
        <v>83358.490000000005</v>
      </c>
      <c r="G55" s="18">
        <v>127</v>
      </c>
      <c r="I55" s="21">
        <v>46053.320138888892</v>
      </c>
      <c r="J55" s="26"/>
      <c r="K55" s="26">
        <v>83357.94</v>
      </c>
      <c r="L55" s="27">
        <v>83592.179999999993</v>
      </c>
      <c r="M55" s="27">
        <v>83357.94</v>
      </c>
      <c r="N55" s="28" t="s">
        <v>6</v>
      </c>
      <c r="O55" s="28" t="s">
        <v>13</v>
      </c>
      <c r="P55"/>
    </row>
    <row r="56" spans="1:16" x14ac:dyDescent="0.35">
      <c r="A56" s="4">
        <v>53</v>
      </c>
      <c r="B56" s="17">
        <v>46053.320833333331</v>
      </c>
      <c r="C56" s="1">
        <v>83358.47</v>
      </c>
      <c r="D56" s="20">
        <v>83423.850000000006</v>
      </c>
      <c r="E56" s="20">
        <v>83358.399999999994</v>
      </c>
      <c r="F56" s="1">
        <v>83413.98</v>
      </c>
      <c r="G56" s="18">
        <v>135</v>
      </c>
      <c r="I56" s="21">
        <v>46053.320833333331</v>
      </c>
      <c r="J56" s="26"/>
      <c r="K56" s="26"/>
      <c r="L56" s="27">
        <v>83582.314289999995</v>
      </c>
      <c r="M56" s="27">
        <v>83370.258889999997</v>
      </c>
      <c r="N56" s="28" t="s">
        <v>6</v>
      </c>
      <c r="O56" s="28" t="s">
        <v>8</v>
      </c>
      <c r="P56"/>
    </row>
    <row r="57" spans="1:16" x14ac:dyDescent="0.35">
      <c r="A57" s="4">
        <v>54</v>
      </c>
      <c r="B57" s="17">
        <v>46053.321527777778</v>
      </c>
      <c r="C57" s="1">
        <v>83413.91</v>
      </c>
      <c r="D57" s="20">
        <v>83440.350000000006</v>
      </c>
      <c r="E57" s="20">
        <v>83412.31</v>
      </c>
      <c r="F57" s="1">
        <v>83416.44</v>
      </c>
      <c r="G57" s="18">
        <v>138</v>
      </c>
      <c r="I57" s="21">
        <v>46053.321527777778</v>
      </c>
      <c r="J57" s="26"/>
      <c r="K57" s="26"/>
      <c r="L57" s="27">
        <v>83572.448569999993</v>
      </c>
      <c r="M57" s="27">
        <v>83382.577780000007</v>
      </c>
      <c r="N57" s="28" t="s">
        <v>6</v>
      </c>
      <c r="O57" s="28" t="s">
        <v>8</v>
      </c>
      <c r="P57"/>
    </row>
    <row r="58" spans="1:16" x14ac:dyDescent="0.35">
      <c r="A58" s="4">
        <v>55</v>
      </c>
      <c r="B58" s="17">
        <v>46053.322222222225</v>
      </c>
      <c r="C58" s="1">
        <v>83416.429999999993</v>
      </c>
      <c r="D58" s="20">
        <v>83475.399999999994</v>
      </c>
      <c r="E58" s="20">
        <v>83416.42</v>
      </c>
      <c r="F58" s="1">
        <v>83432.91</v>
      </c>
      <c r="G58" s="18">
        <v>91</v>
      </c>
      <c r="I58" s="21">
        <v>46053.322222222225</v>
      </c>
      <c r="J58" s="26"/>
      <c r="K58" s="26"/>
      <c r="L58" s="27">
        <v>83562.582859999995</v>
      </c>
      <c r="M58" s="27">
        <v>83394.896670000002</v>
      </c>
      <c r="N58" s="28" t="s">
        <v>6</v>
      </c>
      <c r="O58" s="28" t="s">
        <v>8</v>
      </c>
      <c r="P58"/>
    </row>
    <row r="59" spans="1:16" x14ac:dyDescent="0.35">
      <c r="A59" s="4">
        <v>56</v>
      </c>
      <c r="B59" s="17">
        <v>46053.322916666664</v>
      </c>
      <c r="C59" s="1">
        <v>83432.91</v>
      </c>
      <c r="D59" s="20">
        <v>83490.399999999994</v>
      </c>
      <c r="E59" s="20">
        <v>83432.91</v>
      </c>
      <c r="F59" s="1">
        <v>83480</v>
      </c>
      <c r="G59" s="18">
        <v>107</v>
      </c>
      <c r="I59" s="21">
        <v>46053.322916666664</v>
      </c>
      <c r="J59" s="26"/>
      <c r="K59" s="26"/>
      <c r="L59" s="27">
        <v>83552.717139999993</v>
      </c>
      <c r="M59" s="27">
        <v>83407.215559999997</v>
      </c>
      <c r="N59" s="28" t="s">
        <v>6</v>
      </c>
      <c r="O59" s="28" t="s">
        <v>8</v>
      </c>
      <c r="P59"/>
    </row>
    <row r="60" spans="1:16" x14ac:dyDescent="0.35">
      <c r="A60" s="4">
        <v>57</v>
      </c>
      <c r="B60" s="17">
        <v>46053.323611111111</v>
      </c>
      <c r="C60" s="1">
        <v>83480.009999999995</v>
      </c>
      <c r="D60" s="20">
        <v>83490.399999999994</v>
      </c>
      <c r="E60" s="20">
        <v>83434.66</v>
      </c>
      <c r="F60" s="1">
        <v>83451.240000000005</v>
      </c>
      <c r="G60" s="18">
        <v>149</v>
      </c>
      <c r="I60" s="21">
        <v>46053.323611111111</v>
      </c>
      <c r="J60" s="26"/>
      <c r="K60" s="26"/>
      <c r="L60" s="27">
        <v>83542.851429999995</v>
      </c>
      <c r="M60" s="27">
        <v>83419.534440000003</v>
      </c>
      <c r="N60" s="28" t="s">
        <v>6</v>
      </c>
      <c r="O60" s="28" t="s">
        <v>8</v>
      </c>
      <c r="P60"/>
    </row>
    <row r="61" spans="1:16" x14ac:dyDescent="0.35">
      <c r="A61" s="4">
        <v>58</v>
      </c>
      <c r="B61" s="17">
        <v>46053.324305555558</v>
      </c>
      <c r="C61" s="1">
        <v>83456.5</v>
      </c>
      <c r="D61" s="20">
        <v>83521.66</v>
      </c>
      <c r="E61" s="20">
        <v>83456.5</v>
      </c>
      <c r="F61" s="1">
        <v>83506.350000000006</v>
      </c>
      <c r="G61" s="18">
        <v>117</v>
      </c>
      <c r="I61" s="21">
        <v>46053.324305555558</v>
      </c>
      <c r="J61" s="26"/>
      <c r="K61" s="26"/>
      <c r="L61" s="27">
        <v>83532.985709999994</v>
      </c>
      <c r="M61" s="27">
        <v>83431.853329999998</v>
      </c>
      <c r="N61" s="28" t="s">
        <v>6</v>
      </c>
      <c r="O61" s="28" t="s">
        <v>8</v>
      </c>
      <c r="P61"/>
    </row>
    <row r="62" spans="1:16" x14ac:dyDescent="0.35">
      <c r="A62" s="4">
        <v>59</v>
      </c>
      <c r="B62" s="17">
        <v>46053.324999999997</v>
      </c>
      <c r="C62" s="1">
        <v>83506.350000000006</v>
      </c>
      <c r="D62" s="20">
        <v>83523.12</v>
      </c>
      <c r="E62" s="20">
        <v>83499.899999999994</v>
      </c>
      <c r="F62" s="1">
        <v>83514.59</v>
      </c>
      <c r="G62" s="18">
        <v>97</v>
      </c>
      <c r="I62" s="21">
        <v>46053.324999999997</v>
      </c>
      <c r="J62" s="26">
        <v>83523.12</v>
      </c>
      <c r="K62" s="26"/>
      <c r="L62" s="27">
        <v>83523.12</v>
      </c>
      <c r="M62" s="27">
        <v>83444.172219999993</v>
      </c>
      <c r="N62" s="28" t="s">
        <v>6</v>
      </c>
      <c r="O62" s="28" t="s">
        <v>8</v>
      </c>
      <c r="P62"/>
    </row>
    <row r="63" spans="1:16" x14ac:dyDescent="0.35">
      <c r="A63" s="4">
        <v>60</v>
      </c>
      <c r="B63" s="17">
        <v>46053.325694444444</v>
      </c>
      <c r="C63" s="1">
        <v>83514.59</v>
      </c>
      <c r="D63" s="20">
        <v>83520.75</v>
      </c>
      <c r="E63" s="20">
        <v>83469.960000000006</v>
      </c>
      <c r="F63" s="1">
        <v>83478.34</v>
      </c>
      <c r="G63" s="18">
        <v>141</v>
      </c>
      <c r="I63" s="21">
        <v>46053.325694444444</v>
      </c>
      <c r="J63" s="26"/>
      <c r="K63" s="26"/>
      <c r="L63" s="27">
        <v>83523.262499999997</v>
      </c>
      <c r="M63" s="27">
        <v>83456.491110000003</v>
      </c>
      <c r="N63" s="28" t="s">
        <v>7</v>
      </c>
      <c r="O63" s="28" t="s">
        <v>8</v>
      </c>
      <c r="P63"/>
    </row>
    <row r="64" spans="1:16" x14ac:dyDescent="0.35">
      <c r="A64" s="4">
        <v>61</v>
      </c>
      <c r="B64" s="17">
        <v>46053.326388888891</v>
      </c>
      <c r="C64" s="1">
        <v>83478.34</v>
      </c>
      <c r="D64" s="20">
        <v>83515.55</v>
      </c>
      <c r="E64" s="20">
        <v>83468.81</v>
      </c>
      <c r="F64" s="1">
        <v>83469.7</v>
      </c>
      <c r="G64" s="18">
        <v>123</v>
      </c>
      <c r="I64" s="21">
        <v>46053.326388888891</v>
      </c>
      <c r="J64" s="26"/>
      <c r="K64" s="26">
        <v>83468.81</v>
      </c>
      <c r="L64" s="27">
        <v>83523.404999999999</v>
      </c>
      <c r="M64" s="27">
        <v>83468.81</v>
      </c>
      <c r="N64" s="28" t="s">
        <v>7</v>
      </c>
      <c r="O64" s="28" t="s">
        <v>8</v>
      </c>
      <c r="P64"/>
    </row>
    <row r="65" spans="1:16" x14ac:dyDescent="0.35">
      <c r="A65" s="4">
        <v>62</v>
      </c>
      <c r="B65" s="17">
        <v>46053.32708333333</v>
      </c>
      <c r="C65" s="1">
        <v>83469.440000000002</v>
      </c>
      <c r="D65" s="20">
        <v>83494.5</v>
      </c>
      <c r="E65" s="20">
        <v>83469.440000000002</v>
      </c>
      <c r="F65" s="1">
        <v>83494.13</v>
      </c>
      <c r="G65" s="18">
        <v>71</v>
      </c>
      <c r="I65" s="21">
        <v>46053.32708333333</v>
      </c>
      <c r="J65" s="26"/>
      <c r="K65" s="26"/>
      <c r="L65" s="27">
        <v>83523.547500000001</v>
      </c>
      <c r="M65" s="27">
        <v>83468.692859999996</v>
      </c>
      <c r="N65" s="28" t="s">
        <v>7</v>
      </c>
      <c r="O65" s="28" t="s">
        <v>13</v>
      </c>
      <c r="P65"/>
    </row>
    <row r="66" spans="1:16" x14ac:dyDescent="0.35">
      <c r="A66" s="4">
        <v>63</v>
      </c>
      <c r="B66" s="17">
        <v>46053.327777777777</v>
      </c>
      <c r="C66" s="1">
        <v>83494.13</v>
      </c>
      <c r="D66" s="20">
        <v>83523.69</v>
      </c>
      <c r="E66" s="20">
        <v>83494.13</v>
      </c>
      <c r="F66" s="1">
        <v>83503.34</v>
      </c>
      <c r="G66" s="18">
        <v>119</v>
      </c>
      <c r="I66" s="21">
        <v>46053.327777777777</v>
      </c>
      <c r="J66" s="26">
        <v>83523.69</v>
      </c>
      <c r="K66" s="26"/>
      <c r="L66" s="27">
        <v>83523.69</v>
      </c>
      <c r="M66" s="27">
        <v>83468.575710000005</v>
      </c>
      <c r="N66" s="28" t="s">
        <v>7</v>
      </c>
      <c r="O66" s="28" t="s">
        <v>13</v>
      </c>
      <c r="P66"/>
    </row>
    <row r="67" spans="1:16" x14ac:dyDescent="0.35">
      <c r="A67" s="4">
        <v>64</v>
      </c>
      <c r="B67" s="17">
        <v>46053.328472222223</v>
      </c>
      <c r="C67" s="1">
        <v>83503.33</v>
      </c>
      <c r="D67" s="20">
        <v>83510.399999999994</v>
      </c>
      <c r="E67" s="20">
        <v>83494.5</v>
      </c>
      <c r="F67" s="1">
        <v>83501.429999999993</v>
      </c>
      <c r="G67" s="18">
        <v>65</v>
      </c>
      <c r="I67" s="21">
        <v>46053.328472222223</v>
      </c>
      <c r="J67" s="26"/>
      <c r="K67" s="26"/>
      <c r="L67" s="27">
        <v>83530.156000000003</v>
      </c>
      <c r="M67" s="27">
        <v>83468.458570000003</v>
      </c>
      <c r="N67" s="28" t="s">
        <v>7</v>
      </c>
      <c r="O67" s="28" t="s">
        <v>13</v>
      </c>
      <c r="P67"/>
    </row>
    <row r="68" spans="1:16" x14ac:dyDescent="0.35">
      <c r="A68" s="4">
        <v>65</v>
      </c>
      <c r="B68" s="17">
        <v>46053.32916666667</v>
      </c>
      <c r="C68" s="1">
        <v>83501.440000000002</v>
      </c>
      <c r="D68" s="20">
        <v>83501.440000000002</v>
      </c>
      <c r="E68" s="20">
        <v>83495.929999999993</v>
      </c>
      <c r="F68" s="1">
        <v>83500.100000000006</v>
      </c>
      <c r="G68" s="18">
        <v>107</v>
      </c>
      <c r="I68" s="21">
        <v>46053.32916666667</v>
      </c>
      <c r="J68" s="26"/>
      <c r="K68" s="26"/>
      <c r="L68" s="27">
        <v>83536.622000000003</v>
      </c>
      <c r="M68" s="27">
        <v>83468.34143</v>
      </c>
      <c r="N68" s="28" t="s">
        <v>7</v>
      </c>
      <c r="O68" s="28" t="s">
        <v>13</v>
      </c>
      <c r="P68"/>
    </row>
    <row r="69" spans="1:16" x14ac:dyDescent="0.35">
      <c r="A69" s="4">
        <v>66</v>
      </c>
      <c r="B69" s="17">
        <v>46053.329861111109</v>
      </c>
      <c r="C69" s="1">
        <v>83500.100000000006</v>
      </c>
      <c r="D69" s="20">
        <v>83515</v>
      </c>
      <c r="E69" s="20">
        <v>83500.100000000006</v>
      </c>
      <c r="F69" s="1">
        <v>83515</v>
      </c>
      <c r="G69" s="18">
        <v>35</v>
      </c>
      <c r="I69" s="21">
        <v>46053.329861111109</v>
      </c>
      <c r="J69" s="26"/>
      <c r="K69" s="26"/>
      <c r="L69" s="27">
        <v>83543.088000000003</v>
      </c>
      <c r="M69" s="27">
        <v>83468.224289999998</v>
      </c>
      <c r="N69" s="28" t="s">
        <v>7</v>
      </c>
      <c r="O69" s="28" t="s">
        <v>13</v>
      </c>
      <c r="P69"/>
    </row>
    <row r="70" spans="1:16" x14ac:dyDescent="0.35">
      <c r="A70" s="4">
        <v>67</v>
      </c>
      <c r="B70" s="17">
        <v>46053.330555555556</v>
      </c>
      <c r="C70" s="1">
        <v>83515</v>
      </c>
      <c r="D70" s="20">
        <v>83515</v>
      </c>
      <c r="E70" s="20">
        <v>83483.899999999994</v>
      </c>
      <c r="F70" s="1">
        <v>83483.899999999994</v>
      </c>
      <c r="G70" s="18">
        <v>96</v>
      </c>
      <c r="I70" s="21">
        <v>46053.330555555556</v>
      </c>
      <c r="J70" s="26"/>
      <c r="K70" s="26"/>
      <c r="L70" s="27">
        <v>83549.554000000004</v>
      </c>
      <c r="M70" s="27">
        <v>83468.107139999993</v>
      </c>
      <c r="N70" s="28" t="s">
        <v>7</v>
      </c>
      <c r="O70" s="28" t="s">
        <v>13</v>
      </c>
      <c r="P70"/>
    </row>
    <row r="71" spans="1:16" x14ac:dyDescent="0.35">
      <c r="A71" s="4">
        <v>68</v>
      </c>
      <c r="B71" s="17">
        <v>46053.331250000003</v>
      </c>
      <c r="C71" s="1">
        <v>83484.240000000005</v>
      </c>
      <c r="D71" s="20">
        <v>83510.8</v>
      </c>
      <c r="E71" s="20">
        <v>83467.990000000005</v>
      </c>
      <c r="F71" s="1">
        <v>83510.8</v>
      </c>
      <c r="G71" s="18">
        <v>137</v>
      </c>
      <c r="I71" s="21">
        <v>46053.331250000003</v>
      </c>
      <c r="J71" s="26"/>
      <c r="K71" s="26">
        <v>83467.990000000005</v>
      </c>
      <c r="L71" s="27">
        <v>83556.02</v>
      </c>
      <c r="M71" s="27">
        <v>83467.990000000005</v>
      </c>
      <c r="N71" s="28" t="s">
        <v>7</v>
      </c>
      <c r="O71" s="28" t="s">
        <v>13</v>
      </c>
      <c r="P71"/>
    </row>
    <row r="72" spans="1:16" x14ac:dyDescent="0.35">
      <c r="A72" s="4">
        <v>69</v>
      </c>
      <c r="B72" s="17">
        <v>46053.331944444442</v>
      </c>
      <c r="C72" s="1">
        <v>83510.8</v>
      </c>
      <c r="D72" s="20">
        <v>83514.84</v>
      </c>
      <c r="E72" s="20">
        <v>83500.789999999994</v>
      </c>
      <c r="F72" s="1">
        <v>83506.539999999994</v>
      </c>
      <c r="G72" s="18">
        <v>116</v>
      </c>
      <c r="I72" s="21">
        <v>46053.331944444442</v>
      </c>
      <c r="J72" s="26"/>
      <c r="K72" s="26"/>
      <c r="L72" s="27">
        <v>83562.486000000004</v>
      </c>
      <c r="M72" s="27">
        <v>83465.759999999995</v>
      </c>
      <c r="N72" s="28" t="s">
        <v>7</v>
      </c>
      <c r="O72" s="28" t="s">
        <v>13</v>
      </c>
      <c r="P72"/>
    </row>
    <row r="73" spans="1:16" x14ac:dyDescent="0.35">
      <c r="A73" s="4">
        <v>70</v>
      </c>
      <c r="B73" s="17">
        <v>46053.332638888889</v>
      </c>
      <c r="C73" s="1">
        <v>83506.52</v>
      </c>
      <c r="D73" s="20">
        <v>83506.8</v>
      </c>
      <c r="E73" s="20">
        <v>83490.44</v>
      </c>
      <c r="F73" s="1">
        <v>83503.94</v>
      </c>
      <c r="G73" s="18">
        <v>77</v>
      </c>
      <c r="I73" s="21">
        <v>46053.332638888889</v>
      </c>
      <c r="J73" s="26"/>
      <c r="K73" s="26"/>
      <c r="L73" s="27">
        <v>83568.952000000005</v>
      </c>
      <c r="M73" s="27">
        <v>83463.53</v>
      </c>
      <c r="N73" s="28" t="s">
        <v>7</v>
      </c>
      <c r="O73" s="28" t="s">
        <v>13</v>
      </c>
      <c r="P73"/>
    </row>
    <row r="74" spans="1:16" x14ac:dyDescent="0.35">
      <c r="A74" s="4">
        <v>71</v>
      </c>
      <c r="B74" s="17">
        <v>46053.333333333336</v>
      </c>
      <c r="C74" s="1">
        <v>83504.100000000006</v>
      </c>
      <c r="D74" s="20">
        <v>83515</v>
      </c>
      <c r="E74" s="20">
        <v>83502.070000000007</v>
      </c>
      <c r="F74" s="1">
        <v>83514.320000000007</v>
      </c>
      <c r="G74" s="18">
        <v>94</v>
      </c>
      <c r="I74" s="21">
        <v>46053.333333333336</v>
      </c>
      <c r="J74" s="26"/>
      <c r="K74" s="26"/>
      <c r="L74" s="27">
        <v>83575.418000000005</v>
      </c>
      <c r="M74" s="27">
        <v>83461.3</v>
      </c>
      <c r="N74" s="28" t="s">
        <v>7</v>
      </c>
      <c r="O74" s="28" t="s">
        <v>13</v>
      </c>
      <c r="P74"/>
    </row>
    <row r="75" spans="1:16" x14ac:dyDescent="0.35">
      <c r="A75" s="4">
        <v>72</v>
      </c>
      <c r="B75" s="17">
        <v>46053.334027777775</v>
      </c>
      <c r="C75" s="1">
        <v>83514.320000000007</v>
      </c>
      <c r="D75" s="20">
        <v>83550.399999999994</v>
      </c>
      <c r="E75" s="20">
        <v>83514.320000000007</v>
      </c>
      <c r="F75" s="1">
        <v>83550.399999999994</v>
      </c>
      <c r="G75" s="18">
        <v>85</v>
      </c>
      <c r="I75" s="21">
        <v>46053.334027777775</v>
      </c>
      <c r="J75" s="26"/>
      <c r="K75" s="26"/>
      <c r="L75" s="27">
        <v>83581.884000000005</v>
      </c>
      <c r="M75" s="27">
        <v>83459.070000000007</v>
      </c>
      <c r="N75" s="28" t="s">
        <v>7</v>
      </c>
      <c r="O75" s="28" t="s">
        <v>13</v>
      </c>
      <c r="P75"/>
    </row>
    <row r="76" spans="1:16" x14ac:dyDescent="0.35">
      <c r="A76" s="4">
        <v>73</v>
      </c>
      <c r="B76" s="17">
        <v>46053.334722222222</v>
      </c>
      <c r="C76" s="1">
        <v>83555.8</v>
      </c>
      <c r="D76" s="20">
        <v>83588.350000000006</v>
      </c>
      <c r="E76" s="20">
        <v>83522.600000000006</v>
      </c>
      <c r="F76" s="1">
        <v>83533.42</v>
      </c>
      <c r="G76" s="18">
        <v>125</v>
      </c>
      <c r="I76" s="21">
        <v>46053.334722222222</v>
      </c>
      <c r="J76" s="26">
        <v>83588.350000000006</v>
      </c>
      <c r="K76" s="26"/>
      <c r="L76" s="27">
        <v>83588.350000000006</v>
      </c>
      <c r="M76" s="27">
        <v>83456.84</v>
      </c>
      <c r="N76" s="28" t="s">
        <v>7</v>
      </c>
      <c r="O76" s="28" t="s">
        <v>13</v>
      </c>
      <c r="P76"/>
    </row>
    <row r="77" spans="1:16" x14ac:dyDescent="0.35">
      <c r="A77" s="4">
        <v>74</v>
      </c>
      <c r="B77" s="17">
        <v>46053.335416666669</v>
      </c>
      <c r="C77" s="1">
        <v>83533.42</v>
      </c>
      <c r="D77" s="20">
        <v>83533.429999999993</v>
      </c>
      <c r="E77" s="20">
        <v>83512.509999999995</v>
      </c>
      <c r="F77" s="1">
        <v>83512.509999999995</v>
      </c>
      <c r="G77" s="18">
        <v>59</v>
      </c>
      <c r="I77" s="21">
        <v>46053.335416666669</v>
      </c>
      <c r="J77" s="26"/>
      <c r="K77" s="26"/>
      <c r="L77" s="27">
        <v>83571.962499999994</v>
      </c>
      <c r="M77" s="27">
        <v>83454.61</v>
      </c>
      <c r="N77" s="28" t="s">
        <v>6</v>
      </c>
      <c r="O77" s="28" t="s">
        <v>13</v>
      </c>
      <c r="P77"/>
    </row>
    <row r="78" spans="1:16" x14ac:dyDescent="0.35">
      <c r="A78" s="4">
        <v>75</v>
      </c>
      <c r="B78" s="17">
        <v>46053.336111111108</v>
      </c>
      <c r="C78" s="1">
        <v>83511.83</v>
      </c>
      <c r="D78" s="20">
        <v>83511.850000000006</v>
      </c>
      <c r="E78" s="20">
        <v>83452.38</v>
      </c>
      <c r="F78" s="1">
        <v>83453.31</v>
      </c>
      <c r="G78" s="18">
        <v>115</v>
      </c>
      <c r="I78" s="21">
        <v>46053.336111111108</v>
      </c>
      <c r="J78" s="26"/>
      <c r="K78" s="26">
        <v>83452.38</v>
      </c>
      <c r="L78" s="27">
        <v>83555.574999999997</v>
      </c>
      <c r="M78" s="27">
        <v>83452.38</v>
      </c>
      <c r="N78" s="28" t="s">
        <v>6</v>
      </c>
      <c r="O78" s="28" t="s">
        <v>13</v>
      </c>
      <c r="P78"/>
    </row>
    <row r="79" spans="1:16" x14ac:dyDescent="0.35">
      <c r="A79" s="4">
        <v>76</v>
      </c>
      <c r="B79" s="17">
        <v>46053.336805555555</v>
      </c>
      <c r="C79" s="1">
        <v>83453.3</v>
      </c>
      <c r="D79" s="20">
        <v>83490.399999999994</v>
      </c>
      <c r="E79" s="20">
        <v>83453.3</v>
      </c>
      <c r="F79" s="1">
        <v>83486.559999999998</v>
      </c>
      <c r="G79" s="18">
        <v>130</v>
      </c>
      <c r="I79" s="21">
        <v>46053.336805555555</v>
      </c>
      <c r="J79" s="26"/>
      <c r="K79" s="26"/>
      <c r="L79" s="27">
        <v>83539.1875</v>
      </c>
      <c r="M79" s="27">
        <v>83411.345000000001</v>
      </c>
      <c r="N79" s="28" t="s">
        <v>6</v>
      </c>
      <c r="O79" s="28" t="s">
        <v>13</v>
      </c>
      <c r="P79"/>
    </row>
    <row r="80" spans="1:16" x14ac:dyDescent="0.35">
      <c r="A80" s="4">
        <v>77</v>
      </c>
      <c r="B80" s="17">
        <v>46053.337500000001</v>
      </c>
      <c r="C80" s="1">
        <v>83486.559999999998</v>
      </c>
      <c r="D80" s="20">
        <v>83522.8</v>
      </c>
      <c r="E80" s="20">
        <v>83486.559999999998</v>
      </c>
      <c r="F80" s="1">
        <v>83515.100000000006</v>
      </c>
      <c r="G80" s="18">
        <v>115</v>
      </c>
      <c r="I80" s="21">
        <v>46053.337500000001</v>
      </c>
      <c r="J80" s="26">
        <v>83522.8</v>
      </c>
      <c r="K80" s="26"/>
      <c r="L80" s="27">
        <v>83522.8</v>
      </c>
      <c r="M80" s="27">
        <v>83370.31</v>
      </c>
      <c r="N80" s="28" t="s">
        <v>6</v>
      </c>
      <c r="O80" s="28" t="s">
        <v>13</v>
      </c>
      <c r="P80"/>
    </row>
    <row r="81" spans="1:16" x14ac:dyDescent="0.35">
      <c r="A81" s="4">
        <v>78</v>
      </c>
      <c r="B81" s="17">
        <v>46053.338194444441</v>
      </c>
      <c r="C81" s="1">
        <v>83515.100000000006</v>
      </c>
      <c r="D81" s="20">
        <v>83515.100000000006</v>
      </c>
      <c r="E81" s="20">
        <v>83443.399999999994</v>
      </c>
      <c r="F81" s="1">
        <v>83443.399999999994</v>
      </c>
      <c r="G81" s="18">
        <v>138</v>
      </c>
      <c r="I81" s="21">
        <v>46053.338194444441</v>
      </c>
      <c r="J81" s="26"/>
      <c r="K81" s="26"/>
      <c r="L81" s="27">
        <v>83499.188890000005</v>
      </c>
      <c r="M81" s="27">
        <v>83329.274999999994</v>
      </c>
      <c r="N81" s="28" t="s">
        <v>6</v>
      </c>
      <c r="O81" s="28" t="s">
        <v>13</v>
      </c>
      <c r="P81"/>
    </row>
    <row r="82" spans="1:16" x14ac:dyDescent="0.35">
      <c r="A82" s="4">
        <v>79</v>
      </c>
      <c r="B82" s="17">
        <v>46053.338888888888</v>
      </c>
      <c r="C82" s="1">
        <v>83443.53</v>
      </c>
      <c r="D82" s="20">
        <v>83454.100000000006</v>
      </c>
      <c r="E82" s="20">
        <v>83425.58</v>
      </c>
      <c r="F82" s="1">
        <v>83426.070000000007</v>
      </c>
      <c r="G82" s="18">
        <v>112</v>
      </c>
      <c r="I82" s="21">
        <v>46053.338888888888</v>
      </c>
      <c r="J82" s="26"/>
      <c r="K82" s="26"/>
      <c r="L82" s="27">
        <v>83475.577780000007</v>
      </c>
      <c r="M82" s="27">
        <v>83288.240000000005</v>
      </c>
      <c r="N82" s="28" t="s">
        <v>6</v>
      </c>
      <c r="O82" s="28" t="s">
        <v>13</v>
      </c>
      <c r="P82"/>
    </row>
    <row r="83" spans="1:16" x14ac:dyDescent="0.35">
      <c r="A83" s="4">
        <v>80</v>
      </c>
      <c r="B83" s="17">
        <v>46053.339583333334</v>
      </c>
      <c r="C83" s="1">
        <v>83426.039999999994</v>
      </c>
      <c r="D83" s="20">
        <v>83440.399999999994</v>
      </c>
      <c r="E83" s="20">
        <v>83417.240000000005</v>
      </c>
      <c r="F83" s="1">
        <v>83423.509999999995</v>
      </c>
      <c r="G83" s="18">
        <v>118</v>
      </c>
      <c r="I83" s="21">
        <v>46053.339583333334</v>
      </c>
      <c r="J83" s="26"/>
      <c r="K83" s="26"/>
      <c r="L83" s="27">
        <v>83451.966669999994</v>
      </c>
      <c r="M83" s="27">
        <v>83247.205000000002</v>
      </c>
      <c r="N83" s="28" t="s">
        <v>6</v>
      </c>
      <c r="O83" s="28" t="s">
        <v>13</v>
      </c>
      <c r="P83"/>
    </row>
    <row r="84" spans="1:16" x14ac:dyDescent="0.35">
      <c r="A84" s="4">
        <v>81</v>
      </c>
      <c r="B84" s="17">
        <v>46053.340277777781</v>
      </c>
      <c r="C84" s="1">
        <v>83423.53</v>
      </c>
      <c r="D84" s="20">
        <v>83423.53</v>
      </c>
      <c r="E84" s="20">
        <v>83367.850000000006</v>
      </c>
      <c r="F84" s="1">
        <v>83394.63</v>
      </c>
      <c r="G84" s="18">
        <v>187</v>
      </c>
      <c r="I84" s="21">
        <v>46053.340277777781</v>
      </c>
      <c r="J84" s="26"/>
      <c r="K84" s="26"/>
      <c r="L84" s="27">
        <v>83428.355559999996</v>
      </c>
      <c r="M84" s="27">
        <v>83206.17</v>
      </c>
      <c r="N84" s="28" t="s">
        <v>6</v>
      </c>
      <c r="O84" s="28" t="s">
        <v>13</v>
      </c>
      <c r="P84"/>
    </row>
    <row r="85" spans="1:16" x14ac:dyDescent="0.35">
      <c r="A85" s="4">
        <v>82</v>
      </c>
      <c r="B85" s="17">
        <v>46053.34097222222</v>
      </c>
      <c r="C85" s="1">
        <v>83394.720000000001</v>
      </c>
      <c r="D85" s="20">
        <v>83394.720000000001</v>
      </c>
      <c r="E85" s="20">
        <v>83249.3</v>
      </c>
      <c r="F85" s="1">
        <v>83292.600000000006</v>
      </c>
      <c r="G85" s="18">
        <v>174</v>
      </c>
      <c r="I85" s="21">
        <v>46053.34097222222</v>
      </c>
      <c r="J85" s="26"/>
      <c r="K85" s="26"/>
      <c r="L85" s="27">
        <v>83404.744439999995</v>
      </c>
      <c r="M85" s="27">
        <v>83165.134999999995</v>
      </c>
      <c r="N85" s="28" t="s">
        <v>6</v>
      </c>
      <c r="O85" s="28" t="s">
        <v>13</v>
      </c>
      <c r="P85"/>
    </row>
    <row r="86" spans="1:16" x14ac:dyDescent="0.35">
      <c r="A86" s="4">
        <v>83</v>
      </c>
      <c r="B86" s="17">
        <v>46053.341666666667</v>
      </c>
      <c r="C86" s="1">
        <v>83292.600000000006</v>
      </c>
      <c r="D86" s="20">
        <v>83350.39</v>
      </c>
      <c r="E86" s="20">
        <v>83124.100000000006</v>
      </c>
      <c r="F86" s="1">
        <v>83157.600000000006</v>
      </c>
      <c r="G86" s="18">
        <v>225</v>
      </c>
      <c r="I86" s="21">
        <v>46053.341666666667</v>
      </c>
      <c r="J86" s="26"/>
      <c r="K86" s="26">
        <v>83124.100000000006</v>
      </c>
      <c r="L86" s="27">
        <v>83381.133329999997</v>
      </c>
      <c r="M86" s="27">
        <v>83124.100000000006</v>
      </c>
      <c r="N86" s="28" t="s">
        <v>6</v>
      </c>
      <c r="O86" s="28" t="s">
        <v>13</v>
      </c>
      <c r="P86"/>
    </row>
    <row r="87" spans="1:16" x14ac:dyDescent="0.35">
      <c r="A87" s="4">
        <v>84</v>
      </c>
      <c r="B87" s="17">
        <v>46053.342361111114</v>
      </c>
      <c r="C87" s="1">
        <v>83161.100000000006</v>
      </c>
      <c r="D87" s="20">
        <v>83275.009999999995</v>
      </c>
      <c r="E87" s="20">
        <v>83149.350000000006</v>
      </c>
      <c r="F87" s="1">
        <v>83150.559999999998</v>
      </c>
      <c r="G87" s="18">
        <v>269</v>
      </c>
      <c r="I87" s="21">
        <v>46053.342361111114</v>
      </c>
      <c r="J87" s="26"/>
      <c r="K87" s="26"/>
      <c r="L87" s="27">
        <v>83357.522219999999</v>
      </c>
      <c r="M87" s="27">
        <v>83100.903999999995</v>
      </c>
      <c r="N87" s="28" t="s">
        <v>6</v>
      </c>
      <c r="O87" s="28" t="s">
        <v>13</v>
      </c>
      <c r="P87"/>
    </row>
    <row r="88" spans="1:16" x14ac:dyDescent="0.35">
      <c r="A88" s="4">
        <v>85</v>
      </c>
      <c r="B88" s="17">
        <v>46053.343055555553</v>
      </c>
      <c r="C88" s="1">
        <v>83150.61</v>
      </c>
      <c r="D88" s="20">
        <v>83303.8</v>
      </c>
      <c r="E88" s="20">
        <v>83150.61</v>
      </c>
      <c r="F88" s="1">
        <v>83303.8</v>
      </c>
      <c r="G88" s="18">
        <v>210</v>
      </c>
      <c r="I88" s="21">
        <v>46053.343055555553</v>
      </c>
      <c r="J88" s="26"/>
      <c r="K88" s="26"/>
      <c r="L88" s="27">
        <v>83333.911110000001</v>
      </c>
      <c r="M88" s="27">
        <v>83077.707999999999</v>
      </c>
      <c r="N88" s="28" t="s">
        <v>6</v>
      </c>
      <c r="O88" s="28" t="s">
        <v>13</v>
      </c>
      <c r="P88"/>
    </row>
    <row r="89" spans="1:16" x14ac:dyDescent="0.35">
      <c r="A89" s="4">
        <v>86</v>
      </c>
      <c r="B89" s="17">
        <v>46053.34375</v>
      </c>
      <c r="C89" s="1">
        <v>83303.8</v>
      </c>
      <c r="D89" s="20">
        <v>83310.3</v>
      </c>
      <c r="E89" s="20">
        <v>83130.929999999993</v>
      </c>
      <c r="F89" s="1">
        <v>83165.039999999994</v>
      </c>
      <c r="G89" s="18">
        <v>212</v>
      </c>
      <c r="I89" s="21">
        <v>46053.34375</v>
      </c>
      <c r="J89" s="26">
        <v>83310.3</v>
      </c>
      <c r="K89" s="26"/>
      <c r="L89" s="27">
        <v>83310.3</v>
      </c>
      <c r="M89" s="27">
        <v>83054.512000000002</v>
      </c>
      <c r="N89" s="28" t="s">
        <v>6</v>
      </c>
      <c r="O89" s="28" t="s">
        <v>13</v>
      </c>
      <c r="P89"/>
    </row>
    <row r="90" spans="1:16" x14ac:dyDescent="0.35">
      <c r="A90" s="4">
        <v>87</v>
      </c>
      <c r="B90" s="17">
        <v>46053.344444444447</v>
      </c>
      <c r="C90" s="1">
        <v>83165.08</v>
      </c>
      <c r="D90" s="20">
        <v>83209.84</v>
      </c>
      <c r="E90" s="20">
        <v>83124.600000000006</v>
      </c>
      <c r="F90" s="1">
        <v>83130.25</v>
      </c>
      <c r="G90" s="18">
        <v>206</v>
      </c>
      <c r="I90" s="21">
        <v>46053.344444444447</v>
      </c>
      <c r="J90" s="26"/>
      <c r="K90" s="26"/>
      <c r="L90" s="27">
        <v>83299.89</v>
      </c>
      <c r="M90" s="27">
        <v>83031.316000000006</v>
      </c>
      <c r="N90" s="28" t="s">
        <v>6</v>
      </c>
      <c r="O90" s="28" t="s">
        <v>13</v>
      </c>
      <c r="P90"/>
    </row>
    <row r="91" spans="1:16" x14ac:dyDescent="0.35">
      <c r="A91" s="4">
        <v>88</v>
      </c>
      <c r="B91" s="17">
        <v>46053.345138888886</v>
      </c>
      <c r="C91" s="1">
        <v>83130.399999999994</v>
      </c>
      <c r="D91" s="20">
        <v>83147.53</v>
      </c>
      <c r="E91" s="20">
        <v>83008.12</v>
      </c>
      <c r="F91" s="1">
        <v>83133.63</v>
      </c>
      <c r="G91" s="18">
        <v>253</v>
      </c>
      <c r="I91" s="21">
        <v>46053.345138888886</v>
      </c>
      <c r="J91" s="26"/>
      <c r="K91" s="26">
        <v>83008.12</v>
      </c>
      <c r="L91" s="27">
        <v>83289.48</v>
      </c>
      <c r="M91" s="27">
        <v>83008.12</v>
      </c>
      <c r="N91" s="28" t="s">
        <v>6</v>
      </c>
      <c r="O91" s="28" t="s">
        <v>13</v>
      </c>
      <c r="P91"/>
    </row>
    <row r="92" spans="1:16" x14ac:dyDescent="0.35">
      <c r="A92" s="4">
        <v>89</v>
      </c>
      <c r="B92" s="17">
        <v>46053.345833333333</v>
      </c>
      <c r="C92" s="1">
        <v>83128.320000000007</v>
      </c>
      <c r="D92" s="20">
        <v>83207.72</v>
      </c>
      <c r="E92" s="20">
        <v>83128.320000000007</v>
      </c>
      <c r="F92" s="1">
        <v>83182.81</v>
      </c>
      <c r="G92" s="18">
        <v>227</v>
      </c>
      <c r="I92" s="21">
        <v>46053.345833333333</v>
      </c>
      <c r="J92" s="26"/>
      <c r="K92" s="26"/>
      <c r="L92" s="27">
        <v>83279.070000000007</v>
      </c>
      <c r="M92" s="27">
        <v>83006.991819999996</v>
      </c>
      <c r="N92" s="28" t="s">
        <v>6</v>
      </c>
      <c r="O92" s="28" t="s">
        <v>13</v>
      </c>
      <c r="P92"/>
    </row>
    <row r="93" spans="1:16" x14ac:dyDescent="0.35">
      <c r="A93" s="4">
        <v>90</v>
      </c>
      <c r="B93" s="17">
        <v>46053.34652777778</v>
      </c>
      <c r="C93" s="1">
        <v>83182.899999999994</v>
      </c>
      <c r="D93" s="20">
        <v>83228.66</v>
      </c>
      <c r="E93" s="20">
        <v>83182.899999999994</v>
      </c>
      <c r="F93" s="1">
        <v>83205.77</v>
      </c>
      <c r="G93" s="18">
        <v>205</v>
      </c>
      <c r="I93" s="21">
        <v>46053.34652777778</v>
      </c>
      <c r="J93" s="26"/>
      <c r="K93" s="26"/>
      <c r="L93" s="27">
        <v>83268.66</v>
      </c>
      <c r="M93" s="27">
        <v>83005.863639999996</v>
      </c>
      <c r="N93" s="28" t="s">
        <v>6</v>
      </c>
      <c r="O93" s="28" t="s">
        <v>13</v>
      </c>
      <c r="P93"/>
    </row>
    <row r="94" spans="1:16" x14ac:dyDescent="0.35">
      <c r="A94" s="4">
        <v>91</v>
      </c>
      <c r="B94" s="17">
        <v>46053.347222222219</v>
      </c>
      <c r="C94" s="1">
        <v>83206.16</v>
      </c>
      <c r="D94" s="20">
        <v>83229.33</v>
      </c>
      <c r="E94" s="20">
        <v>83190.63</v>
      </c>
      <c r="F94" s="1">
        <v>83209.100000000006</v>
      </c>
      <c r="G94" s="18">
        <v>170</v>
      </c>
      <c r="I94" s="21">
        <v>46053.347222222219</v>
      </c>
      <c r="J94" s="26"/>
      <c r="K94" s="26"/>
      <c r="L94" s="27">
        <v>83258.25</v>
      </c>
      <c r="M94" s="27">
        <v>83004.735449999993</v>
      </c>
      <c r="N94" s="28" t="s">
        <v>6</v>
      </c>
      <c r="O94" s="28" t="s">
        <v>13</v>
      </c>
      <c r="P94"/>
    </row>
    <row r="95" spans="1:16" x14ac:dyDescent="0.35">
      <c r="A95" s="4">
        <v>92</v>
      </c>
      <c r="B95" s="17">
        <v>46053.347916666666</v>
      </c>
      <c r="C95" s="1">
        <v>83209.09</v>
      </c>
      <c r="D95" s="20">
        <v>83247.839999999997</v>
      </c>
      <c r="E95" s="20">
        <v>83209.09</v>
      </c>
      <c r="F95" s="1">
        <v>83228.36</v>
      </c>
      <c r="G95" s="18">
        <v>177</v>
      </c>
      <c r="I95" s="21">
        <v>46053.347916666666</v>
      </c>
      <c r="J95" s="26">
        <v>83247.839999999997</v>
      </c>
      <c r="K95" s="26"/>
      <c r="L95" s="27">
        <v>83247.839999999997</v>
      </c>
      <c r="M95" s="27">
        <v>83003.607269999993</v>
      </c>
      <c r="N95" s="28" t="s">
        <v>6</v>
      </c>
      <c r="O95" s="28" t="s">
        <v>13</v>
      </c>
      <c r="P95"/>
    </row>
    <row r="96" spans="1:16" x14ac:dyDescent="0.35">
      <c r="A96" s="4">
        <v>93</v>
      </c>
      <c r="B96" s="17">
        <v>46053.348611111112</v>
      </c>
      <c r="C96" s="1">
        <v>83228.350000000006</v>
      </c>
      <c r="D96" s="20">
        <v>83230.009999999995</v>
      </c>
      <c r="E96" s="20">
        <v>83167.39</v>
      </c>
      <c r="F96" s="1">
        <v>83184.240000000005</v>
      </c>
      <c r="G96" s="18">
        <v>140</v>
      </c>
      <c r="I96" s="21">
        <v>46053.348611111112</v>
      </c>
      <c r="J96" s="26"/>
      <c r="K96" s="26"/>
      <c r="L96" s="27">
        <v>83233.490000000005</v>
      </c>
      <c r="M96" s="27">
        <v>83002.479089999993</v>
      </c>
      <c r="N96" s="28" t="s">
        <v>6</v>
      </c>
      <c r="O96" s="28" t="s">
        <v>13</v>
      </c>
      <c r="P96"/>
    </row>
    <row r="97" spans="1:16" x14ac:dyDescent="0.35">
      <c r="A97" s="4">
        <v>94</v>
      </c>
      <c r="B97" s="17">
        <v>46053.349305555559</v>
      </c>
      <c r="C97" s="1">
        <v>83181.98</v>
      </c>
      <c r="D97" s="20">
        <v>83181.98</v>
      </c>
      <c r="E97" s="20">
        <v>83159.23</v>
      </c>
      <c r="F97" s="1">
        <v>83180.36</v>
      </c>
      <c r="G97" s="18">
        <v>144</v>
      </c>
      <c r="I97" s="21">
        <v>46053.349305555559</v>
      </c>
      <c r="J97" s="26"/>
      <c r="K97" s="26"/>
      <c r="L97" s="27">
        <v>83219.14</v>
      </c>
      <c r="M97" s="27">
        <v>83001.350909999994</v>
      </c>
      <c r="N97" s="28" t="s">
        <v>6</v>
      </c>
      <c r="O97" s="28" t="s">
        <v>13</v>
      </c>
      <c r="P97"/>
    </row>
    <row r="98" spans="1:16" x14ac:dyDescent="0.35">
      <c r="A98" s="4">
        <v>95</v>
      </c>
      <c r="B98" s="17">
        <v>46053.35</v>
      </c>
      <c r="C98" s="1">
        <v>83182.740000000005</v>
      </c>
      <c r="D98" s="20">
        <v>83186.539999999994</v>
      </c>
      <c r="E98" s="20">
        <v>83149.31</v>
      </c>
      <c r="F98" s="1">
        <v>83167.520000000004</v>
      </c>
      <c r="G98" s="18">
        <v>127</v>
      </c>
      <c r="I98" s="21">
        <v>46053.35</v>
      </c>
      <c r="J98" s="26"/>
      <c r="K98" s="26"/>
      <c r="L98" s="27">
        <v>83204.789999999994</v>
      </c>
      <c r="M98" s="27">
        <v>83000.222729999994</v>
      </c>
      <c r="N98" s="28" t="s">
        <v>6</v>
      </c>
      <c r="O98" s="28" t="s">
        <v>13</v>
      </c>
      <c r="P98"/>
    </row>
    <row r="99" spans="1:16" x14ac:dyDescent="0.35">
      <c r="A99" s="4">
        <v>96</v>
      </c>
      <c r="B99" s="17">
        <v>46053.350694444445</v>
      </c>
      <c r="C99" s="1">
        <v>83167.53</v>
      </c>
      <c r="D99" s="20">
        <v>83190.44</v>
      </c>
      <c r="E99" s="20">
        <v>83141.84</v>
      </c>
      <c r="F99" s="1">
        <v>83143.42</v>
      </c>
      <c r="G99" s="18">
        <v>120</v>
      </c>
      <c r="I99" s="21">
        <v>46053.350694444445</v>
      </c>
      <c r="J99" s="26">
        <v>83190.44</v>
      </c>
      <c r="K99" s="26"/>
      <c r="L99" s="27">
        <v>83190.44</v>
      </c>
      <c r="M99" s="27">
        <v>82999.094549999994</v>
      </c>
      <c r="N99" s="28" t="s">
        <v>6</v>
      </c>
      <c r="O99" s="28" t="s">
        <v>13</v>
      </c>
      <c r="P99"/>
    </row>
    <row r="100" spans="1:16" x14ac:dyDescent="0.35">
      <c r="A100" s="4">
        <v>97</v>
      </c>
      <c r="B100" s="17">
        <v>46053.351388888892</v>
      </c>
      <c r="C100" s="1">
        <v>83143.3</v>
      </c>
      <c r="D100" s="20">
        <v>83163.69</v>
      </c>
      <c r="E100" s="20">
        <v>83098.429999999993</v>
      </c>
      <c r="F100" s="1">
        <v>83124.639999999999</v>
      </c>
      <c r="G100" s="18">
        <v>142</v>
      </c>
      <c r="I100" s="21">
        <v>46053.351388888892</v>
      </c>
      <c r="J100" s="26"/>
      <c r="K100" s="26"/>
      <c r="L100" s="27">
        <v>83175.06</v>
      </c>
      <c r="M100" s="27">
        <v>82997.966360000006</v>
      </c>
      <c r="N100" s="28" t="s">
        <v>6</v>
      </c>
      <c r="O100" s="28" t="s">
        <v>13</v>
      </c>
      <c r="P100"/>
    </row>
    <row r="101" spans="1:16" x14ac:dyDescent="0.35">
      <c r="A101" s="4">
        <v>98</v>
      </c>
      <c r="B101" s="17">
        <v>46053.352083333331</v>
      </c>
      <c r="C101" s="1">
        <v>83124.649999999994</v>
      </c>
      <c r="D101" s="20">
        <v>83125.81</v>
      </c>
      <c r="E101" s="20">
        <v>83069.63</v>
      </c>
      <c r="F101" s="1">
        <v>83069.63</v>
      </c>
      <c r="G101" s="18">
        <v>159</v>
      </c>
      <c r="I101" s="21">
        <v>46053.352083333331</v>
      </c>
      <c r="J101" s="26"/>
      <c r="K101" s="26"/>
      <c r="L101" s="27">
        <v>83159.679999999993</v>
      </c>
      <c r="M101" s="27">
        <v>82996.838180000006</v>
      </c>
      <c r="N101" s="28" t="s">
        <v>6</v>
      </c>
      <c r="O101" s="28" t="s">
        <v>13</v>
      </c>
      <c r="P101"/>
    </row>
    <row r="102" spans="1:16" x14ac:dyDescent="0.35">
      <c r="A102" s="4">
        <v>99</v>
      </c>
      <c r="B102" s="17">
        <v>46053.352777777778</v>
      </c>
      <c r="C102" s="1">
        <v>83070.05</v>
      </c>
      <c r="D102" s="20">
        <v>83070.05</v>
      </c>
      <c r="E102" s="20">
        <v>82995.710000000006</v>
      </c>
      <c r="F102" s="1">
        <v>83024.210000000006</v>
      </c>
      <c r="G102" s="18">
        <v>190</v>
      </c>
      <c r="I102" s="21">
        <v>46053.352777777778</v>
      </c>
      <c r="J102" s="26"/>
      <c r="K102" s="26">
        <v>82995.710000000006</v>
      </c>
      <c r="L102" s="27">
        <v>83144.3</v>
      </c>
      <c r="M102" s="27">
        <v>82995.710000000006</v>
      </c>
      <c r="N102" s="28" t="s">
        <v>6</v>
      </c>
      <c r="O102" s="28" t="s">
        <v>13</v>
      </c>
      <c r="P102"/>
    </row>
    <row r="103" spans="1:16" x14ac:dyDescent="0.35">
      <c r="A103" s="4">
        <v>100</v>
      </c>
      <c r="B103" s="17">
        <v>46053.353472222225</v>
      </c>
      <c r="C103" s="1">
        <v>83024.2</v>
      </c>
      <c r="D103" s="20">
        <v>83074.31</v>
      </c>
      <c r="E103" s="20">
        <v>83024.2</v>
      </c>
      <c r="F103" s="1">
        <v>83048.39</v>
      </c>
      <c r="G103" s="18">
        <v>174</v>
      </c>
      <c r="I103" s="21">
        <v>46053.353472222225</v>
      </c>
      <c r="J103" s="26"/>
      <c r="K103" s="26"/>
      <c r="L103" s="27">
        <v>83128.92</v>
      </c>
      <c r="M103" s="27">
        <v>82961.585560000007</v>
      </c>
      <c r="N103" s="28" t="s">
        <v>6</v>
      </c>
      <c r="O103" s="28" t="s">
        <v>13</v>
      </c>
      <c r="P103"/>
    </row>
    <row r="104" spans="1:16" x14ac:dyDescent="0.35">
      <c r="A104" s="4">
        <v>101</v>
      </c>
      <c r="B104" s="17">
        <v>46053.354166666664</v>
      </c>
      <c r="C104" s="1">
        <v>83048.399999999994</v>
      </c>
      <c r="D104" s="20">
        <v>83058.22</v>
      </c>
      <c r="E104" s="20">
        <v>83012.91</v>
      </c>
      <c r="F104" s="1">
        <v>83012.91</v>
      </c>
      <c r="G104" s="18">
        <v>125</v>
      </c>
      <c r="I104" s="21">
        <v>46053.354166666664</v>
      </c>
      <c r="J104" s="26"/>
      <c r="K104" s="26"/>
      <c r="L104" s="27">
        <v>83113.539999999994</v>
      </c>
      <c r="M104" s="27">
        <v>82927.461110000004</v>
      </c>
      <c r="N104" s="28" t="s">
        <v>6</v>
      </c>
      <c r="O104" s="28" t="s">
        <v>13</v>
      </c>
      <c r="P104"/>
    </row>
    <row r="105" spans="1:16" x14ac:dyDescent="0.35">
      <c r="A105" s="4">
        <v>102</v>
      </c>
      <c r="B105" s="17">
        <v>46053.354861111111</v>
      </c>
      <c r="C105" s="1">
        <v>83013.25</v>
      </c>
      <c r="D105" s="20">
        <v>83022.84</v>
      </c>
      <c r="E105" s="20">
        <v>82952.37</v>
      </c>
      <c r="F105" s="1">
        <v>82954.38</v>
      </c>
      <c r="G105" s="18">
        <v>172</v>
      </c>
      <c r="I105" s="21">
        <v>46053.354861111111</v>
      </c>
      <c r="J105" s="26"/>
      <c r="K105" s="26"/>
      <c r="L105" s="27">
        <v>83098.16</v>
      </c>
      <c r="M105" s="27">
        <v>82893.336670000004</v>
      </c>
      <c r="N105" s="28" t="s">
        <v>6</v>
      </c>
      <c r="O105" s="28" t="s">
        <v>13</v>
      </c>
      <c r="P105"/>
    </row>
    <row r="106" spans="1:16" x14ac:dyDescent="0.35">
      <c r="A106" s="4">
        <v>103</v>
      </c>
      <c r="B106" s="17">
        <v>46053.355555555558</v>
      </c>
      <c r="C106" s="1">
        <v>82954.539999999994</v>
      </c>
      <c r="D106" s="20">
        <v>83012.710000000006</v>
      </c>
      <c r="E106" s="20">
        <v>82941.7</v>
      </c>
      <c r="F106" s="1">
        <v>82975.28</v>
      </c>
      <c r="G106" s="18">
        <v>225</v>
      </c>
      <c r="I106" s="21">
        <v>46053.355555555558</v>
      </c>
      <c r="J106" s="26"/>
      <c r="K106" s="26"/>
      <c r="L106" s="27">
        <v>83082.78</v>
      </c>
      <c r="M106" s="27">
        <v>82859.212220000001</v>
      </c>
      <c r="N106" s="28" t="s">
        <v>6</v>
      </c>
      <c r="O106" s="28" t="s">
        <v>13</v>
      </c>
      <c r="P106"/>
    </row>
    <row r="107" spans="1:16" x14ac:dyDescent="0.35">
      <c r="A107" s="4">
        <v>104</v>
      </c>
      <c r="B107" s="17">
        <v>46053.356249999997</v>
      </c>
      <c r="C107" s="1">
        <v>82975.28</v>
      </c>
      <c r="D107" s="20">
        <v>82975.28</v>
      </c>
      <c r="E107" s="20">
        <v>82879.61</v>
      </c>
      <c r="F107" s="1">
        <v>82911.03</v>
      </c>
      <c r="G107" s="18">
        <v>230</v>
      </c>
      <c r="I107" s="21">
        <v>46053.356249999997</v>
      </c>
      <c r="J107" s="26"/>
      <c r="K107" s="26"/>
      <c r="L107" s="27">
        <v>83067.399999999994</v>
      </c>
      <c r="M107" s="27">
        <v>82825.087780000002</v>
      </c>
      <c r="N107" s="28" t="s">
        <v>6</v>
      </c>
      <c r="O107" s="28" t="s">
        <v>13</v>
      </c>
      <c r="P107"/>
    </row>
    <row r="108" spans="1:16" x14ac:dyDescent="0.35">
      <c r="A108" s="4">
        <v>105</v>
      </c>
      <c r="B108" s="17">
        <v>46053.356944444444</v>
      </c>
      <c r="C108" s="1">
        <v>82910.990000000005</v>
      </c>
      <c r="D108" s="20">
        <v>82929.53</v>
      </c>
      <c r="E108" s="20">
        <v>82838.820000000007</v>
      </c>
      <c r="F108" s="1">
        <v>82919.62</v>
      </c>
      <c r="G108" s="18">
        <v>232</v>
      </c>
      <c r="I108" s="21">
        <v>46053.356944444444</v>
      </c>
      <c r="J108" s="26"/>
      <c r="K108" s="26"/>
      <c r="L108" s="27">
        <v>83052.02</v>
      </c>
      <c r="M108" s="27">
        <v>82790.963329999999</v>
      </c>
      <c r="N108" s="28" t="s">
        <v>6</v>
      </c>
      <c r="O108" s="28" t="s">
        <v>13</v>
      </c>
      <c r="P108"/>
    </row>
    <row r="109" spans="1:16" x14ac:dyDescent="0.35">
      <c r="A109" s="4">
        <v>106</v>
      </c>
      <c r="B109" s="17">
        <v>46053.357638888891</v>
      </c>
      <c r="C109" s="1">
        <v>82917.240000000005</v>
      </c>
      <c r="D109" s="20">
        <v>82917.240000000005</v>
      </c>
      <c r="E109" s="20">
        <v>82799.509999999995</v>
      </c>
      <c r="F109" s="1">
        <v>82816.86</v>
      </c>
      <c r="G109" s="18">
        <v>253</v>
      </c>
      <c r="I109" s="21">
        <v>46053.357638888891</v>
      </c>
      <c r="J109" s="26"/>
      <c r="K109" s="26"/>
      <c r="L109" s="27">
        <v>83036.639999999999</v>
      </c>
      <c r="M109" s="27">
        <v>82756.838889999999</v>
      </c>
      <c r="N109" s="28" t="s">
        <v>6</v>
      </c>
      <c r="O109" s="28" t="s">
        <v>13</v>
      </c>
      <c r="P109"/>
    </row>
    <row r="110" spans="1:16" x14ac:dyDescent="0.35">
      <c r="A110" s="4">
        <v>107</v>
      </c>
      <c r="B110" s="17">
        <v>46053.35833333333</v>
      </c>
      <c r="C110" s="1">
        <v>82816.61</v>
      </c>
      <c r="D110" s="20">
        <v>82821.990000000005</v>
      </c>
      <c r="E110" s="20">
        <v>82748.5</v>
      </c>
      <c r="F110" s="1">
        <v>82776.91</v>
      </c>
      <c r="G110" s="18">
        <v>231</v>
      </c>
      <c r="I110" s="21">
        <v>46053.35833333333</v>
      </c>
      <c r="J110" s="26"/>
      <c r="K110" s="26"/>
      <c r="L110" s="27">
        <v>83021.259999999995</v>
      </c>
      <c r="M110" s="27">
        <v>82722.714439999996</v>
      </c>
      <c r="N110" s="28" t="s">
        <v>6</v>
      </c>
      <c r="O110" s="28" t="s">
        <v>13</v>
      </c>
      <c r="P110"/>
    </row>
    <row r="111" spans="1:16" x14ac:dyDescent="0.35">
      <c r="A111" s="4">
        <v>108</v>
      </c>
      <c r="B111" s="17">
        <v>46053.359027777777</v>
      </c>
      <c r="C111" s="1">
        <v>82776.92</v>
      </c>
      <c r="D111" s="20">
        <v>82965.460000000006</v>
      </c>
      <c r="E111" s="20">
        <v>82688.59</v>
      </c>
      <c r="F111" s="1">
        <v>82929.53</v>
      </c>
      <c r="G111" s="18">
        <v>277</v>
      </c>
      <c r="I111" s="21">
        <v>46053.359027777777</v>
      </c>
      <c r="J111" s="26"/>
      <c r="K111" s="26">
        <v>82688.59</v>
      </c>
      <c r="L111" s="27">
        <v>83005.88</v>
      </c>
      <c r="M111" s="27">
        <v>82688.59</v>
      </c>
      <c r="N111" s="28" t="s">
        <v>6</v>
      </c>
      <c r="O111" s="28" t="s">
        <v>13</v>
      </c>
      <c r="P111"/>
    </row>
    <row r="112" spans="1:16" x14ac:dyDescent="0.35">
      <c r="A112" s="4">
        <v>109</v>
      </c>
      <c r="B112" s="17">
        <v>46053.359722222223</v>
      </c>
      <c r="C112" s="1">
        <v>82939.600000000006</v>
      </c>
      <c r="D112" s="20">
        <v>82990.5</v>
      </c>
      <c r="E112" s="20">
        <v>82931.42</v>
      </c>
      <c r="F112" s="1">
        <v>82967.81</v>
      </c>
      <c r="G112" s="18">
        <v>251</v>
      </c>
      <c r="I112" s="21">
        <v>46053.359722222223</v>
      </c>
      <c r="J112" s="26">
        <v>82990.5</v>
      </c>
      <c r="K112" s="26"/>
      <c r="L112" s="27">
        <v>82990.5</v>
      </c>
      <c r="M112" s="27">
        <v>82660.966669999994</v>
      </c>
      <c r="N112" s="28" t="s">
        <v>6</v>
      </c>
      <c r="O112" s="28" t="s">
        <v>13</v>
      </c>
      <c r="P112"/>
    </row>
    <row r="113" spans="1:16" x14ac:dyDescent="0.35">
      <c r="A113" s="4">
        <v>110</v>
      </c>
      <c r="B113" s="17">
        <v>46053.36041666667</v>
      </c>
      <c r="C113" s="1">
        <v>82966.990000000005</v>
      </c>
      <c r="D113" s="20">
        <v>82966.990000000005</v>
      </c>
      <c r="E113" s="20">
        <v>82868.5</v>
      </c>
      <c r="F113" s="1">
        <v>82868.5</v>
      </c>
      <c r="G113" s="18">
        <v>242</v>
      </c>
      <c r="I113" s="21">
        <v>46053.36041666667</v>
      </c>
      <c r="J113" s="26"/>
      <c r="K113" s="26"/>
      <c r="L113" s="27">
        <v>82970.077499999999</v>
      </c>
      <c r="M113" s="27">
        <v>82633.343330000003</v>
      </c>
      <c r="N113" s="28" t="s">
        <v>6</v>
      </c>
      <c r="O113" s="28" t="s">
        <v>13</v>
      </c>
      <c r="P113"/>
    </row>
    <row r="114" spans="1:16" x14ac:dyDescent="0.35">
      <c r="A114" s="4">
        <v>111</v>
      </c>
      <c r="B114" s="17">
        <v>46053.361111111109</v>
      </c>
      <c r="C114" s="1">
        <v>82858.55</v>
      </c>
      <c r="D114" s="20">
        <v>82890.31</v>
      </c>
      <c r="E114" s="20">
        <v>82648.100000000006</v>
      </c>
      <c r="F114" s="1">
        <v>82667.570000000007</v>
      </c>
      <c r="G114" s="18">
        <v>275</v>
      </c>
      <c r="I114" s="21">
        <v>46053.361111111109</v>
      </c>
      <c r="J114" s="26"/>
      <c r="K114" s="26"/>
      <c r="L114" s="27">
        <v>82949.654999999999</v>
      </c>
      <c r="M114" s="27">
        <v>82605.72</v>
      </c>
      <c r="N114" s="28" t="s">
        <v>6</v>
      </c>
      <c r="O114" s="28" t="s">
        <v>13</v>
      </c>
      <c r="P114"/>
    </row>
    <row r="115" spans="1:16" x14ac:dyDescent="0.35">
      <c r="A115" s="4">
        <v>112</v>
      </c>
      <c r="B115" s="17">
        <v>46053.361805555556</v>
      </c>
      <c r="C115" s="1">
        <v>82657.350000000006</v>
      </c>
      <c r="D115" s="20">
        <v>82815.210000000006</v>
      </c>
      <c r="E115" s="20">
        <v>82636.2</v>
      </c>
      <c r="F115" s="1">
        <v>82744.91</v>
      </c>
      <c r="G115" s="18">
        <v>273</v>
      </c>
      <c r="I115" s="21">
        <v>46053.361805555556</v>
      </c>
      <c r="J115" s="26"/>
      <c r="K115" s="26"/>
      <c r="L115" s="27">
        <v>82929.232499999998</v>
      </c>
      <c r="M115" s="27">
        <v>82578.096669999999</v>
      </c>
      <c r="N115" s="28" t="s">
        <v>6</v>
      </c>
      <c r="O115" s="28" t="s">
        <v>13</v>
      </c>
      <c r="P115"/>
    </row>
    <row r="116" spans="1:16" x14ac:dyDescent="0.35">
      <c r="A116" s="4">
        <v>113</v>
      </c>
      <c r="B116" s="17">
        <v>46053.362500000003</v>
      </c>
      <c r="C116" s="1">
        <v>82745.45</v>
      </c>
      <c r="D116" s="20">
        <v>82771.3</v>
      </c>
      <c r="E116" s="20">
        <v>82640.53</v>
      </c>
      <c r="F116" s="1">
        <v>82644.39</v>
      </c>
      <c r="G116" s="18">
        <v>285</v>
      </c>
      <c r="I116" s="21">
        <v>46053.362500000003</v>
      </c>
      <c r="J116" s="26"/>
      <c r="K116" s="26"/>
      <c r="L116" s="27">
        <v>82908.81</v>
      </c>
      <c r="M116" s="27">
        <v>82550.473329999993</v>
      </c>
      <c r="N116" s="28" t="s">
        <v>6</v>
      </c>
      <c r="O116" s="28" t="s">
        <v>13</v>
      </c>
      <c r="P116"/>
    </row>
    <row r="117" spans="1:16" x14ac:dyDescent="0.35">
      <c r="A117" s="4">
        <v>114</v>
      </c>
      <c r="B117" s="17">
        <v>46053.363194444442</v>
      </c>
      <c r="C117" s="1">
        <v>82624.899999999994</v>
      </c>
      <c r="D117" s="20">
        <v>82687.62</v>
      </c>
      <c r="E117" s="20">
        <v>82522.850000000006</v>
      </c>
      <c r="F117" s="1">
        <v>82682.039999999994</v>
      </c>
      <c r="G117" s="18">
        <v>296</v>
      </c>
      <c r="I117" s="21">
        <v>46053.363194444442</v>
      </c>
      <c r="J117" s="26"/>
      <c r="K117" s="26">
        <v>82522.850000000006</v>
      </c>
      <c r="L117" s="27">
        <v>82888.387499999997</v>
      </c>
      <c r="M117" s="27">
        <v>82522.850000000006</v>
      </c>
      <c r="N117" s="28" t="s">
        <v>6</v>
      </c>
      <c r="O117" s="28" t="s">
        <v>13</v>
      </c>
      <c r="P117"/>
    </row>
    <row r="118" spans="1:16" x14ac:dyDescent="0.35">
      <c r="A118" s="4">
        <v>115</v>
      </c>
      <c r="B118" s="17">
        <v>46053.363888888889</v>
      </c>
      <c r="C118" s="1">
        <v>82679.38</v>
      </c>
      <c r="D118" s="20">
        <v>82749.72</v>
      </c>
      <c r="E118" s="20">
        <v>82656.66</v>
      </c>
      <c r="F118" s="1">
        <v>82744.399999999994</v>
      </c>
      <c r="G118" s="18">
        <v>279</v>
      </c>
      <c r="I118" s="21">
        <v>46053.363888888889</v>
      </c>
      <c r="J118" s="26"/>
      <c r="K118" s="26"/>
      <c r="L118" s="27">
        <v>82867.964999999997</v>
      </c>
      <c r="M118" s="27">
        <v>82556.304999999993</v>
      </c>
      <c r="N118" s="28" t="s">
        <v>6</v>
      </c>
      <c r="O118" s="28" t="s">
        <v>8</v>
      </c>
      <c r="P118"/>
    </row>
    <row r="119" spans="1:16" x14ac:dyDescent="0.35">
      <c r="A119" s="4">
        <v>116</v>
      </c>
      <c r="B119" s="17">
        <v>46053.364583333336</v>
      </c>
      <c r="C119" s="1">
        <v>82744.75</v>
      </c>
      <c r="D119" s="20">
        <v>82806.61</v>
      </c>
      <c r="E119" s="20">
        <v>82661.149999999994</v>
      </c>
      <c r="F119" s="1">
        <v>82747.23</v>
      </c>
      <c r="G119" s="18">
        <v>257</v>
      </c>
      <c r="I119" s="21">
        <v>46053.364583333336</v>
      </c>
      <c r="J119" s="26"/>
      <c r="K119" s="26"/>
      <c r="L119" s="27">
        <v>82847.542499999996</v>
      </c>
      <c r="M119" s="27">
        <v>82589.759999999995</v>
      </c>
      <c r="N119" s="28" t="s">
        <v>6</v>
      </c>
      <c r="O119" s="28" t="s">
        <v>8</v>
      </c>
      <c r="P119"/>
    </row>
    <row r="120" spans="1:16" x14ac:dyDescent="0.35">
      <c r="A120" s="4">
        <v>117</v>
      </c>
      <c r="B120" s="17">
        <v>46053.365277777775</v>
      </c>
      <c r="C120" s="1">
        <v>82747.34</v>
      </c>
      <c r="D120" s="20">
        <v>82827.12</v>
      </c>
      <c r="E120" s="20">
        <v>82747.149999999994</v>
      </c>
      <c r="F120" s="1">
        <v>82790.460000000006</v>
      </c>
      <c r="G120" s="18">
        <v>252</v>
      </c>
      <c r="I120" s="21">
        <v>46053.365277777775</v>
      </c>
      <c r="J120" s="26">
        <v>82827.12</v>
      </c>
      <c r="K120" s="26"/>
      <c r="L120" s="27">
        <v>82827.12</v>
      </c>
      <c r="M120" s="27">
        <v>82623.214999999997</v>
      </c>
      <c r="N120" s="28" t="s">
        <v>6</v>
      </c>
      <c r="O120" s="28" t="s">
        <v>8</v>
      </c>
      <c r="P120"/>
    </row>
    <row r="121" spans="1:16" x14ac:dyDescent="0.35">
      <c r="A121" s="4">
        <v>118</v>
      </c>
      <c r="B121" s="17">
        <v>46053.365972222222</v>
      </c>
      <c r="C121" s="1">
        <v>82790.5</v>
      </c>
      <c r="D121" s="20">
        <v>82816.899999999994</v>
      </c>
      <c r="E121" s="20">
        <v>82656.67</v>
      </c>
      <c r="F121" s="1">
        <v>82720.929999999993</v>
      </c>
      <c r="G121" s="18">
        <v>246</v>
      </c>
      <c r="I121" s="21">
        <v>46053.365972222222</v>
      </c>
      <c r="J121" s="26"/>
      <c r="K121" s="26">
        <v>82656.67</v>
      </c>
      <c r="L121" s="27">
        <v>82858.524550000002</v>
      </c>
      <c r="M121" s="27">
        <v>82656.67</v>
      </c>
      <c r="N121" s="28" t="s">
        <v>7</v>
      </c>
      <c r="O121" s="28" t="s">
        <v>8</v>
      </c>
      <c r="P121"/>
    </row>
    <row r="122" spans="1:16" x14ac:dyDescent="0.35">
      <c r="A122" s="4">
        <v>119</v>
      </c>
      <c r="B122" s="17">
        <v>46053.366666666669</v>
      </c>
      <c r="C122" s="1">
        <v>82721.240000000005</v>
      </c>
      <c r="D122" s="20">
        <v>82766.75</v>
      </c>
      <c r="E122" s="20">
        <v>82699.03</v>
      </c>
      <c r="F122" s="1">
        <v>82760.240000000005</v>
      </c>
      <c r="G122" s="18">
        <v>207</v>
      </c>
      <c r="I122" s="21">
        <v>46053.366666666669</v>
      </c>
      <c r="J122" s="26"/>
      <c r="K122" s="26"/>
      <c r="L122" s="27">
        <v>82889.929090000005</v>
      </c>
      <c r="M122" s="27">
        <v>82686.75</v>
      </c>
      <c r="N122" s="28" t="s">
        <v>7</v>
      </c>
      <c r="O122" s="28" t="s">
        <v>8</v>
      </c>
      <c r="P122"/>
    </row>
    <row r="123" spans="1:16" x14ac:dyDescent="0.35">
      <c r="A123" s="4">
        <v>120</v>
      </c>
      <c r="B123" s="17">
        <v>46053.367361111108</v>
      </c>
      <c r="C123" s="1">
        <v>82760.240000000005</v>
      </c>
      <c r="D123" s="20">
        <v>82838.210000000006</v>
      </c>
      <c r="E123" s="20">
        <v>82745.63</v>
      </c>
      <c r="F123" s="1">
        <v>82790.17</v>
      </c>
      <c r="G123" s="18">
        <v>228</v>
      </c>
      <c r="I123" s="21">
        <v>46053.367361111108</v>
      </c>
      <c r="J123" s="26"/>
      <c r="K123" s="26"/>
      <c r="L123" s="27">
        <v>82921.333639999997</v>
      </c>
      <c r="M123" s="27">
        <v>82716.83</v>
      </c>
      <c r="N123" s="28" t="s">
        <v>7</v>
      </c>
      <c r="O123" s="28" t="s">
        <v>8</v>
      </c>
      <c r="P123"/>
    </row>
    <row r="124" spans="1:16" x14ac:dyDescent="0.35">
      <c r="A124" s="4">
        <v>121</v>
      </c>
      <c r="B124" s="17">
        <v>46053.368055555555</v>
      </c>
      <c r="C124" s="1">
        <v>82782.66</v>
      </c>
      <c r="D124" s="20">
        <v>82830.350000000006</v>
      </c>
      <c r="E124" s="20">
        <v>82775.460000000006</v>
      </c>
      <c r="F124" s="1">
        <v>82812.53</v>
      </c>
      <c r="G124" s="18">
        <v>178</v>
      </c>
      <c r="I124" s="21">
        <v>46053.368055555555</v>
      </c>
      <c r="J124" s="26"/>
      <c r="K124" s="26"/>
      <c r="L124" s="27">
        <v>82952.73818</v>
      </c>
      <c r="M124" s="27">
        <v>82746.91</v>
      </c>
      <c r="N124" s="28" t="s">
        <v>7</v>
      </c>
      <c r="O124" s="28" t="s">
        <v>8</v>
      </c>
      <c r="P124"/>
    </row>
    <row r="125" spans="1:16" x14ac:dyDescent="0.35">
      <c r="A125" s="4">
        <v>122</v>
      </c>
      <c r="B125" s="17">
        <v>46053.368750000001</v>
      </c>
      <c r="C125" s="1">
        <v>82812.509999999995</v>
      </c>
      <c r="D125" s="20">
        <v>82948.570000000007</v>
      </c>
      <c r="E125" s="20">
        <v>82812.509999999995</v>
      </c>
      <c r="F125" s="1">
        <v>82923.14</v>
      </c>
      <c r="G125" s="18">
        <v>260</v>
      </c>
      <c r="I125" s="21">
        <v>46053.368750000001</v>
      </c>
      <c r="J125" s="26"/>
      <c r="K125" s="26"/>
      <c r="L125" s="27">
        <v>82984.142730000007</v>
      </c>
      <c r="M125" s="27">
        <v>82776.990000000005</v>
      </c>
      <c r="N125" s="28" t="s">
        <v>7</v>
      </c>
      <c r="O125" s="28" t="s">
        <v>8</v>
      </c>
      <c r="P125"/>
    </row>
    <row r="126" spans="1:16" x14ac:dyDescent="0.35">
      <c r="A126" s="4">
        <v>123</v>
      </c>
      <c r="B126" s="17">
        <v>46053.369444444441</v>
      </c>
      <c r="C126" s="1">
        <v>82936.740000000005</v>
      </c>
      <c r="D126" s="20">
        <v>82938.399999999994</v>
      </c>
      <c r="E126" s="20">
        <v>82891.19</v>
      </c>
      <c r="F126" s="1">
        <v>82921.63</v>
      </c>
      <c r="G126" s="18">
        <v>237</v>
      </c>
      <c r="I126" s="21">
        <v>46053.369444444441</v>
      </c>
      <c r="J126" s="26"/>
      <c r="K126" s="26"/>
      <c r="L126" s="27">
        <v>83015.547269999995</v>
      </c>
      <c r="M126" s="27">
        <v>82807.070000000007</v>
      </c>
      <c r="N126" s="28" t="s">
        <v>7</v>
      </c>
      <c r="O126" s="28" t="s">
        <v>8</v>
      </c>
      <c r="P126"/>
    </row>
    <row r="127" spans="1:16" x14ac:dyDescent="0.35">
      <c r="A127" s="4">
        <v>124</v>
      </c>
      <c r="B127" s="17">
        <v>46053.370138888888</v>
      </c>
      <c r="C127" s="1">
        <v>82922.789999999994</v>
      </c>
      <c r="D127" s="20">
        <v>83016.09</v>
      </c>
      <c r="E127" s="20">
        <v>82921.52</v>
      </c>
      <c r="F127" s="1">
        <v>83005.64</v>
      </c>
      <c r="G127" s="18">
        <v>254</v>
      </c>
      <c r="I127" s="21">
        <v>46053.370138888888</v>
      </c>
      <c r="J127" s="26"/>
      <c r="K127" s="26"/>
      <c r="L127" s="27">
        <v>83046.951820000002</v>
      </c>
      <c r="M127" s="27">
        <v>82837.149999999994</v>
      </c>
      <c r="N127" s="28" t="s">
        <v>7</v>
      </c>
      <c r="O127" s="28" t="s">
        <v>8</v>
      </c>
      <c r="P127"/>
    </row>
    <row r="128" spans="1:16" x14ac:dyDescent="0.35">
      <c r="A128" s="4">
        <v>125</v>
      </c>
      <c r="B128" s="17">
        <v>46053.370833333334</v>
      </c>
      <c r="C128" s="1">
        <v>83005.710000000006</v>
      </c>
      <c r="D128" s="20">
        <v>83067.179999999993</v>
      </c>
      <c r="E128" s="20">
        <v>82965.91</v>
      </c>
      <c r="F128" s="1">
        <v>82989.87</v>
      </c>
      <c r="G128" s="18">
        <v>220</v>
      </c>
      <c r="I128" s="21">
        <v>46053.370833333334</v>
      </c>
      <c r="J128" s="26"/>
      <c r="K128" s="26"/>
      <c r="L128" s="27">
        <v>83078.356360000005</v>
      </c>
      <c r="M128" s="27">
        <v>82867.23</v>
      </c>
      <c r="N128" s="28" t="s">
        <v>7</v>
      </c>
      <c r="O128" s="28" t="s">
        <v>8</v>
      </c>
      <c r="P128"/>
    </row>
    <row r="129" spans="1:16" x14ac:dyDescent="0.35">
      <c r="A129" s="4">
        <v>126</v>
      </c>
      <c r="B129" s="17">
        <v>46053.371527777781</v>
      </c>
      <c r="C129" s="1">
        <v>82991.13</v>
      </c>
      <c r="D129" s="20">
        <v>83072.429999999993</v>
      </c>
      <c r="E129" s="20">
        <v>82991.13</v>
      </c>
      <c r="F129" s="1">
        <v>83050.320000000007</v>
      </c>
      <c r="G129" s="18">
        <v>241</v>
      </c>
      <c r="I129" s="21">
        <v>46053.371527777781</v>
      </c>
      <c r="J129" s="26"/>
      <c r="K129" s="26"/>
      <c r="L129" s="27">
        <v>83109.760909999997</v>
      </c>
      <c r="M129" s="27">
        <v>82897.31</v>
      </c>
      <c r="N129" s="28" t="s">
        <v>7</v>
      </c>
      <c r="O129" s="28" t="s">
        <v>8</v>
      </c>
      <c r="P129"/>
    </row>
    <row r="130" spans="1:16" x14ac:dyDescent="0.35">
      <c r="A130" s="4">
        <v>127</v>
      </c>
      <c r="B130" s="17">
        <v>46053.37222222222</v>
      </c>
      <c r="C130" s="1">
        <v>83077.3</v>
      </c>
      <c r="D130" s="20">
        <v>83124.34</v>
      </c>
      <c r="E130" s="20">
        <v>83058.350000000006</v>
      </c>
      <c r="F130" s="1">
        <v>83124.34</v>
      </c>
      <c r="G130" s="18">
        <v>241</v>
      </c>
      <c r="I130" s="21">
        <v>46053.37222222222</v>
      </c>
      <c r="J130" s="26"/>
      <c r="K130" s="26"/>
      <c r="L130" s="27">
        <v>83141.16545</v>
      </c>
      <c r="M130" s="27">
        <v>82927.39</v>
      </c>
      <c r="N130" s="28" t="s">
        <v>7</v>
      </c>
      <c r="O130" s="28" t="s">
        <v>8</v>
      </c>
      <c r="P130"/>
    </row>
    <row r="131" spans="1:16" x14ac:dyDescent="0.35">
      <c r="A131" s="4">
        <v>128</v>
      </c>
      <c r="B131" s="17">
        <v>46053.372916666667</v>
      </c>
      <c r="C131" s="1">
        <v>83124.34</v>
      </c>
      <c r="D131" s="20">
        <v>83172.570000000007</v>
      </c>
      <c r="E131" s="20">
        <v>83094.22</v>
      </c>
      <c r="F131" s="1">
        <v>83126.720000000001</v>
      </c>
      <c r="G131" s="18">
        <v>214</v>
      </c>
      <c r="I131" s="21">
        <v>46053.372916666667</v>
      </c>
      <c r="J131" s="26">
        <v>83172.570000000007</v>
      </c>
      <c r="K131" s="26"/>
      <c r="L131" s="27">
        <v>83172.570000000007</v>
      </c>
      <c r="M131" s="27">
        <v>82957.47</v>
      </c>
      <c r="N131" s="28" t="s">
        <v>7</v>
      </c>
      <c r="O131" s="28" t="s">
        <v>8</v>
      </c>
      <c r="P131"/>
    </row>
    <row r="132" spans="1:16" x14ac:dyDescent="0.35">
      <c r="A132" s="4">
        <v>129</v>
      </c>
      <c r="B132" s="17">
        <v>46053.373611111114</v>
      </c>
      <c r="C132" s="1">
        <v>83121.7</v>
      </c>
      <c r="D132" s="20">
        <v>83140.320000000007</v>
      </c>
      <c r="E132" s="20">
        <v>83047.039999999994</v>
      </c>
      <c r="F132" s="1">
        <v>83047.039999999994</v>
      </c>
      <c r="G132" s="18">
        <v>195</v>
      </c>
      <c r="I132" s="21">
        <v>46053.373611111114</v>
      </c>
      <c r="J132" s="26"/>
      <c r="K132" s="26"/>
      <c r="L132" s="27">
        <v>83182.371429999999</v>
      </c>
      <c r="M132" s="27">
        <v>82987.55</v>
      </c>
      <c r="N132" s="28" t="s">
        <v>7</v>
      </c>
      <c r="O132" s="28" t="s">
        <v>8</v>
      </c>
      <c r="P132"/>
    </row>
    <row r="133" spans="1:16" x14ac:dyDescent="0.35">
      <c r="A133" s="4">
        <v>130</v>
      </c>
      <c r="B133" s="17">
        <v>46053.374305555553</v>
      </c>
      <c r="C133" s="1">
        <v>83052.800000000003</v>
      </c>
      <c r="D133" s="20">
        <v>83089.33</v>
      </c>
      <c r="E133" s="20">
        <v>83017.63</v>
      </c>
      <c r="F133" s="1">
        <v>83018.66</v>
      </c>
      <c r="G133" s="18">
        <v>230</v>
      </c>
      <c r="I133" s="21">
        <v>46053.374305555553</v>
      </c>
      <c r="J133" s="26"/>
      <c r="K133" s="26">
        <v>83017.63</v>
      </c>
      <c r="L133" s="27">
        <v>83192.172860000006</v>
      </c>
      <c r="M133" s="27">
        <v>83017.63</v>
      </c>
      <c r="N133" s="28" t="s">
        <v>7</v>
      </c>
      <c r="O133" s="28" t="s">
        <v>8</v>
      </c>
      <c r="P133"/>
    </row>
    <row r="134" spans="1:16" x14ac:dyDescent="0.35">
      <c r="A134" s="4">
        <v>131</v>
      </c>
      <c r="B134" s="17">
        <v>46053.375</v>
      </c>
      <c r="C134" s="1">
        <v>83024.100000000006</v>
      </c>
      <c r="D134" s="20">
        <v>83096.929999999993</v>
      </c>
      <c r="E134" s="20">
        <v>83024.100000000006</v>
      </c>
      <c r="F134" s="1">
        <v>83093.56</v>
      </c>
      <c r="G134" s="18">
        <v>185</v>
      </c>
      <c r="I134" s="21">
        <v>46053.375</v>
      </c>
      <c r="J134" s="26"/>
      <c r="K134" s="26"/>
      <c r="L134" s="27">
        <v>83201.974289999998</v>
      </c>
      <c r="M134" s="27">
        <v>83018.711249999993</v>
      </c>
      <c r="N134" s="28" t="s">
        <v>7</v>
      </c>
      <c r="O134" s="28" t="s">
        <v>8</v>
      </c>
      <c r="P134"/>
    </row>
    <row r="135" spans="1:16" x14ac:dyDescent="0.35">
      <c r="A135" s="4">
        <v>132</v>
      </c>
      <c r="B135" s="17">
        <v>46053.375694444447</v>
      </c>
      <c r="C135" s="1">
        <v>83096.350000000006</v>
      </c>
      <c r="D135" s="20">
        <v>83096.350000000006</v>
      </c>
      <c r="E135" s="20">
        <v>83029.2</v>
      </c>
      <c r="F135" s="1">
        <v>83056.899999999994</v>
      </c>
      <c r="G135" s="18">
        <v>157</v>
      </c>
      <c r="I135" s="21">
        <v>46053.375694444447</v>
      </c>
      <c r="J135" s="26"/>
      <c r="K135" s="26"/>
      <c r="L135" s="27">
        <v>83211.775710000002</v>
      </c>
      <c r="M135" s="27">
        <v>83019.792499999996</v>
      </c>
      <c r="N135" s="28" t="s">
        <v>7</v>
      </c>
      <c r="O135" s="28" t="s">
        <v>8</v>
      </c>
      <c r="P135"/>
    </row>
    <row r="136" spans="1:16" x14ac:dyDescent="0.35">
      <c r="A136" s="4">
        <v>133</v>
      </c>
      <c r="B136" s="17">
        <v>46053.376388888886</v>
      </c>
      <c r="C136" s="1">
        <v>83056.91</v>
      </c>
      <c r="D136" s="20">
        <v>83110.350000000006</v>
      </c>
      <c r="E136" s="20">
        <v>83056.02</v>
      </c>
      <c r="F136" s="1">
        <v>83110.350000000006</v>
      </c>
      <c r="G136" s="18">
        <v>165</v>
      </c>
      <c r="I136" s="21">
        <v>46053.376388888886</v>
      </c>
      <c r="J136" s="26"/>
      <c r="K136" s="26"/>
      <c r="L136" s="27">
        <v>83221.577139999994</v>
      </c>
      <c r="M136" s="27">
        <v>83020.873749999999</v>
      </c>
      <c r="N136" s="28" t="s">
        <v>7</v>
      </c>
      <c r="O136" s="28" t="s">
        <v>8</v>
      </c>
      <c r="P136"/>
    </row>
    <row r="137" spans="1:16" x14ac:dyDescent="0.35">
      <c r="A137" s="4">
        <v>134</v>
      </c>
      <c r="B137" s="17">
        <v>46053.377083333333</v>
      </c>
      <c r="C137" s="1">
        <v>83110.350000000006</v>
      </c>
      <c r="D137" s="20">
        <v>83190.399999999994</v>
      </c>
      <c r="E137" s="20">
        <v>83110.350000000006</v>
      </c>
      <c r="F137" s="1">
        <v>83161.06</v>
      </c>
      <c r="G137" s="18">
        <v>240</v>
      </c>
      <c r="I137" s="21">
        <v>46053.377083333333</v>
      </c>
      <c r="J137" s="26"/>
      <c r="K137" s="26"/>
      <c r="L137" s="27">
        <v>83231.378570000001</v>
      </c>
      <c r="M137" s="27">
        <v>83021.955000000002</v>
      </c>
      <c r="N137" s="28" t="s">
        <v>7</v>
      </c>
      <c r="O137" s="28" t="s">
        <v>8</v>
      </c>
      <c r="P137"/>
    </row>
    <row r="138" spans="1:16" x14ac:dyDescent="0.35">
      <c r="A138" s="4">
        <v>135</v>
      </c>
      <c r="B138" s="17">
        <v>46053.37777777778</v>
      </c>
      <c r="C138" s="1">
        <v>83161.05</v>
      </c>
      <c r="D138" s="20">
        <v>83241.179999999993</v>
      </c>
      <c r="E138" s="20">
        <v>83129.08</v>
      </c>
      <c r="F138" s="1">
        <v>83129.08</v>
      </c>
      <c r="G138" s="18">
        <v>176</v>
      </c>
      <c r="I138" s="21">
        <v>46053.37777777778</v>
      </c>
      <c r="J138" s="26">
        <v>83241.179999999993</v>
      </c>
      <c r="K138" s="26"/>
      <c r="L138" s="27">
        <v>83241.179999999993</v>
      </c>
      <c r="M138" s="27">
        <v>83023.036250000005</v>
      </c>
      <c r="N138" s="28" t="s">
        <v>7</v>
      </c>
      <c r="O138" s="28" t="s">
        <v>8</v>
      </c>
      <c r="P138"/>
    </row>
    <row r="139" spans="1:16" x14ac:dyDescent="0.35">
      <c r="A139" s="4">
        <v>136</v>
      </c>
      <c r="B139" s="17">
        <v>46053.378472222219</v>
      </c>
      <c r="C139" s="1">
        <v>83124.600000000006</v>
      </c>
      <c r="D139" s="20">
        <v>83235.399999999994</v>
      </c>
      <c r="E139" s="20">
        <v>83120.88</v>
      </c>
      <c r="F139" s="1">
        <v>83206.5</v>
      </c>
      <c r="G139" s="18">
        <v>214</v>
      </c>
      <c r="I139" s="21">
        <v>46053.378472222219</v>
      </c>
      <c r="J139" s="26"/>
      <c r="K139" s="26"/>
      <c r="L139" s="27">
        <v>83232.818570000003</v>
      </c>
      <c r="M139" s="27">
        <v>83024.117499999993</v>
      </c>
      <c r="N139" s="28" t="s">
        <v>6</v>
      </c>
      <c r="O139" s="28" t="s">
        <v>8</v>
      </c>
      <c r="P139"/>
    </row>
    <row r="140" spans="1:16" x14ac:dyDescent="0.35">
      <c r="A140" s="4">
        <v>137</v>
      </c>
      <c r="B140" s="17">
        <v>46053.379166666666</v>
      </c>
      <c r="C140" s="1">
        <v>83206.5</v>
      </c>
      <c r="D140" s="20">
        <v>83217.84</v>
      </c>
      <c r="E140" s="20">
        <v>83031.13</v>
      </c>
      <c r="F140" s="1">
        <v>83031.13</v>
      </c>
      <c r="G140" s="18">
        <v>241</v>
      </c>
      <c r="I140" s="21">
        <v>46053.379166666666</v>
      </c>
      <c r="J140" s="26"/>
      <c r="K140" s="26"/>
      <c r="L140" s="27">
        <v>83224.457139999999</v>
      </c>
      <c r="M140" s="27">
        <v>83025.198749999996</v>
      </c>
      <c r="N140" s="28" t="s">
        <v>6</v>
      </c>
      <c r="O140" s="28" t="s">
        <v>8</v>
      </c>
      <c r="P140"/>
    </row>
    <row r="141" spans="1:16" x14ac:dyDescent="0.35">
      <c r="A141" s="4">
        <v>138</v>
      </c>
      <c r="B141" s="17">
        <v>46053.379861111112</v>
      </c>
      <c r="C141" s="1">
        <v>83047.490000000005</v>
      </c>
      <c r="D141" s="20">
        <v>83095.33</v>
      </c>
      <c r="E141" s="20">
        <v>83026.28</v>
      </c>
      <c r="F141" s="1">
        <v>83080.86</v>
      </c>
      <c r="G141" s="18">
        <v>204</v>
      </c>
      <c r="I141" s="21">
        <v>46053.379861111112</v>
      </c>
      <c r="J141" s="26"/>
      <c r="K141" s="26">
        <v>83026.28</v>
      </c>
      <c r="L141" s="27">
        <v>83216.095709999994</v>
      </c>
      <c r="M141" s="27">
        <v>83026.28</v>
      </c>
      <c r="N141" s="28" t="s">
        <v>6</v>
      </c>
      <c r="O141" s="28" t="s">
        <v>8</v>
      </c>
      <c r="P141"/>
    </row>
    <row r="142" spans="1:16" x14ac:dyDescent="0.35">
      <c r="A142" s="4">
        <v>139</v>
      </c>
      <c r="B142" s="17">
        <v>46053.380555555559</v>
      </c>
      <c r="C142" s="1">
        <v>83082.039999999994</v>
      </c>
      <c r="D142" s="20">
        <v>83135.350000000006</v>
      </c>
      <c r="E142" s="20">
        <v>83070.75</v>
      </c>
      <c r="F142" s="1">
        <v>83107.92</v>
      </c>
      <c r="G142" s="18">
        <v>197</v>
      </c>
      <c r="I142" s="21">
        <v>46053.380555555559</v>
      </c>
      <c r="J142" s="26"/>
      <c r="K142" s="26"/>
      <c r="L142" s="27">
        <v>83207.734289999993</v>
      </c>
      <c r="M142" s="27">
        <v>83026.523329999996</v>
      </c>
      <c r="N142" s="28" t="s">
        <v>6</v>
      </c>
      <c r="O142" s="28" t="s">
        <v>8</v>
      </c>
      <c r="P142"/>
    </row>
    <row r="143" spans="1:16" x14ac:dyDescent="0.35">
      <c r="A143" s="4">
        <v>140</v>
      </c>
      <c r="B143" s="17">
        <v>46053.381249999999</v>
      </c>
      <c r="C143" s="1">
        <v>83107.86</v>
      </c>
      <c r="D143" s="20">
        <v>83140.34</v>
      </c>
      <c r="E143" s="20">
        <v>83079.77</v>
      </c>
      <c r="F143" s="1">
        <v>83098.34</v>
      </c>
      <c r="G143" s="18">
        <v>189</v>
      </c>
      <c r="I143" s="21">
        <v>46053.381249999999</v>
      </c>
      <c r="J143" s="26"/>
      <c r="K143" s="26"/>
      <c r="L143" s="27">
        <v>83199.372860000003</v>
      </c>
      <c r="M143" s="27">
        <v>83026.766669999997</v>
      </c>
      <c r="N143" s="28" t="s">
        <v>6</v>
      </c>
      <c r="O143" s="28" t="s">
        <v>8</v>
      </c>
      <c r="P143"/>
    </row>
    <row r="144" spans="1:16" x14ac:dyDescent="0.35">
      <c r="A144" s="4">
        <v>141</v>
      </c>
      <c r="B144" s="17">
        <v>46053.381944444445</v>
      </c>
      <c r="C144" s="1">
        <v>83098.399999999994</v>
      </c>
      <c r="D144" s="20">
        <v>83159.55</v>
      </c>
      <c r="E144" s="20">
        <v>83098.399999999994</v>
      </c>
      <c r="F144" s="1">
        <v>83149.42</v>
      </c>
      <c r="G144" s="18">
        <v>166</v>
      </c>
      <c r="I144" s="21">
        <v>46053.381944444445</v>
      </c>
      <c r="J144" s="26"/>
      <c r="K144" s="26"/>
      <c r="L144" s="27">
        <v>83191.011429999999</v>
      </c>
      <c r="M144" s="27">
        <v>83027.009999999995</v>
      </c>
      <c r="N144" s="28" t="s">
        <v>6</v>
      </c>
      <c r="O144" s="28" t="s">
        <v>8</v>
      </c>
      <c r="P144"/>
    </row>
    <row r="145" spans="1:16" x14ac:dyDescent="0.35">
      <c r="A145" s="4">
        <v>142</v>
      </c>
      <c r="B145" s="17">
        <v>46053.382638888892</v>
      </c>
      <c r="C145" s="1">
        <v>83149.42</v>
      </c>
      <c r="D145" s="20">
        <v>83182.649999999994</v>
      </c>
      <c r="E145" s="20">
        <v>83110.73</v>
      </c>
      <c r="F145" s="1">
        <v>83117.850000000006</v>
      </c>
      <c r="G145" s="18">
        <v>149</v>
      </c>
      <c r="I145" s="21">
        <v>46053.382638888892</v>
      </c>
      <c r="J145" s="26">
        <v>83182.649999999994</v>
      </c>
      <c r="K145" s="26"/>
      <c r="L145" s="27">
        <v>83182.649999999994</v>
      </c>
      <c r="M145" s="27">
        <v>83027.253330000007</v>
      </c>
      <c r="N145" s="28" t="s">
        <v>6</v>
      </c>
      <c r="O145" s="28" t="s">
        <v>8</v>
      </c>
      <c r="P145"/>
    </row>
    <row r="146" spans="1:16" x14ac:dyDescent="0.35">
      <c r="A146" s="4">
        <v>143</v>
      </c>
      <c r="B146" s="17">
        <v>46053.383333333331</v>
      </c>
      <c r="C146" s="1">
        <v>83117.850000000006</v>
      </c>
      <c r="D146" s="20">
        <v>83142.62</v>
      </c>
      <c r="E146" s="20">
        <v>83117.820000000007</v>
      </c>
      <c r="F146" s="1">
        <v>83138.13</v>
      </c>
      <c r="G146" s="18">
        <v>168</v>
      </c>
      <c r="I146" s="21">
        <v>46053.383333333331</v>
      </c>
      <c r="J146" s="26"/>
      <c r="K146" s="26"/>
      <c r="L146" s="27">
        <v>83175.48</v>
      </c>
      <c r="M146" s="27">
        <v>83027.496669999993</v>
      </c>
      <c r="N146" s="28" t="s">
        <v>6</v>
      </c>
      <c r="O146" s="28" t="s">
        <v>8</v>
      </c>
      <c r="P146"/>
    </row>
    <row r="147" spans="1:16" x14ac:dyDescent="0.35">
      <c r="A147" s="4">
        <v>144</v>
      </c>
      <c r="B147" s="17">
        <v>46053.384027777778</v>
      </c>
      <c r="C147" s="1">
        <v>83137.990000000005</v>
      </c>
      <c r="D147" s="20">
        <v>83154.289999999994</v>
      </c>
      <c r="E147" s="20">
        <v>83134.679999999993</v>
      </c>
      <c r="F147" s="1">
        <v>83149.63</v>
      </c>
      <c r="G147" s="18">
        <v>157</v>
      </c>
      <c r="I147" s="21">
        <v>46053.384027777778</v>
      </c>
      <c r="J147" s="26"/>
      <c r="K147" s="26"/>
      <c r="L147" s="27">
        <v>83168.31</v>
      </c>
      <c r="M147" s="27">
        <v>83027.740000000005</v>
      </c>
      <c r="N147" s="28" t="s">
        <v>6</v>
      </c>
      <c r="O147" s="28" t="s">
        <v>8</v>
      </c>
      <c r="P147"/>
    </row>
    <row r="148" spans="1:16" x14ac:dyDescent="0.35">
      <c r="A148" s="4">
        <v>145</v>
      </c>
      <c r="B148" s="17">
        <v>46053.384722222225</v>
      </c>
      <c r="C148" s="1">
        <v>83149.070000000007</v>
      </c>
      <c r="D148" s="20">
        <v>83152.850000000006</v>
      </c>
      <c r="E148" s="20">
        <v>83090.42</v>
      </c>
      <c r="F148" s="1">
        <v>83093.16</v>
      </c>
      <c r="G148" s="18">
        <v>182</v>
      </c>
      <c r="I148" s="21">
        <v>46053.384722222225</v>
      </c>
      <c r="J148" s="26"/>
      <c r="K148" s="26"/>
      <c r="L148" s="27">
        <v>83161.14</v>
      </c>
      <c r="M148" s="27">
        <v>83027.983330000003</v>
      </c>
      <c r="N148" s="28" t="s">
        <v>6</v>
      </c>
      <c r="O148" s="28" t="s">
        <v>8</v>
      </c>
      <c r="P148"/>
    </row>
    <row r="149" spans="1:16" x14ac:dyDescent="0.35">
      <c r="A149" s="4">
        <v>146</v>
      </c>
      <c r="B149" s="17">
        <v>46053.385416666664</v>
      </c>
      <c r="C149" s="1">
        <v>83093.2</v>
      </c>
      <c r="D149" s="20">
        <v>83120.3</v>
      </c>
      <c r="E149" s="20">
        <v>83064.539999999994</v>
      </c>
      <c r="F149" s="1">
        <v>83096.539999999994</v>
      </c>
      <c r="G149" s="18">
        <v>203</v>
      </c>
      <c r="I149" s="21">
        <v>46053.385416666664</v>
      </c>
      <c r="J149" s="26"/>
      <c r="K149" s="26"/>
      <c r="L149" s="27">
        <v>83153.97</v>
      </c>
      <c r="M149" s="27">
        <v>83028.226670000004</v>
      </c>
      <c r="N149" s="28" t="s">
        <v>6</v>
      </c>
      <c r="O149" s="28" t="s">
        <v>8</v>
      </c>
      <c r="P149"/>
    </row>
    <row r="150" spans="1:16" x14ac:dyDescent="0.35">
      <c r="A150" s="4">
        <v>147</v>
      </c>
      <c r="B150" s="17">
        <v>46053.386111111111</v>
      </c>
      <c r="C150" s="1">
        <v>83096.509999999995</v>
      </c>
      <c r="D150" s="20">
        <v>83115.199999999997</v>
      </c>
      <c r="E150" s="20">
        <v>83028.47</v>
      </c>
      <c r="F150" s="1">
        <v>83087.899999999994</v>
      </c>
      <c r="G150" s="18">
        <v>184</v>
      </c>
      <c r="I150" s="21">
        <v>46053.386111111111</v>
      </c>
      <c r="J150" s="26"/>
      <c r="K150" s="26">
        <v>83028.47</v>
      </c>
      <c r="L150" s="27">
        <v>83146.8</v>
      </c>
      <c r="M150" s="27">
        <v>83028.47</v>
      </c>
      <c r="N150" s="28" t="s">
        <v>6</v>
      </c>
      <c r="O150" s="28" t="s">
        <v>8</v>
      </c>
      <c r="P150"/>
    </row>
    <row r="151" spans="1:16" x14ac:dyDescent="0.35">
      <c r="A151" s="4">
        <v>148</v>
      </c>
      <c r="B151" s="17">
        <v>46053.386805555558</v>
      </c>
      <c r="C151" s="1">
        <v>83087.899999999994</v>
      </c>
      <c r="D151" s="20">
        <v>83139.63</v>
      </c>
      <c r="E151" s="20">
        <v>83087.839999999997</v>
      </c>
      <c r="F151" s="1">
        <v>83124.91</v>
      </c>
      <c r="G151" s="18">
        <v>136</v>
      </c>
      <c r="I151" s="21">
        <v>46053.386805555558</v>
      </c>
      <c r="J151" s="26">
        <v>83139.63</v>
      </c>
      <c r="K151" s="26"/>
      <c r="L151" s="27">
        <v>83139.63</v>
      </c>
      <c r="M151" s="27">
        <v>83009.524000000005</v>
      </c>
      <c r="N151" s="28" t="s">
        <v>6</v>
      </c>
      <c r="O151" s="28" t="s">
        <v>13</v>
      </c>
      <c r="P151"/>
    </row>
    <row r="152" spans="1:16" x14ac:dyDescent="0.35">
      <c r="A152" s="4">
        <v>149</v>
      </c>
      <c r="B152" s="17">
        <v>46053.387499999997</v>
      </c>
      <c r="C152" s="1">
        <v>83124.91</v>
      </c>
      <c r="D152" s="20">
        <v>83135.8</v>
      </c>
      <c r="E152" s="20">
        <v>83106.36</v>
      </c>
      <c r="F152" s="1">
        <v>83112.31</v>
      </c>
      <c r="G152" s="18">
        <v>150</v>
      </c>
      <c r="I152" s="21">
        <v>46053.387499999997</v>
      </c>
      <c r="J152" s="26"/>
      <c r="K152" s="26"/>
      <c r="L152" s="27">
        <v>83146.165290000004</v>
      </c>
      <c r="M152" s="27">
        <v>82990.577999999994</v>
      </c>
      <c r="N152" s="28" t="s">
        <v>7</v>
      </c>
      <c r="O152" s="28" t="s">
        <v>13</v>
      </c>
      <c r="P152"/>
    </row>
    <row r="153" spans="1:16" x14ac:dyDescent="0.35">
      <c r="A153" s="4">
        <v>150</v>
      </c>
      <c r="B153" s="17">
        <v>46053.388194444444</v>
      </c>
      <c r="C153" s="1">
        <v>83112.27</v>
      </c>
      <c r="D153" s="20">
        <v>83114.91</v>
      </c>
      <c r="E153" s="20">
        <v>83033.81</v>
      </c>
      <c r="F153" s="1">
        <v>83033.81</v>
      </c>
      <c r="G153" s="18">
        <v>189</v>
      </c>
      <c r="I153" s="21">
        <v>46053.388194444444</v>
      </c>
      <c r="J153" s="26"/>
      <c r="K153" s="26"/>
      <c r="L153" s="27">
        <v>83152.700589999993</v>
      </c>
      <c r="M153" s="27">
        <v>82971.631999999998</v>
      </c>
      <c r="N153" s="28" t="s">
        <v>7</v>
      </c>
      <c r="O153" s="28" t="s">
        <v>13</v>
      </c>
      <c r="P153"/>
    </row>
    <row r="154" spans="1:16" x14ac:dyDescent="0.35">
      <c r="A154" s="4">
        <v>151</v>
      </c>
      <c r="B154" s="17">
        <v>46053.388888888891</v>
      </c>
      <c r="C154" s="1">
        <v>83033.81</v>
      </c>
      <c r="D154" s="20">
        <v>83076.97</v>
      </c>
      <c r="E154" s="20">
        <v>83020.36</v>
      </c>
      <c r="F154" s="1">
        <v>83020.36</v>
      </c>
      <c r="G154" s="18">
        <v>162</v>
      </c>
      <c r="I154" s="21">
        <v>46053.388888888891</v>
      </c>
      <c r="J154" s="26"/>
      <c r="K154" s="26"/>
      <c r="L154" s="27">
        <v>83159.235879999993</v>
      </c>
      <c r="M154" s="27">
        <v>82952.686000000002</v>
      </c>
      <c r="N154" s="28" t="s">
        <v>7</v>
      </c>
      <c r="O154" s="28" t="s">
        <v>13</v>
      </c>
      <c r="P154"/>
    </row>
    <row r="155" spans="1:16" x14ac:dyDescent="0.35">
      <c r="A155" s="4">
        <v>152</v>
      </c>
      <c r="B155" s="17">
        <v>46053.38958333333</v>
      </c>
      <c r="C155" s="1">
        <v>83020.87</v>
      </c>
      <c r="D155" s="20">
        <v>83021.22</v>
      </c>
      <c r="E155" s="20">
        <v>82965.39</v>
      </c>
      <c r="F155" s="1">
        <v>82999.600000000006</v>
      </c>
      <c r="G155" s="18">
        <v>224</v>
      </c>
      <c r="I155" s="21">
        <v>46053.38958333333</v>
      </c>
      <c r="J155" s="26"/>
      <c r="K155" s="26"/>
      <c r="L155" s="27">
        <v>83165.771179999996</v>
      </c>
      <c r="M155" s="27">
        <v>82933.740000000005</v>
      </c>
      <c r="N155" s="28" t="s">
        <v>7</v>
      </c>
      <c r="O155" s="28" t="s">
        <v>13</v>
      </c>
      <c r="P155"/>
    </row>
    <row r="156" spans="1:16" x14ac:dyDescent="0.35">
      <c r="A156" s="4">
        <v>153</v>
      </c>
      <c r="B156" s="17">
        <v>46053.390277777777</v>
      </c>
      <c r="C156" s="1">
        <v>82999.490000000005</v>
      </c>
      <c r="D156" s="20">
        <v>82999.490000000005</v>
      </c>
      <c r="E156" s="20">
        <v>82944.28</v>
      </c>
      <c r="F156" s="1">
        <v>82963.63</v>
      </c>
      <c r="G156" s="18">
        <v>186</v>
      </c>
      <c r="I156" s="21">
        <v>46053.390277777777</v>
      </c>
      <c r="J156" s="26"/>
      <c r="K156" s="26"/>
      <c r="L156" s="27">
        <v>83172.306469999996</v>
      </c>
      <c r="M156" s="27">
        <v>82914.793999999994</v>
      </c>
      <c r="N156" s="28" t="s">
        <v>7</v>
      </c>
      <c r="O156" s="28" t="s">
        <v>13</v>
      </c>
      <c r="P156"/>
    </row>
    <row r="157" spans="1:16" x14ac:dyDescent="0.35">
      <c r="A157" s="4">
        <v>154</v>
      </c>
      <c r="B157" s="17">
        <v>46053.390972222223</v>
      </c>
      <c r="C157" s="1">
        <v>82963.649999999994</v>
      </c>
      <c r="D157" s="20">
        <v>82975.350000000006</v>
      </c>
      <c r="E157" s="20">
        <v>82905.81</v>
      </c>
      <c r="F157" s="1">
        <v>82928.03</v>
      </c>
      <c r="G157" s="18">
        <v>162</v>
      </c>
      <c r="I157" s="21">
        <v>46053.390972222223</v>
      </c>
      <c r="J157" s="26"/>
      <c r="K157" s="26"/>
      <c r="L157" s="27">
        <v>83178.841759999996</v>
      </c>
      <c r="M157" s="27">
        <v>82895.847999999998</v>
      </c>
      <c r="N157" s="28" t="s">
        <v>7</v>
      </c>
      <c r="O157" s="28" t="s">
        <v>13</v>
      </c>
      <c r="P157"/>
    </row>
    <row r="158" spans="1:16" x14ac:dyDescent="0.35">
      <c r="A158" s="4">
        <v>155</v>
      </c>
      <c r="B158" s="17">
        <v>46053.39166666667</v>
      </c>
      <c r="C158" s="1">
        <v>82928.02</v>
      </c>
      <c r="D158" s="20">
        <v>82929.81</v>
      </c>
      <c r="E158" s="20">
        <v>82855.070000000007</v>
      </c>
      <c r="F158" s="1">
        <v>82859.570000000007</v>
      </c>
      <c r="G158" s="18">
        <v>195</v>
      </c>
      <c r="I158" s="21">
        <v>46053.39166666667</v>
      </c>
      <c r="J158" s="26"/>
      <c r="K158" s="26"/>
      <c r="L158" s="27">
        <v>83185.377059999999</v>
      </c>
      <c r="M158" s="27">
        <v>82876.902000000002</v>
      </c>
      <c r="N158" s="28" t="s">
        <v>7</v>
      </c>
      <c r="O158" s="28" t="s">
        <v>13</v>
      </c>
      <c r="P158"/>
    </row>
    <row r="159" spans="1:16" x14ac:dyDescent="0.35">
      <c r="A159" s="4">
        <v>156</v>
      </c>
      <c r="B159" s="17">
        <v>46053.392361111109</v>
      </c>
      <c r="C159" s="1">
        <v>82859.56</v>
      </c>
      <c r="D159" s="20">
        <v>82886.759999999995</v>
      </c>
      <c r="E159" s="20">
        <v>82855.67</v>
      </c>
      <c r="F159" s="1">
        <v>82886.679999999993</v>
      </c>
      <c r="G159" s="18">
        <v>191</v>
      </c>
      <c r="I159" s="21">
        <v>46053.392361111109</v>
      </c>
      <c r="J159" s="26"/>
      <c r="K159" s="26"/>
      <c r="L159" s="27">
        <v>83191.912349999999</v>
      </c>
      <c r="M159" s="27">
        <v>82857.956000000006</v>
      </c>
      <c r="N159" s="28" t="s">
        <v>7</v>
      </c>
      <c r="O159" s="28" t="s">
        <v>13</v>
      </c>
      <c r="P159"/>
    </row>
    <row r="160" spans="1:16" x14ac:dyDescent="0.35">
      <c r="A160" s="4">
        <v>157</v>
      </c>
      <c r="B160" s="17">
        <v>46053.393055555556</v>
      </c>
      <c r="C160" s="1">
        <v>82885.84</v>
      </c>
      <c r="D160" s="20">
        <v>82887</v>
      </c>
      <c r="E160" s="20">
        <v>82839.009999999995</v>
      </c>
      <c r="F160" s="1">
        <v>82886.83</v>
      </c>
      <c r="G160" s="18">
        <v>180</v>
      </c>
      <c r="I160" s="21">
        <v>46053.393055555556</v>
      </c>
      <c r="J160" s="26"/>
      <c r="K160" s="26">
        <v>82839.009999999995</v>
      </c>
      <c r="L160" s="27">
        <v>83198.447650000002</v>
      </c>
      <c r="M160" s="27">
        <v>82839.009999999995</v>
      </c>
      <c r="N160" s="28" t="s">
        <v>7</v>
      </c>
      <c r="O160" s="28" t="s">
        <v>13</v>
      </c>
      <c r="P160"/>
    </row>
    <row r="161" spans="1:16" x14ac:dyDescent="0.35">
      <c r="A161" s="4">
        <v>158</v>
      </c>
      <c r="B161" s="17">
        <v>46053.393750000003</v>
      </c>
      <c r="C161" s="1">
        <v>82886.83</v>
      </c>
      <c r="D161" s="20">
        <v>82909.509999999995</v>
      </c>
      <c r="E161" s="20">
        <v>82886.83</v>
      </c>
      <c r="F161" s="1">
        <v>82904.03</v>
      </c>
      <c r="G161" s="18">
        <v>153</v>
      </c>
      <c r="I161" s="21">
        <v>46053.393750000003</v>
      </c>
      <c r="J161" s="26"/>
      <c r="K161" s="26"/>
      <c r="L161" s="27">
        <v>83204.982940000002</v>
      </c>
      <c r="M161" s="27">
        <v>82864.68273</v>
      </c>
      <c r="N161" s="28" t="s">
        <v>7</v>
      </c>
      <c r="O161" s="28" t="s">
        <v>8</v>
      </c>
      <c r="P161"/>
    </row>
    <row r="162" spans="1:16" x14ac:dyDescent="0.35">
      <c r="A162" s="4">
        <v>159</v>
      </c>
      <c r="B162" s="17">
        <v>46053.394444444442</v>
      </c>
      <c r="C162" s="1">
        <v>82903.98</v>
      </c>
      <c r="D162" s="20">
        <v>82929.84</v>
      </c>
      <c r="E162" s="20">
        <v>82903.98</v>
      </c>
      <c r="F162" s="1">
        <v>82922.5</v>
      </c>
      <c r="G162" s="18">
        <v>143</v>
      </c>
      <c r="I162" s="21">
        <v>46053.394444444442</v>
      </c>
      <c r="J162" s="26"/>
      <c r="K162" s="26"/>
      <c r="L162" s="27">
        <v>83211.518240000005</v>
      </c>
      <c r="M162" s="27">
        <v>82890.355450000003</v>
      </c>
      <c r="N162" s="28" t="s">
        <v>7</v>
      </c>
      <c r="O162" s="28" t="s">
        <v>8</v>
      </c>
      <c r="P162"/>
    </row>
    <row r="163" spans="1:16" x14ac:dyDescent="0.35">
      <c r="A163" s="4">
        <v>160</v>
      </c>
      <c r="B163" s="17">
        <v>46053.395138888889</v>
      </c>
      <c r="C163" s="1">
        <v>82923.7</v>
      </c>
      <c r="D163" s="20">
        <v>82998.42</v>
      </c>
      <c r="E163" s="20">
        <v>82923.7</v>
      </c>
      <c r="F163" s="1">
        <v>82987.710000000006</v>
      </c>
      <c r="G163" s="18">
        <v>179</v>
      </c>
      <c r="I163" s="21">
        <v>46053.395138888889</v>
      </c>
      <c r="J163" s="26"/>
      <c r="K163" s="26"/>
      <c r="L163" s="27">
        <v>83218.053530000005</v>
      </c>
      <c r="M163" s="27">
        <v>82916.028179999994</v>
      </c>
      <c r="N163" s="28" t="s">
        <v>7</v>
      </c>
      <c r="O163" s="28" t="s">
        <v>8</v>
      </c>
      <c r="P163"/>
    </row>
    <row r="164" spans="1:16" x14ac:dyDescent="0.35">
      <c r="A164" s="4">
        <v>161</v>
      </c>
      <c r="B164" s="17">
        <v>46053.395833333336</v>
      </c>
      <c r="C164" s="1">
        <v>82978.929999999993</v>
      </c>
      <c r="D164" s="20">
        <v>83034.66</v>
      </c>
      <c r="E164" s="20">
        <v>82978.929999999993</v>
      </c>
      <c r="F164" s="1">
        <v>83025.8</v>
      </c>
      <c r="G164" s="18">
        <v>204</v>
      </c>
      <c r="I164" s="21">
        <v>46053.395833333336</v>
      </c>
      <c r="J164" s="26"/>
      <c r="K164" s="26"/>
      <c r="L164" s="27">
        <v>83224.588820000004</v>
      </c>
      <c r="M164" s="27">
        <v>82941.70091</v>
      </c>
      <c r="N164" s="28" t="s">
        <v>7</v>
      </c>
      <c r="O164" s="28" t="s">
        <v>8</v>
      </c>
      <c r="P164"/>
    </row>
    <row r="165" spans="1:16" x14ac:dyDescent="0.35">
      <c r="A165" s="4">
        <v>162</v>
      </c>
      <c r="B165" s="17">
        <v>46053.396527777775</v>
      </c>
      <c r="C165" s="1">
        <v>83025.73</v>
      </c>
      <c r="D165" s="20">
        <v>83144.5</v>
      </c>
      <c r="E165" s="20">
        <v>83025.73</v>
      </c>
      <c r="F165" s="1">
        <v>83098.84</v>
      </c>
      <c r="G165" s="18">
        <v>224</v>
      </c>
      <c r="I165" s="21">
        <v>46053.396527777775</v>
      </c>
      <c r="J165" s="26"/>
      <c r="K165" s="26"/>
      <c r="L165" s="27">
        <v>83231.124119999993</v>
      </c>
      <c r="M165" s="27">
        <v>82967.373640000005</v>
      </c>
      <c r="N165" s="28" t="s">
        <v>7</v>
      </c>
      <c r="O165" s="28" t="s">
        <v>8</v>
      </c>
      <c r="P165"/>
    </row>
    <row r="166" spans="1:16" x14ac:dyDescent="0.35">
      <c r="A166" s="4">
        <v>163</v>
      </c>
      <c r="B166" s="17">
        <v>46053.397222222222</v>
      </c>
      <c r="C166" s="1">
        <v>83097.38</v>
      </c>
      <c r="D166" s="20">
        <v>83166.33</v>
      </c>
      <c r="E166" s="20">
        <v>83097.36</v>
      </c>
      <c r="F166" s="1">
        <v>83164.36</v>
      </c>
      <c r="G166" s="18">
        <v>187</v>
      </c>
      <c r="I166" s="21">
        <v>46053.397222222222</v>
      </c>
      <c r="J166" s="26"/>
      <c r="K166" s="26"/>
      <c r="L166" s="27">
        <v>83237.659409999993</v>
      </c>
      <c r="M166" s="27">
        <v>82993.046359999993</v>
      </c>
      <c r="N166" s="28" t="s">
        <v>7</v>
      </c>
      <c r="O166" s="28" t="s">
        <v>8</v>
      </c>
      <c r="P166"/>
    </row>
    <row r="167" spans="1:16" x14ac:dyDescent="0.35">
      <c r="A167" s="4">
        <v>164</v>
      </c>
      <c r="B167" s="17">
        <v>46053.397916666669</v>
      </c>
      <c r="C167" s="1">
        <v>83164.41</v>
      </c>
      <c r="D167" s="20">
        <v>83177.03</v>
      </c>
      <c r="E167" s="20">
        <v>83133.2</v>
      </c>
      <c r="F167" s="1">
        <v>83164.59</v>
      </c>
      <c r="G167" s="18">
        <v>200</v>
      </c>
      <c r="I167" s="21">
        <v>46053.397916666669</v>
      </c>
      <c r="J167" s="26"/>
      <c r="K167" s="26"/>
      <c r="L167" s="27">
        <v>83244.194709999996</v>
      </c>
      <c r="M167" s="27">
        <v>83018.719089999999</v>
      </c>
      <c r="N167" s="28" t="s">
        <v>7</v>
      </c>
      <c r="O167" s="28" t="s">
        <v>8</v>
      </c>
      <c r="P167"/>
    </row>
    <row r="168" spans="1:16" x14ac:dyDescent="0.35">
      <c r="A168" s="4">
        <v>165</v>
      </c>
      <c r="B168" s="17">
        <v>46053.398611111108</v>
      </c>
      <c r="C168" s="1">
        <v>83167.210000000006</v>
      </c>
      <c r="D168" s="20">
        <v>83250.73</v>
      </c>
      <c r="E168" s="20">
        <v>83167.210000000006</v>
      </c>
      <c r="F168" s="1">
        <v>83191.05</v>
      </c>
      <c r="G168" s="18">
        <v>256</v>
      </c>
      <c r="I168" s="21">
        <v>46053.398611111108</v>
      </c>
      <c r="J168" s="26">
        <v>83250.73</v>
      </c>
      <c r="K168" s="26"/>
      <c r="L168" s="27">
        <v>83250.73</v>
      </c>
      <c r="M168" s="27">
        <v>83044.391820000004</v>
      </c>
      <c r="N168" s="28" t="s">
        <v>7</v>
      </c>
      <c r="O168" s="28" t="s">
        <v>8</v>
      </c>
      <c r="P168"/>
    </row>
    <row r="169" spans="1:16" x14ac:dyDescent="0.35">
      <c r="A169" s="4">
        <v>166</v>
      </c>
      <c r="B169" s="17">
        <v>46053.399305555555</v>
      </c>
      <c r="C169" s="1">
        <v>83194.64</v>
      </c>
      <c r="D169" s="20">
        <v>83250.37</v>
      </c>
      <c r="E169" s="20">
        <v>83181.41</v>
      </c>
      <c r="F169" s="1">
        <v>83250.37</v>
      </c>
      <c r="G169" s="18">
        <v>232</v>
      </c>
      <c r="I169" s="21">
        <v>46053.399305555555</v>
      </c>
      <c r="J169" s="26"/>
      <c r="K169" s="26"/>
      <c r="L169" s="27">
        <v>83247.716669999994</v>
      </c>
      <c r="M169" s="27">
        <v>83070.064549999996</v>
      </c>
      <c r="N169" s="28" t="s">
        <v>6</v>
      </c>
      <c r="O169" s="28" t="s">
        <v>8</v>
      </c>
      <c r="P169"/>
    </row>
    <row r="170" spans="1:16" x14ac:dyDescent="0.35">
      <c r="A170" s="4">
        <v>167</v>
      </c>
      <c r="B170" s="17">
        <v>46053.4</v>
      </c>
      <c r="C170" s="1">
        <v>83250.36</v>
      </c>
      <c r="D170" s="20">
        <v>83250.36</v>
      </c>
      <c r="E170" s="20">
        <v>83189.53</v>
      </c>
      <c r="F170" s="1">
        <v>83201.119999999995</v>
      </c>
      <c r="G170" s="18">
        <v>203</v>
      </c>
      <c r="I170" s="21">
        <v>46053.4</v>
      </c>
      <c r="J170" s="26"/>
      <c r="K170" s="26"/>
      <c r="L170" s="27">
        <v>83244.703330000004</v>
      </c>
      <c r="M170" s="27">
        <v>83095.737269999998</v>
      </c>
      <c r="N170" s="28" t="s">
        <v>6</v>
      </c>
      <c r="O170" s="28" t="s">
        <v>8</v>
      </c>
      <c r="P170"/>
    </row>
    <row r="171" spans="1:16" x14ac:dyDescent="0.35">
      <c r="A171" s="4">
        <v>168</v>
      </c>
      <c r="B171" s="17">
        <v>46053.400694444441</v>
      </c>
      <c r="C171" s="1">
        <v>83201.119999999995</v>
      </c>
      <c r="D171" s="20">
        <v>83201.119999999995</v>
      </c>
      <c r="E171" s="20">
        <v>83121.41</v>
      </c>
      <c r="F171" s="1">
        <v>83140.5</v>
      </c>
      <c r="G171" s="18">
        <v>183</v>
      </c>
      <c r="I171" s="21">
        <v>46053.400694444441</v>
      </c>
      <c r="J171" s="26"/>
      <c r="K171" s="26">
        <v>83121.41</v>
      </c>
      <c r="L171" s="27">
        <v>83241.69</v>
      </c>
      <c r="M171" s="27">
        <v>83121.41</v>
      </c>
      <c r="N171" s="28" t="s">
        <v>6</v>
      </c>
      <c r="O171" s="28" t="s">
        <v>8</v>
      </c>
      <c r="P171"/>
    </row>
    <row r="172" spans="1:16" x14ac:dyDescent="0.35">
      <c r="A172" s="4">
        <v>169</v>
      </c>
      <c r="B172" s="17">
        <v>46053.401388888888</v>
      </c>
      <c r="C172" s="1">
        <v>83140.5</v>
      </c>
      <c r="D172" s="20">
        <v>83188.81</v>
      </c>
      <c r="E172" s="20">
        <v>83128.47</v>
      </c>
      <c r="F172" s="1">
        <v>83142.05</v>
      </c>
      <c r="G172" s="18">
        <v>191</v>
      </c>
      <c r="I172" s="21">
        <v>46053.401388888888</v>
      </c>
      <c r="J172" s="26"/>
      <c r="K172" s="26"/>
      <c r="L172" s="27">
        <v>83238.676670000001</v>
      </c>
      <c r="M172" s="27">
        <v>83116.018330000006</v>
      </c>
      <c r="N172" s="28" t="s">
        <v>6</v>
      </c>
      <c r="O172" s="28" t="s">
        <v>13</v>
      </c>
      <c r="P172"/>
    </row>
    <row r="173" spans="1:16" x14ac:dyDescent="0.35">
      <c r="A173" s="4">
        <v>170</v>
      </c>
      <c r="B173" s="17">
        <v>46053.402083333334</v>
      </c>
      <c r="C173" s="1">
        <v>83142.05</v>
      </c>
      <c r="D173" s="20">
        <v>83189.490000000005</v>
      </c>
      <c r="E173" s="20">
        <v>83142.05</v>
      </c>
      <c r="F173" s="1">
        <v>83156.37</v>
      </c>
      <c r="G173" s="18">
        <v>196</v>
      </c>
      <c r="I173" s="21">
        <v>46053.402083333334</v>
      </c>
      <c r="J173" s="26"/>
      <c r="K173" s="26"/>
      <c r="L173" s="27">
        <v>83235.663329999996</v>
      </c>
      <c r="M173" s="27">
        <v>83110.626669999998</v>
      </c>
      <c r="N173" s="28" t="s">
        <v>6</v>
      </c>
      <c r="O173" s="28" t="s">
        <v>13</v>
      </c>
      <c r="P173"/>
    </row>
    <row r="174" spans="1:16" x14ac:dyDescent="0.35">
      <c r="A174" s="4">
        <v>171</v>
      </c>
      <c r="B174" s="17">
        <v>46053.402777777781</v>
      </c>
      <c r="C174" s="1">
        <v>83156.41</v>
      </c>
      <c r="D174" s="20">
        <v>83190.399999999994</v>
      </c>
      <c r="E174" s="20">
        <v>83156.41</v>
      </c>
      <c r="F174" s="1">
        <v>83189.210000000006</v>
      </c>
      <c r="G174" s="18">
        <v>146</v>
      </c>
      <c r="I174" s="21">
        <v>46053.402777777781</v>
      </c>
      <c r="J174" s="26"/>
      <c r="K174" s="26"/>
      <c r="L174" s="27">
        <v>83232.649999999994</v>
      </c>
      <c r="M174" s="27">
        <v>83105.235000000001</v>
      </c>
      <c r="N174" s="28" t="s">
        <v>6</v>
      </c>
      <c r="O174" s="28" t="s">
        <v>13</v>
      </c>
      <c r="P174"/>
    </row>
    <row r="175" spans="1:16" x14ac:dyDescent="0.35">
      <c r="A175" s="4">
        <v>172</v>
      </c>
      <c r="B175" s="17">
        <v>46053.40347222222</v>
      </c>
      <c r="C175" s="1">
        <v>83189.23</v>
      </c>
      <c r="D175" s="20">
        <v>83193.7</v>
      </c>
      <c r="E175" s="20">
        <v>83182.429999999993</v>
      </c>
      <c r="F175" s="1">
        <v>83193.7</v>
      </c>
      <c r="G175" s="18">
        <v>119</v>
      </c>
      <c r="I175" s="21">
        <v>46053.40347222222</v>
      </c>
      <c r="J175" s="26"/>
      <c r="K175" s="26"/>
      <c r="L175" s="27">
        <v>83229.636670000007</v>
      </c>
      <c r="M175" s="27">
        <v>83099.843330000003</v>
      </c>
      <c r="N175" s="28" t="s">
        <v>6</v>
      </c>
      <c r="O175" s="28" t="s">
        <v>13</v>
      </c>
      <c r="P175"/>
    </row>
    <row r="176" spans="1:16" x14ac:dyDescent="0.35">
      <c r="A176" s="4">
        <v>173</v>
      </c>
      <c r="B176" s="17">
        <v>46053.404166666667</v>
      </c>
      <c r="C176" s="1">
        <v>83193.7</v>
      </c>
      <c r="D176" s="20">
        <v>83209.100000000006</v>
      </c>
      <c r="E176" s="20">
        <v>83170.509999999995</v>
      </c>
      <c r="F176" s="1">
        <v>83198.55</v>
      </c>
      <c r="G176" s="18">
        <v>146</v>
      </c>
      <c r="I176" s="21">
        <v>46053.404166666667</v>
      </c>
      <c r="J176" s="26"/>
      <c r="K176" s="26"/>
      <c r="L176" s="27">
        <v>83226.623330000002</v>
      </c>
      <c r="M176" s="27">
        <v>83094.451669999995</v>
      </c>
      <c r="N176" s="28" t="s">
        <v>6</v>
      </c>
      <c r="O176" s="28" t="s">
        <v>13</v>
      </c>
      <c r="P176"/>
    </row>
    <row r="177" spans="1:16" x14ac:dyDescent="0.35">
      <c r="A177" s="4">
        <v>174</v>
      </c>
      <c r="B177" s="17">
        <v>46053.404861111114</v>
      </c>
      <c r="C177" s="1">
        <v>83198.240000000005</v>
      </c>
      <c r="D177" s="20">
        <v>83223.61</v>
      </c>
      <c r="E177" s="20">
        <v>83178.23</v>
      </c>
      <c r="F177" s="1">
        <v>83178.929999999993</v>
      </c>
      <c r="G177" s="18">
        <v>142</v>
      </c>
      <c r="I177" s="21">
        <v>46053.404861111114</v>
      </c>
      <c r="J177" s="26">
        <v>83223.61</v>
      </c>
      <c r="K177" s="26"/>
      <c r="L177" s="27">
        <v>83223.61</v>
      </c>
      <c r="M177" s="27">
        <v>83089.06</v>
      </c>
      <c r="N177" s="28" t="s">
        <v>6</v>
      </c>
      <c r="O177" s="28" t="s">
        <v>13</v>
      </c>
      <c r="P177"/>
    </row>
    <row r="178" spans="1:16" x14ac:dyDescent="0.35">
      <c r="A178" s="4">
        <v>175</v>
      </c>
      <c r="B178" s="17">
        <v>46053.405555555553</v>
      </c>
      <c r="C178" s="1">
        <v>83178.429999999993</v>
      </c>
      <c r="D178" s="20">
        <v>83185.899999999994</v>
      </c>
      <c r="E178" s="20">
        <v>83155.3</v>
      </c>
      <c r="F178" s="1">
        <v>83165.289999999994</v>
      </c>
      <c r="G178" s="18">
        <v>159</v>
      </c>
      <c r="I178" s="21">
        <v>46053.405555555553</v>
      </c>
      <c r="J178" s="26"/>
      <c r="K178" s="26"/>
      <c r="L178" s="27">
        <v>83216.055710000001</v>
      </c>
      <c r="M178" s="27">
        <v>83083.66833</v>
      </c>
      <c r="N178" s="28" t="s">
        <v>6</v>
      </c>
      <c r="O178" s="28" t="s">
        <v>13</v>
      </c>
      <c r="P178"/>
    </row>
    <row r="179" spans="1:16" x14ac:dyDescent="0.35">
      <c r="A179" s="4">
        <v>176</v>
      </c>
      <c r="B179" s="17">
        <v>46053.40625</v>
      </c>
      <c r="C179" s="1">
        <v>83173.7</v>
      </c>
      <c r="D179" s="20">
        <v>83185.279999999999</v>
      </c>
      <c r="E179" s="20">
        <v>83131.92</v>
      </c>
      <c r="F179" s="1">
        <v>83142.990000000005</v>
      </c>
      <c r="G179" s="18">
        <v>154</v>
      </c>
      <c r="I179" s="21">
        <v>46053.40625</v>
      </c>
      <c r="J179" s="26"/>
      <c r="K179" s="26"/>
      <c r="L179" s="27">
        <v>83208.501430000004</v>
      </c>
      <c r="M179" s="27">
        <v>83078.276670000007</v>
      </c>
      <c r="N179" s="28" t="s">
        <v>6</v>
      </c>
      <c r="O179" s="28" t="s">
        <v>13</v>
      </c>
      <c r="P179"/>
    </row>
    <row r="180" spans="1:16" x14ac:dyDescent="0.35">
      <c r="A180" s="4">
        <v>177</v>
      </c>
      <c r="B180" s="17">
        <v>46053.406944444447</v>
      </c>
      <c r="C180" s="1">
        <v>83142.990000000005</v>
      </c>
      <c r="D180" s="20">
        <v>83170.149999999994</v>
      </c>
      <c r="E180" s="20">
        <v>83142.990000000005</v>
      </c>
      <c r="F180" s="1">
        <v>83159.8</v>
      </c>
      <c r="G180" s="18">
        <v>109</v>
      </c>
      <c r="I180" s="21">
        <v>46053.406944444447</v>
      </c>
      <c r="J180" s="26"/>
      <c r="K180" s="26"/>
      <c r="L180" s="27">
        <v>83200.947140000004</v>
      </c>
      <c r="M180" s="27">
        <v>83072.884999999995</v>
      </c>
      <c r="N180" s="28" t="s">
        <v>6</v>
      </c>
      <c r="O180" s="28" t="s">
        <v>13</v>
      </c>
      <c r="P180"/>
    </row>
    <row r="181" spans="1:16" x14ac:dyDescent="0.35">
      <c r="A181" s="4">
        <v>178</v>
      </c>
      <c r="B181" s="17">
        <v>46053.407638888886</v>
      </c>
      <c r="C181" s="1">
        <v>83159.789999999994</v>
      </c>
      <c r="D181" s="20">
        <v>83159.8</v>
      </c>
      <c r="E181" s="20">
        <v>83082.19</v>
      </c>
      <c r="F181" s="1">
        <v>83099.31</v>
      </c>
      <c r="G181" s="18">
        <v>130</v>
      </c>
      <c r="I181" s="21">
        <v>46053.407638888886</v>
      </c>
      <c r="J181" s="26"/>
      <c r="K181" s="26"/>
      <c r="L181" s="27">
        <v>83193.392860000007</v>
      </c>
      <c r="M181" s="27">
        <v>83067.493329999998</v>
      </c>
      <c r="N181" s="28" t="s">
        <v>6</v>
      </c>
      <c r="O181" s="28" t="s">
        <v>13</v>
      </c>
      <c r="P181"/>
    </row>
    <row r="182" spans="1:16" x14ac:dyDescent="0.35">
      <c r="A182" s="4">
        <v>179</v>
      </c>
      <c r="B182" s="17">
        <v>46053.408333333333</v>
      </c>
      <c r="C182" s="1">
        <v>83099.34</v>
      </c>
      <c r="D182" s="20">
        <v>83119.990000000005</v>
      </c>
      <c r="E182" s="20">
        <v>83079.570000000007</v>
      </c>
      <c r="F182" s="1">
        <v>83088.600000000006</v>
      </c>
      <c r="G182" s="18">
        <v>158</v>
      </c>
      <c r="I182" s="21">
        <v>46053.408333333333</v>
      </c>
      <c r="J182" s="26"/>
      <c r="K182" s="26"/>
      <c r="L182" s="27">
        <v>83185.838570000007</v>
      </c>
      <c r="M182" s="27">
        <v>83062.101670000004</v>
      </c>
      <c r="N182" s="28" t="s">
        <v>6</v>
      </c>
      <c r="O182" s="28" t="s">
        <v>13</v>
      </c>
      <c r="P182"/>
    </row>
    <row r="183" spans="1:16" x14ac:dyDescent="0.35">
      <c r="A183" s="4">
        <v>180</v>
      </c>
      <c r="B183" s="17">
        <v>46053.40902777778</v>
      </c>
      <c r="C183" s="1">
        <v>83088.5</v>
      </c>
      <c r="D183" s="20">
        <v>83088.5</v>
      </c>
      <c r="E183" s="20">
        <v>83056.710000000006</v>
      </c>
      <c r="F183" s="1">
        <v>83070.81</v>
      </c>
      <c r="G183" s="18">
        <v>138</v>
      </c>
      <c r="I183" s="21">
        <v>46053.40902777778</v>
      </c>
      <c r="J183" s="26"/>
      <c r="K183" s="26">
        <v>83056.710000000006</v>
      </c>
      <c r="L183" s="27">
        <v>83178.284289999996</v>
      </c>
      <c r="M183" s="27">
        <v>83056.710000000006</v>
      </c>
      <c r="N183" s="28" t="s">
        <v>6</v>
      </c>
      <c r="O183" s="28" t="s">
        <v>13</v>
      </c>
      <c r="P183"/>
    </row>
    <row r="184" spans="1:16" x14ac:dyDescent="0.35">
      <c r="A184" s="4">
        <v>181</v>
      </c>
      <c r="B184" s="17">
        <v>46053.409722222219</v>
      </c>
      <c r="C184" s="1">
        <v>83070.81</v>
      </c>
      <c r="D184" s="20">
        <v>83170.73</v>
      </c>
      <c r="E184" s="20">
        <v>83069.13</v>
      </c>
      <c r="F184" s="1">
        <v>83109.25</v>
      </c>
      <c r="G184" s="18">
        <v>199</v>
      </c>
      <c r="I184" s="21">
        <v>46053.409722222219</v>
      </c>
      <c r="J184" s="26">
        <v>83170.73</v>
      </c>
      <c r="K184" s="26"/>
      <c r="L184" s="27">
        <v>83170.73</v>
      </c>
      <c r="M184" s="27">
        <v>83053.53</v>
      </c>
      <c r="N184" s="28" t="s">
        <v>6</v>
      </c>
      <c r="O184" s="28" t="s">
        <v>13</v>
      </c>
      <c r="P184"/>
    </row>
    <row r="185" spans="1:16" x14ac:dyDescent="0.35">
      <c r="A185" s="4">
        <v>182</v>
      </c>
      <c r="B185" s="17">
        <v>46053.410416666666</v>
      </c>
      <c r="C185" s="1">
        <v>83092.5</v>
      </c>
      <c r="D185" s="20">
        <v>83097.399999999994</v>
      </c>
      <c r="E185" s="20">
        <v>83069.05</v>
      </c>
      <c r="F185" s="1">
        <v>83079.62</v>
      </c>
      <c r="G185" s="18">
        <v>193</v>
      </c>
      <c r="I185" s="21">
        <v>46053.410416666666</v>
      </c>
      <c r="J185" s="26"/>
      <c r="K185" s="26"/>
      <c r="L185" s="27">
        <v>83165.651670000007</v>
      </c>
      <c r="M185" s="27">
        <v>83050.350000000006</v>
      </c>
      <c r="N185" s="28" t="s">
        <v>6</v>
      </c>
      <c r="O185" s="28" t="s">
        <v>13</v>
      </c>
      <c r="P185"/>
    </row>
    <row r="186" spans="1:16" x14ac:dyDescent="0.35">
      <c r="A186" s="4">
        <v>183</v>
      </c>
      <c r="B186" s="17">
        <v>46053.411111111112</v>
      </c>
      <c r="C186" s="1">
        <v>83079.62</v>
      </c>
      <c r="D186" s="20">
        <v>83079.62</v>
      </c>
      <c r="E186" s="20">
        <v>83045.17</v>
      </c>
      <c r="F186" s="1">
        <v>83067.240000000005</v>
      </c>
      <c r="G186" s="18">
        <v>153</v>
      </c>
      <c r="I186" s="21">
        <v>46053.411111111112</v>
      </c>
      <c r="J186" s="26"/>
      <c r="K186" s="26"/>
      <c r="L186" s="27">
        <v>83160.573329999999</v>
      </c>
      <c r="M186" s="27">
        <v>83047.17</v>
      </c>
      <c r="N186" s="28" t="s">
        <v>6</v>
      </c>
      <c r="O186" s="28" t="s">
        <v>13</v>
      </c>
      <c r="P186"/>
    </row>
    <row r="187" spans="1:16" x14ac:dyDescent="0.35">
      <c r="A187" s="4">
        <v>184</v>
      </c>
      <c r="B187" s="17">
        <v>46053.411805555559</v>
      </c>
      <c r="C187" s="1">
        <v>83066.67</v>
      </c>
      <c r="D187" s="20">
        <v>83101.5</v>
      </c>
      <c r="E187" s="20">
        <v>83059.25</v>
      </c>
      <c r="F187" s="1">
        <v>83060.56</v>
      </c>
      <c r="G187" s="18">
        <v>130</v>
      </c>
      <c r="I187" s="21">
        <v>46053.411805555559</v>
      </c>
      <c r="J187" s="26"/>
      <c r="K187" s="26"/>
      <c r="L187" s="27">
        <v>83155.494999999995</v>
      </c>
      <c r="M187" s="27">
        <v>83043.990000000005</v>
      </c>
      <c r="N187" s="28" t="s">
        <v>6</v>
      </c>
      <c r="O187" s="28" t="s">
        <v>13</v>
      </c>
      <c r="P187"/>
    </row>
    <row r="188" spans="1:16" x14ac:dyDescent="0.35">
      <c r="A188" s="4">
        <v>185</v>
      </c>
      <c r="B188" s="17">
        <v>46053.412499999999</v>
      </c>
      <c r="C188" s="1">
        <v>83060.56</v>
      </c>
      <c r="D188" s="20">
        <v>83102.899999999994</v>
      </c>
      <c r="E188" s="20">
        <v>83040.81</v>
      </c>
      <c r="F188" s="1">
        <v>83102.720000000001</v>
      </c>
      <c r="G188" s="18">
        <v>120</v>
      </c>
      <c r="I188" s="21">
        <v>46053.412499999999</v>
      </c>
      <c r="J188" s="26"/>
      <c r="K188" s="26">
        <v>83040.81</v>
      </c>
      <c r="L188" s="27">
        <v>83150.416670000006</v>
      </c>
      <c r="M188" s="27">
        <v>83040.81</v>
      </c>
      <c r="N188" s="28" t="s">
        <v>6</v>
      </c>
      <c r="O188" s="28" t="s">
        <v>13</v>
      </c>
      <c r="P188"/>
    </row>
    <row r="189" spans="1:16" x14ac:dyDescent="0.35">
      <c r="A189" s="4">
        <v>186</v>
      </c>
      <c r="B189" s="17">
        <v>46053.413194444445</v>
      </c>
      <c r="C189" s="1">
        <v>83102.720000000001</v>
      </c>
      <c r="D189" s="20">
        <v>83131.5</v>
      </c>
      <c r="E189" s="20">
        <v>83102.720000000001</v>
      </c>
      <c r="F189" s="1">
        <v>83131.5</v>
      </c>
      <c r="G189" s="18">
        <v>147</v>
      </c>
      <c r="I189" s="21">
        <v>46053.413194444445</v>
      </c>
      <c r="J189" s="26"/>
      <c r="K189" s="26"/>
      <c r="L189" s="27">
        <v>83145.338329999999</v>
      </c>
      <c r="M189" s="27">
        <v>83040.712</v>
      </c>
      <c r="N189" s="28" t="s">
        <v>6</v>
      </c>
      <c r="O189" s="28" t="s">
        <v>13</v>
      </c>
      <c r="P189"/>
    </row>
    <row r="190" spans="1:16" x14ac:dyDescent="0.35">
      <c r="A190" s="4">
        <v>187</v>
      </c>
      <c r="B190" s="17">
        <v>46053.413888888892</v>
      </c>
      <c r="C190" s="1">
        <v>83135.399999999994</v>
      </c>
      <c r="D190" s="20">
        <v>83140.259999999995</v>
      </c>
      <c r="E190" s="20">
        <v>83120.5</v>
      </c>
      <c r="F190" s="1">
        <v>83120.73</v>
      </c>
      <c r="G190" s="18">
        <v>62</v>
      </c>
      <c r="I190" s="21">
        <v>46053.413888888892</v>
      </c>
      <c r="J190" s="26">
        <v>83140.259999999995</v>
      </c>
      <c r="K190" s="26"/>
      <c r="L190" s="27">
        <v>83140.259999999995</v>
      </c>
      <c r="M190" s="27">
        <v>83040.614000000001</v>
      </c>
      <c r="N190" s="28" t="s">
        <v>6</v>
      </c>
      <c r="O190" s="28" t="s">
        <v>13</v>
      </c>
      <c r="P190"/>
    </row>
    <row r="191" spans="1:16" x14ac:dyDescent="0.35">
      <c r="A191" s="4">
        <v>188</v>
      </c>
      <c r="B191" s="17">
        <v>46053.414583333331</v>
      </c>
      <c r="C191" s="1">
        <v>83121.02</v>
      </c>
      <c r="D191" s="20">
        <v>83133.95</v>
      </c>
      <c r="E191" s="20">
        <v>83107.91</v>
      </c>
      <c r="F191" s="1">
        <v>83123.289999999994</v>
      </c>
      <c r="G191" s="18">
        <v>137</v>
      </c>
      <c r="I191" s="21">
        <v>46053.414583333331</v>
      </c>
      <c r="J191" s="26"/>
      <c r="K191" s="26"/>
      <c r="L191" s="27">
        <v>83136.678</v>
      </c>
      <c r="M191" s="27">
        <v>83040.516000000003</v>
      </c>
      <c r="N191" s="28" t="s">
        <v>6</v>
      </c>
      <c r="O191" s="28" t="s">
        <v>13</v>
      </c>
      <c r="P191"/>
    </row>
    <row r="192" spans="1:16" x14ac:dyDescent="0.35">
      <c r="A192" s="4">
        <v>189</v>
      </c>
      <c r="B192" s="17">
        <v>46053.415277777778</v>
      </c>
      <c r="C192" s="1">
        <v>83115.98</v>
      </c>
      <c r="D192" s="20">
        <v>83125.009999999995</v>
      </c>
      <c r="E192" s="20">
        <v>83074.87</v>
      </c>
      <c r="F192" s="1">
        <v>83074.98</v>
      </c>
      <c r="G192" s="18">
        <v>154</v>
      </c>
      <c r="I192" s="21">
        <v>46053.415277777778</v>
      </c>
      <c r="J192" s="26"/>
      <c r="K192" s="26"/>
      <c r="L192" s="27">
        <v>83133.096000000005</v>
      </c>
      <c r="M192" s="27">
        <v>83040.418000000005</v>
      </c>
      <c r="N192" s="28" t="s">
        <v>6</v>
      </c>
      <c r="O192" s="28" t="s">
        <v>13</v>
      </c>
      <c r="P192"/>
    </row>
    <row r="193" spans="1:16" x14ac:dyDescent="0.35">
      <c r="A193" s="4">
        <v>190</v>
      </c>
      <c r="B193" s="17">
        <v>46053.415972222225</v>
      </c>
      <c r="C193" s="1">
        <v>83074.91</v>
      </c>
      <c r="D193" s="20">
        <v>83076.89</v>
      </c>
      <c r="E193" s="20">
        <v>83040.320000000007</v>
      </c>
      <c r="F193" s="1">
        <v>83065.710000000006</v>
      </c>
      <c r="G193" s="18">
        <v>115</v>
      </c>
      <c r="I193" s="21">
        <v>46053.415972222225</v>
      </c>
      <c r="J193" s="26"/>
      <c r="K193" s="26">
        <v>83040.320000000007</v>
      </c>
      <c r="L193" s="27">
        <v>83129.513999999996</v>
      </c>
      <c r="M193" s="27">
        <v>83040.320000000007</v>
      </c>
      <c r="N193" s="28" t="s">
        <v>6</v>
      </c>
      <c r="O193" s="28" t="s">
        <v>13</v>
      </c>
      <c r="P193"/>
    </row>
    <row r="194" spans="1:16" x14ac:dyDescent="0.35">
      <c r="A194" s="4">
        <v>191</v>
      </c>
      <c r="B194" s="17">
        <v>46053.416666666664</v>
      </c>
      <c r="C194" s="1">
        <v>83065.710000000006</v>
      </c>
      <c r="D194" s="20">
        <v>83095.73</v>
      </c>
      <c r="E194" s="20">
        <v>83050.63</v>
      </c>
      <c r="F194" s="1">
        <v>83095.63</v>
      </c>
      <c r="G194" s="18">
        <v>145</v>
      </c>
      <c r="I194" s="21">
        <v>46053.416666666664</v>
      </c>
      <c r="J194" s="26"/>
      <c r="K194" s="26"/>
      <c r="L194" s="27">
        <v>83125.932000000001</v>
      </c>
      <c r="M194" s="27">
        <v>83031.918000000005</v>
      </c>
      <c r="N194" s="28" t="s">
        <v>6</v>
      </c>
      <c r="O194" s="28" t="s">
        <v>13</v>
      </c>
      <c r="P194"/>
    </row>
    <row r="195" spans="1:16" x14ac:dyDescent="0.35">
      <c r="A195" s="4">
        <v>192</v>
      </c>
      <c r="B195" s="17">
        <v>46053.417361111111</v>
      </c>
      <c r="C195" s="1">
        <v>83095.62</v>
      </c>
      <c r="D195" s="20">
        <v>83122.350000000006</v>
      </c>
      <c r="E195" s="20">
        <v>83079.179999999993</v>
      </c>
      <c r="F195" s="1">
        <v>83079.97</v>
      </c>
      <c r="G195" s="18">
        <v>141</v>
      </c>
      <c r="I195" s="21">
        <v>46053.417361111111</v>
      </c>
      <c r="J195" s="26">
        <v>83122.350000000006</v>
      </c>
      <c r="K195" s="26"/>
      <c r="L195" s="27">
        <v>83122.350000000006</v>
      </c>
      <c r="M195" s="27">
        <v>83023.516000000003</v>
      </c>
      <c r="N195" s="28" t="s">
        <v>6</v>
      </c>
      <c r="O195" s="28" t="s">
        <v>13</v>
      </c>
      <c r="P195"/>
    </row>
    <row r="196" spans="1:16" x14ac:dyDescent="0.35">
      <c r="A196" s="4">
        <v>193</v>
      </c>
      <c r="B196" s="17">
        <v>46053.418055555558</v>
      </c>
      <c r="C196" s="1">
        <v>83079.81</v>
      </c>
      <c r="D196" s="20">
        <v>83093.52</v>
      </c>
      <c r="E196" s="20">
        <v>83067.149999999994</v>
      </c>
      <c r="F196" s="1">
        <v>83079.94</v>
      </c>
      <c r="G196" s="18">
        <v>171</v>
      </c>
      <c r="I196" s="21">
        <v>46053.418055555558</v>
      </c>
      <c r="J196" s="26"/>
      <c r="K196" s="26"/>
      <c r="L196" s="27">
        <v>83111.565000000002</v>
      </c>
      <c r="M196" s="27">
        <v>83015.114000000001</v>
      </c>
      <c r="N196" s="28" t="s">
        <v>6</v>
      </c>
      <c r="O196" s="28" t="s">
        <v>13</v>
      </c>
      <c r="P196"/>
    </row>
    <row r="197" spans="1:16" x14ac:dyDescent="0.35">
      <c r="A197" s="4">
        <v>194</v>
      </c>
      <c r="B197" s="17">
        <v>46053.418749999997</v>
      </c>
      <c r="C197" s="1">
        <v>83079.95</v>
      </c>
      <c r="D197" s="20">
        <v>83089.36</v>
      </c>
      <c r="E197" s="20">
        <v>83050.42</v>
      </c>
      <c r="F197" s="1">
        <v>83059.759999999995</v>
      </c>
      <c r="G197" s="18">
        <v>159</v>
      </c>
      <c r="I197" s="21">
        <v>46053.418749999997</v>
      </c>
      <c r="J197" s="26"/>
      <c r="K197" s="26"/>
      <c r="L197" s="27">
        <v>83100.78</v>
      </c>
      <c r="M197" s="27">
        <v>83006.712</v>
      </c>
      <c r="N197" s="28" t="s">
        <v>6</v>
      </c>
      <c r="O197" s="28" t="s">
        <v>13</v>
      </c>
      <c r="P197"/>
    </row>
    <row r="198" spans="1:16" x14ac:dyDescent="0.35">
      <c r="A198" s="4">
        <v>195</v>
      </c>
      <c r="B198" s="17">
        <v>46053.419444444444</v>
      </c>
      <c r="C198" s="1">
        <v>83058.509999999995</v>
      </c>
      <c r="D198" s="20">
        <v>83058.75</v>
      </c>
      <c r="E198" s="20">
        <v>82998.31</v>
      </c>
      <c r="F198" s="1">
        <v>83036.75</v>
      </c>
      <c r="G198" s="18">
        <v>168</v>
      </c>
      <c r="I198" s="21">
        <v>46053.419444444444</v>
      </c>
      <c r="J198" s="26"/>
      <c r="K198" s="26">
        <v>82998.31</v>
      </c>
      <c r="L198" s="27">
        <v>83089.994999999995</v>
      </c>
      <c r="M198" s="27">
        <v>82998.31</v>
      </c>
      <c r="N198" s="28" t="s">
        <v>6</v>
      </c>
      <c r="O198" s="28" t="s">
        <v>13</v>
      </c>
      <c r="P198"/>
    </row>
    <row r="199" spans="1:16" x14ac:dyDescent="0.35">
      <c r="A199" s="4">
        <v>196</v>
      </c>
      <c r="B199" s="17">
        <v>46053.420138888891</v>
      </c>
      <c r="C199" s="1">
        <v>83036.75</v>
      </c>
      <c r="D199" s="20">
        <v>83071.399999999994</v>
      </c>
      <c r="E199" s="20">
        <v>83036.75</v>
      </c>
      <c r="F199" s="1">
        <v>83049.740000000005</v>
      </c>
      <c r="G199" s="18">
        <v>175</v>
      </c>
      <c r="I199" s="21">
        <v>46053.420138888891</v>
      </c>
      <c r="J199" s="26"/>
      <c r="K199" s="26"/>
      <c r="L199" s="27">
        <v>83079.210000000006</v>
      </c>
      <c r="M199" s="27">
        <v>82981.554000000004</v>
      </c>
      <c r="N199" s="28" t="s">
        <v>6</v>
      </c>
      <c r="O199" s="28" t="s">
        <v>13</v>
      </c>
      <c r="P199"/>
    </row>
    <row r="200" spans="1:16" x14ac:dyDescent="0.35">
      <c r="A200" s="4">
        <v>197</v>
      </c>
      <c r="B200" s="17">
        <v>46053.42083333333</v>
      </c>
      <c r="C200" s="1">
        <v>83049.740000000005</v>
      </c>
      <c r="D200" s="20">
        <v>83063.520000000004</v>
      </c>
      <c r="E200" s="20">
        <v>83033.45</v>
      </c>
      <c r="F200" s="1">
        <v>83059.92</v>
      </c>
      <c r="G200" s="18">
        <v>141</v>
      </c>
      <c r="I200" s="21">
        <v>46053.42083333333</v>
      </c>
      <c r="J200" s="26"/>
      <c r="K200" s="26"/>
      <c r="L200" s="27">
        <v>83068.425000000003</v>
      </c>
      <c r="M200" s="27">
        <v>82964.797999999995</v>
      </c>
      <c r="N200" s="28" t="s">
        <v>6</v>
      </c>
      <c r="O200" s="28" t="s">
        <v>13</v>
      </c>
      <c r="P200"/>
    </row>
    <row r="201" spans="1:16" x14ac:dyDescent="0.35">
      <c r="A201" s="4">
        <v>198</v>
      </c>
      <c r="B201" s="17">
        <v>46053.421527777777</v>
      </c>
      <c r="C201" s="1">
        <v>83053.440000000002</v>
      </c>
      <c r="D201" s="20">
        <v>83055.34</v>
      </c>
      <c r="E201" s="20">
        <v>82998.320000000007</v>
      </c>
      <c r="F201" s="1">
        <v>82998.320000000007</v>
      </c>
      <c r="G201" s="18">
        <v>144</v>
      </c>
      <c r="I201" s="21">
        <v>46053.421527777777</v>
      </c>
      <c r="J201" s="26"/>
      <c r="K201" s="26"/>
      <c r="L201" s="27">
        <v>83057.64</v>
      </c>
      <c r="M201" s="27">
        <v>82948.042000000001</v>
      </c>
      <c r="N201" s="28" t="s">
        <v>6</v>
      </c>
      <c r="O201" s="28" t="s">
        <v>13</v>
      </c>
      <c r="P201"/>
    </row>
    <row r="202" spans="1:16" x14ac:dyDescent="0.35">
      <c r="A202" s="4">
        <v>199</v>
      </c>
      <c r="B202" s="17">
        <v>46053.422222222223</v>
      </c>
      <c r="C202" s="1">
        <v>82997.87</v>
      </c>
      <c r="D202" s="20">
        <v>82998.070000000007</v>
      </c>
      <c r="E202" s="20">
        <v>82931.3</v>
      </c>
      <c r="F202" s="1">
        <v>82942.009999999995</v>
      </c>
      <c r="G202" s="18">
        <v>177</v>
      </c>
      <c r="I202" s="21">
        <v>46053.422222222223</v>
      </c>
      <c r="J202" s="26"/>
      <c r="K202" s="26"/>
      <c r="L202" s="27">
        <v>83046.854999999996</v>
      </c>
      <c r="M202" s="27">
        <v>82931.285999999993</v>
      </c>
      <c r="N202" s="28" t="s">
        <v>6</v>
      </c>
      <c r="O202" s="28" t="s">
        <v>13</v>
      </c>
      <c r="P202"/>
    </row>
    <row r="203" spans="1:16" x14ac:dyDescent="0.35">
      <c r="A203" s="4">
        <v>200</v>
      </c>
      <c r="B203" s="17">
        <v>46053.42291666667</v>
      </c>
      <c r="C203" s="1">
        <v>82942.55</v>
      </c>
      <c r="D203" s="20">
        <v>82950.210000000006</v>
      </c>
      <c r="E203" s="20">
        <v>82914.53</v>
      </c>
      <c r="F203" s="1">
        <v>82942.2</v>
      </c>
      <c r="G203" s="18">
        <v>154</v>
      </c>
      <c r="I203" s="21">
        <v>46053.42291666667</v>
      </c>
      <c r="J203" s="26"/>
      <c r="K203" s="26">
        <v>82914.53</v>
      </c>
      <c r="L203" s="27">
        <v>83036.070000000007</v>
      </c>
      <c r="M203" s="27">
        <v>82914.53</v>
      </c>
      <c r="N203" s="28" t="s">
        <v>6</v>
      </c>
      <c r="O203" s="28" t="s">
        <v>13</v>
      </c>
      <c r="P203"/>
    </row>
    <row r="204" spans="1:16" x14ac:dyDescent="0.35">
      <c r="A204" s="4">
        <v>201</v>
      </c>
      <c r="B204" s="17">
        <v>46053.423611111109</v>
      </c>
      <c r="C204" s="1">
        <v>82942.25</v>
      </c>
      <c r="D204" s="20">
        <v>82981.960000000006</v>
      </c>
      <c r="E204" s="20">
        <v>82941.279999999999</v>
      </c>
      <c r="F204" s="1">
        <v>82974.929999999993</v>
      </c>
      <c r="G204" s="18">
        <v>187</v>
      </c>
      <c r="I204" s="21">
        <v>46053.423611111109</v>
      </c>
      <c r="J204" s="26"/>
      <c r="K204" s="26"/>
      <c r="L204" s="27">
        <v>83025.285000000003</v>
      </c>
      <c r="M204" s="27">
        <v>82910.078999999998</v>
      </c>
      <c r="N204" s="28" t="s">
        <v>6</v>
      </c>
      <c r="O204" s="28" t="s">
        <v>13</v>
      </c>
      <c r="P204"/>
    </row>
    <row r="205" spans="1:16" x14ac:dyDescent="0.35">
      <c r="A205" s="4">
        <v>202</v>
      </c>
      <c r="B205" s="17">
        <v>46053.424305555556</v>
      </c>
      <c r="C205" s="1">
        <v>82974.92</v>
      </c>
      <c r="D205" s="20">
        <v>83014.5</v>
      </c>
      <c r="E205" s="20">
        <v>82972.7</v>
      </c>
      <c r="F205" s="1">
        <v>83014.41</v>
      </c>
      <c r="G205" s="18">
        <v>114</v>
      </c>
      <c r="I205" s="21">
        <v>46053.424305555556</v>
      </c>
      <c r="J205" s="26">
        <v>83014.5</v>
      </c>
      <c r="K205" s="26"/>
      <c r="L205" s="27">
        <v>83014.5</v>
      </c>
      <c r="M205" s="27">
        <v>82905.627999999997</v>
      </c>
      <c r="N205" s="28" t="s">
        <v>6</v>
      </c>
      <c r="O205" s="28" t="s">
        <v>13</v>
      </c>
      <c r="P205"/>
    </row>
    <row r="206" spans="1:16" x14ac:dyDescent="0.35">
      <c r="A206" s="4">
        <v>203</v>
      </c>
      <c r="B206" s="17">
        <v>46053.425000000003</v>
      </c>
      <c r="C206" s="1">
        <v>83014.41</v>
      </c>
      <c r="D206" s="20">
        <v>83014.41</v>
      </c>
      <c r="E206" s="20">
        <v>82953.69</v>
      </c>
      <c r="F206" s="1">
        <v>82981.990000000005</v>
      </c>
      <c r="G206" s="18">
        <v>150</v>
      </c>
      <c r="I206" s="21">
        <v>46053.425000000003</v>
      </c>
      <c r="J206" s="26"/>
      <c r="K206" s="26"/>
      <c r="L206" s="27">
        <v>83008.942859999996</v>
      </c>
      <c r="M206" s="27">
        <v>82901.176999999996</v>
      </c>
      <c r="N206" s="28" t="s">
        <v>6</v>
      </c>
      <c r="O206" s="28" t="s">
        <v>13</v>
      </c>
      <c r="P206"/>
    </row>
    <row r="207" spans="1:16" x14ac:dyDescent="0.35">
      <c r="A207" s="4">
        <v>204</v>
      </c>
      <c r="B207" s="17">
        <v>46053.425694444442</v>
      </c>
      <c r="C207" s="1">
        <v>82982.820000000007</v>
      </c>
      <c r="D207" s="20">
        <v>82992.22</v>
      </c>
      <c r="E207" s="20">
        <v>82957.66</v>
      </c>
      <c r="F207" s="1">
        <v>82957.67</v>
      </c>
      <c r="G207" s="18">
        <v>45</v>
      </c>
      <c r="I207" s="21">
        <v>46053.425694444442</v>
      </c>
      <c r="J207" s="26"/>
      <c r="K207" s="26"/>
      <c r="L207" s="27">
        <v>83003.385710000002</v>
      </c>
      <c r="M207" s="27">
        <v>82896.725999999995</v>
      </c>
      <c r="N207" s="28" t="s">
        <v>6</v>
      </c>
      <c r="O207" s="28" t="s">
        <v>13</v>
      </c>
      <c r="P207"/>
    </row>
    <row r="208" spans="1:16" x14ac:dyDescent="0.35">
      <c r="A208" s="4">
        <v>205</v>
      </c>
      <c r="B208" s="17">
        <v>46053.426388888889</v>
      </c>
      <c r="C208" s="1">
        <v>82957.66</v>
      </c>
      <c r="D208" s="20">
        <v>82967.100000000006</v>
      </c>
      <c r="E208" s="20">
        <v>82950.490000000005</v>
      </c>
      <c r="F208" s="1">
        <v>82950.490000000005</v>
      </c>
      <c r="G208" s="18">
        <v>110</v>
      </c>
      <c r="I208" s="21">
        <v>46053.426388888889</v>
      </c>
      <c r="J208" s="26"/>
      <c r="K208" s="26"/>
      <c r="L208" s="27">
        <v>82997.828569999998</v>
      </c>
      <c r="M208" s="27">
        <v>82892.274999999994</v>
      </c>
      <c r="N208" s="28" t="s">
        <v>6</v>
      </c>
      <c r="O208" s="28" t="s">
        <v>13</v>
      </c>
      <c r="P208"/>
    </row>
    <row r="209" spans="1:16" x14ac:dyDescent="0.35">
      <c r="A209" s="4">
        <v>206</v>
      </c>
      <c r="B209" s="17">
        <v>46053.427083333336</v>
      </c>
      <c r="C209" s="1">
        <v>82950.490000000005</v>
      </c>
      <c r="D209" s="20">
        <v>82971.94</v>
      </c>
      <c r="E209" s="20">
        <v>82950.27</v>
      </c>
      <c r="F209" s="1">
        <v>82971.75</v>
      </c>
      <c r="G209" s="18">
        <v>148</v>
      </c>
      <c r="I209" s="21">
        <v>46053.427083333336</v>
      </c>
      <c r="J209" s="26"/>
      <c r="K209" s="26"/>
      <c r="L209" s="27">
        <v>82992.271429999993</v>
      </c>
      <c r="M209" s="27">
        <v>82887.823999999993</v>
      </c>
      <c r="N209" s="28" t="s">
        <v>6</v>
      </c>
      <c r="O209" s="28" t="s">
        <v>13</v>
      </c>
      <c r="P209"/>
    </row>
    <row r="210" spans="1:16" x14ac:dyDescent="0.35">
      <c r="A210" s="4">
        <v>207</v>
      </c>
      <c r="B210" s="17">
        <v>46053.427777777775</v>
      </c>
      <c r="C210" s="1">
        <v>82971.62</v>
      </c>
      <c r="D210" s="20">
        <v>82971.62</v>
      </c>
      <c r="E210" s="20">
        <v>82950.039999999994</v>
      </c>
      <c r="F210" s="1">
        <v>82950.37</v>
      </c>
      <c r="G210" s="18">
        <v>124</v>
      </c>
      <c r="I210" s="21">
        <v>46053.427777777775</v>
      </c>
      <c r="J210" s="26"/>
      <c r="K210" s="26"/>
      <c r="L210" s="27">
        <v>82986.714290000004</v>
      </c>
      <c r="M210" s="27">
        <v>82883.373000000007</v>
      </c>
      <c r="N210" s="28" t="s">
        <v>6</v>
      </c>
      <c r="O210" s="28" t="s">
        <v>13</v>
      </c>
      <c r="P210"/>
    </row>
    <row r="211" spans="1:16" x14ac:dyDescent="0.35">
      <c r="A211" s="4">
        <v>208</v>
      </c>
      <c r="B211" s="17">
        <v>46053.428472222222</v>
      </c>
      <c r="C211" s="1">
        <v>82950.37</v>
      </c>
      <c r="D211" s="20">
        <v>82959.399999999994</v>
      </c>
      <c r="E211" s="20">
        <v>82890.09</v>
      </c>
      <c r="F211" s="1">
        <v>82959.399999999994</v>
      </c>
      <c r="G211" s="18">
        <v>145</v>
      </c>
      <c r="I211" s="21">
        <v>46053.428472222222</v>
      </c>
      <c r="J211" s="26"/>
      <c r="K211" s="26"/>
      <c r="L211" s="27">
        <v>82981.157139999996</v>
      </c>
      <c r="M211" s="27">
        <v>82878.922000000006</v>
      </c>
      <c r="N211" s="28" t="s">
        <v>6</v>
      </c>
      <c r="O211" s="28" t="s">
        <v>13</v>
      </c>
      <c r="P211"/>
    </row>
    <row r="212" spans="1:16" x14ac:dyDescent="0.35">
      <c r="A212" s="4">
        <v>209</v>
      </c>
      <c r="B212" s="17">
        <v>46053.429166666669</v>
      </c>
      <c r="C212" s="1">
        <v>82959.399999999994</v>
      </c>
      <c r="D212" s="20">
        <v>82975.600000000006</v>
      </c>
      <c r="E212" s="20">
        <v>82870.5</v>
      </c>
      <c r="F212" s="1">
        <v>82881.64</v>
      </c>
      <c r="G212" s="18">
        <v>197</v>
      </c>
      <c r="I212" s="21">
        <v>46053.429166666669</v>
      </c>
      <c r="J212" s="26">
        <v>82975.600000000006</v>
      </c>
      <c r="K212" s="26"/>
      <c r="L212" s="27">
        <v>82975.600000000006</v>
      </c>
      <c r="M212" s="27">
        <v>82874.471000000005</v>
      </c>
      <c r="N212" s="28" t="s">
        <v>6</v>
      </c>
      <c r="O212" s="28" t="s">
        <v>13</v>
      </c>
      <c r="P212"/>
    </row>
    <row r="213" spans="1:16" x14ac:dyDescent="0.35">
      <c r="A213" s="4">
        <v>210</v>
      </c>
      <c r="B213" s="17">
        <v>46053.429861111108</v>
      </c>
      <c r="C213" s="1">
        <v>82877.16</v>
      </c>
      <c r="D213" s="20">
        <v>82939.14</v>
      </c>
      <c r="E213" s="20">
        <v>82870.02</v>
      </c>
      <c r="F213" s="1">
        <v>82899.899999999994</v>
      </c>
      <c r="G213" s="18">
        <v>172</v>
      </c>
      <c r="I213" s="21">
        <v>46053.429861111108</v>
      </c>
      <c r="J213" s="26"/>
      <c r="K213" s="26">
        <v>82870.02</v>
      </c>
      <c r="L213" s="27">
        <v>82987.546000000002</v>
      </c>
      <c r="M213" s="27">
        <v>82870.02</v>
      </c>
      <c r="N213" s="28" t="s">
        <v>7</v>
      </c>
      <c r="O213" s="28" t="s">
        <v>13</v>
      </c>
      <c r="P213"/>
    </row>
    <row r="214" spans="1:16" x14ac:dyDescent="0.35">
      <c r="A214" s="4">
        <v>211</v>
      </c>
      <c r="B214" s="17">
        <v>46053.430555555555</v>
      </c>
      <c r="C214" s="1">
        <v>82908.759999999995</v>
      </c>
      <c r="D214" s="20">
        <v>82956</v>
      </c>
      <c r="E214" s="20">
        <v>82908.75</v>
      </c>
      <c r="F214" s="1">
        <v>82940.97</v>
      </c>
      <c r="G214" s="18">
        <v>184</v>
      </c>
      <c r="I214" s="21">
        <v>46053.430555555555</v>
      </c>
      <c r="J214" s="26"/>
      <c r="K214" s="26"/>
      <c r="L214" s="27">
        <v>82999.491999999998</v>
      </c>
      <c r="M214" s="27">
        <v>82884.148000000001</v>
      </c>
      <c r="N214" s="28" t="s">
        <v>7</v>
      </c>
      <c r="O214" s="28" t="s">
        <v>8</v>
      </c>
      <c r="P214"/>
    </row>
    <row r="215" spans="1:16" x14ac:dyDescent="0.35">
      <c r="A215" s="4">
        <v>212</v>
      </c>
      <c r="B215" s="17">
        <v>46053.431250000001</v>
      </c>
      <c r="C215" s="1">
        <v>82940.990000000005</v>
      </c>
      <c r="D215" s="20">
        <v>82988.3</v>
      </c>
      <c r="E215" s="20">
        <v>82940.990000000005</v>
      </c>
      <c r="F215" s="1">
        <v>82978.36</v>
      </c>
      <c r="G215" s="18">
        <v>132</v>
      </c>
      <c r="I215" s="21">
        <v>46053.431250000001</v>
      </c>
      <c r="J215" s="26"/>
      <c r="K215" s="26"/>
      <c r="L215" s="27">
        <v>83011.437999999995</v>
      </c>
      <c r="M215" s="27">
        <v>82898.275999999998</v>
      </c>
      <c r="N215" s="28" t="s">
        <v>7</v>
      </c>
      <c r="O215" s="28" t="s">
        <v>8</v>
      </c>
      <c r="P215"/>
    </row>
    <row r="216" spans="1:16" x14ac:dyDescent="0.35">
      <c r="A216" s="4">
        <v>213</v>
      </c>
      <c r="B216" s="17">
        <v>46053.431944444441</v>
      </c>
      <c r="C216" s="1">
        <v>82976.41</v>
      </c>
      <c r="D216" s="20">
        <v>82976.41</v>
      </c>
      <c r="E216" s="20">
        <v>82961.179999999993</v>
      </c>
      <c r="F216" s="1">
        <v>82961.740000000005</v>
      </c>
      <c r="G216" s="18">
        <v>103</v>
      </c>
      <c r="I216" s="21">
        <v>46053.431944444441</v>
      </c>
      <c r="J216" s="26"/>
      <c r="K216" s="26"/>
      <c r="L216" s="27">
        <v>83023.384000000005</v>
      </c>
      <c r="M216" s="27">
        <v>82912.403999999995</v>
      </c>
      <c r="N216" s="28" t="s">
        <v>7</v>
      </c>
      <c r="O216" s="28" t="s">
        <v>8</v>
      </c>
      <c r="P216"/>
    </row>
    <row r="217" spans="1:16" x14ac:dyDescent="0.35">
      <c r="A217" s="4">
        <v>214</v>
      </c>
      <c r="B217" s="17">
        <v>46053.432638888888</v>
      </c>
      <c r="C217" s="1">
        <v>82966</v>
      </c>
      <c r="D217" s="20">
        <v>83035.33</v>
      </c>
      <c r="E217" s="20">
        <v>82966</v>
      </c>
      <c r="F217" s="1">
        <v>82982.38</v>
      </c>
      <c r="G217" s="18">
        <v>191</v>
      </c>
      <c r="I217" s="21">
        <v>46053.432638888888</v>
      </c>
      <c r="J217" s="26">
        <v>83035.33</v>
      </c>
      <c r="K217" s="26"/>
      <c r="L217" s="27">
        <v>83035.33</v>
      </c>
      <c r="M217" s="27">
        <v>82926.532000000007</v>
      </c>
      <c r="N217" s="28" t="s">
        <v>7</v>
      </c>
      <c r="O217" s="28" t="s">
        <v>8</v>
      </c>
      <c r="P217"/>
    </row>
    <row r="218" spans="1:16" x14ac:dyDescent="0.35">
      <c r="A218" s="4">
        <v>215</v>
      </c>
      <c r="B218" s="17">
        <v>46053.433333333334</v>
      </c>
      <c r="C218" s="1">
        <v>82982.509999999995</v>
      </c>
      <c r="D218" s="20">
        <v>82982.61</v>
      </c>
      <c r="E218" s="20">
        <v>82940.66</v>
      </c>
      <c r="F218" s="1">
        <v>82941.05</v>
      </c>
      <c r="G218" s="18">
        <v>121</v>
      </c>
      <c r="I218" s="21">
        <v>46053.433333333334</v>
      </c>
      <c r="J218" s="26"/>
      <c r="K218" s="26">
        <v>82940.66</v>
      </c>
      <c r="L218" s="27">
        <v>83033.353329999998</v>
      </c>
      <c r="M218" s="27">
        <v>82940.66</v>
      </c>
      <c r="N218" s="28" t="s">
        <v>6</v>
      </c>
      <c r="O218" s="28" t="s">
        <v>8</v>
      </c>
      <c r="P218"/>
    </row>
    <row r="219" spans="1:16" x14ac:dyDescent="0.35">
      <c r="A219" s="4">
        <v>216</v>
      </c>
      <c r="B219" s="17">
        <v>46053.434027777781</v>
      </c>
      <c r="C219" s="1">
        <v>82941.05</v>
      </c>
      <c r="D219" s="20">
        <v>83027.94</v>
      </c>
      <c r="E219" s="20">
        <v>82941.02</v>
      </c>
      <c r="F219" s="1">
        <v>83027.94</v>
      </c>
      <c r="G219" s="18">
        <v>131</v>
      </c>
      <c r="I219" s="21">
        <v>46053.434027777781</v>
      </c>
      <c r="J219" s="26"/>
      <c r="K219" s="26"/>
      <c r="L219" s="27">
        <v>83031.376669999998</v>
      </c>
      <c r="M219" s="27">
        <v>82948.794999999998</v>
      </c>
      <c r="N219" s="28" t="s">
        <v>6</v>
      </c>
      <c r="O219" s="28" t="s">
        <v>8</v>
      </c>
      <c r="P219"/>
    </row>
    <row r="220" spans="1:16" x14ac:dyDescent="0.35">
      <c r="A220" s="4">
        <v>217</v>
      </c>
      <c r="B220" s="17">
        <v>46053.43472222222</v>
      </c>
      <c r="C220" s="1">
        <v>83027.94</v>
      </c>
      <c r="D220" s="20">
        <v>83029.399999999994</v>
      </c>
      <c r="E220" s="20">
        <v>83000.84</v>
      </c>
      <c r="F220" s="1">
        <v>83002.179999999993</v>
      </c>
      <c r="G220" s="18">
        <v>173</v>
      </c>
      <c r="I220" s="21">
        <v>46053.43472222222</v>
      </c>
      <c r="J220" s="26">
        <v>83029.399999999994</v>
      </c>
      <c r="K220" s="26"/>
      <c r="L220" s="27">
        <v>83029.399999999994</v>
      </c>
      <c r="M220" s="27">
        <v>82956.929999999993</v>
      </c>
      <c r="N220" s="28" t="s">
        <v>6</v>
      </c>
      <c r="O220" s="28" t="s">
        <v>8</v>
      </c>
      <c r="P220"/>
    </row>
    <row r="221" spans="1:16" x14ac:dyDescent="0.35">
      <c r="A221" s="4">
        <v>218</v>
      </c>
      <c r="B221" s="17">
        <v>46053.435416666667</v>
      </c>
      <c r="C221" s="1">
        <v>82997.48</v>
      </c>
      <c r="D221" s="20">
        <v>83022.240000000005</v>
      </c>
      <c r="E221" s="20">
        <v>82994.509999999995</v>
      </c>
      <c r="F221" s="1">
        <v>83005.38</v>
      </c>
      <c r="G221" s="18">
        <v>134</v>
      </c>
      <c r="I221" s="21">
        <v>46053.435416666667</v>
      </c>
      <c r="J221" s="26"/>
      <c r="K221" s="26"/>
      <c r="L221" s="27">
        <v>83049.56667</v>
      </c>
      <c r="M221" s="27">
        <v>82965.065000000002</v>
      </c>
      <c r="N221" s="28" t="s">
        <v>7</v>
      </c>
      <c r="O221" s="28" t="s">
        <v>8</v>
      </c>
      <c r="P221"/>
    </row>
    <row r="222" spans="1:16" x14ac:dyDescent="0.35">
      <c r="A222" s="4">
        <v>219</v>
      </c>
      <c r="B222" s="17">
        <v>46053.436111111114</v>
      </c>
      <c r="C222" s="1">
        <v>83005.429999999993</v>
      </c>
      <c r="D222" s="20">
        <v>83016.98</v>
      </c>
      <c r="E222" s="20">
        <v>83005.429999999993</v>
      </c>
      <c r="F222" s="1">
        <v>83007.77</v>
      </c>
      <c r="G222" s="18">
        <v>89</v>
      </c>
      <c r="I222" s="21">
        <v>46053.436111111114</v>
      </c>
      <c r="J222" s="26"/>
      <c r="K222" s="26"/>
      <c r="L222" s="27">
        <v>83069.733330000003</v>
      </c>
      <c r="M222" s="27">
        <v>82973.2</v>
      </c>
      <c r="N222" s="28" t="s">
        <v>7</v>
      </c>
      <c r="O222" s="28" t="s">
        <v>8</v>
      </c>
      <c r="P222"/>
    </row>
    <row r="223" spans="1:16" x14ac:dyDescent="0.35">
      <c r="A223" s="4">
        <v>220</v>
      </c>
      <c r="B223" s="17">
        <v>46053.436805555553</v>
      </c>
      <c r="C223" s="1">
        <v>83007.759999999995</v>
      </c>
      <c r="D223" s="20">
        <v>83023.600000000006</v>
      </c>
      <c r="E223" s="20">
        <v>83003.77</v>
      </c>
      <c r="F223" s="1">
        <v>83009.83</v>
      </c>
      <c r="G223" s="18">
        <v>103</v>
      </c>
      <c r="I223" s="21">
        <v>46053.436805555553</v>
      </c>
      <c r="J223" s="26"/>
      <c r="K223" s="26"/>
      <c r="L223" s="27">
        <v>83089.899999999994</v>
      </c>
      <c r="M223" s="27">
        <v>82981.335000000006</v>
      </c>
      <c r="N223" s="28" t="s">
        <v>7</v>
      </c>
      <c r="O223" s="28" t="s">
        <v>8</v>
      </c>
      <c r="P223"/>
    </row>
    <row r="224" spans="1:16" x14ac:dyDescent="0.35">
      <c r="A224" s="4">
        <v>221</v>
      </c>
      <c r="B224" s="17">
        <v>46053.4375</v>
      </c>
      <c r="C224" s="1">
        <v>83009.83</v>
      </c>
      <c r="D224" s="20">
        <v>83056.850000000006</v>
      </c>
      <c r="E224" s="20">
        <v>82989.47</v>
      </c>
      <c r="F224" s="1">
        <v>83034.63</v>
      </c>
      <c r="G224" s="18">
        <v>173</v>
      </c>
      <c r="I224" s="21">
        <v>46053.4375</v>
      </c>
      <c r="J224" s="26"/>
      <c r="K224" s="26">
        <v>82989.47</v>
      </c>
      <c r="L224" s="27">
        <v>83110.06667</v>
      </c>
      <c r="M224" s="27">
        <v>82989.47</v>
      </c>
      <c r="N224" s="28" t="s">
        <v>7</v>
      </c>
      <c r="O224" s="28" t="s">
        <v>8</v>
      </c>
      <c r="P224"/>
    </row>
    <row r="225" spans="1:16" x14ac:dyDescent="0.35">
      <c r="A225" s="4">
        <v>222</v>
      </c>
      <c r="B225" s="17">
        <v>46053.438194444447</v>
      </c>
      <c r="C225" s="1">
        <v>83034.62</v>
      </c>
      <c r="D225" s="20">
        <v>83102.17</v>
      </c>
      <c r="E225" s="20">
        <v>83023.990000000005</v>
      </c>
      <c r="F225" s="1">
        <v>83102.17</v>
      </c>
      <c r="G225" s="18">
        <v>134</v>
      </c>
      <c r="I225" s="21">
        <v>46053.438194444447</v>
      </c>
      <c r="J225" s="26"/>
      <c r="K225" s="26"/>
      <c r="L225" s="27">
        <v>83130.233330000003</v>
      </c>
      <c r="M225" s="27">
        <v>82993.376669999998</v>
      </c>
      <c r="N225" s="28" t="s">
        <v>7</v>
      </c>
      <c r="O225" s="28" t="s">
        <v>8</v>
      </c>
      <c r="P225"/>
    </row>
    <row r="226" spans="1:16" x14ac:dyDescent="0.35">
      <c r="A226" s="4">
        <v>223</v>
      </c>
      <c r="B226" s="17">
        <v>46053.438888888886</v>
      </c>
      <c r="C226" s="1">
        <v>83105.03</v>
      </c>
      <c r="D226" s="20">
        <v>83150.399999999994</v>
      </c>
      <c r="E226" s="20">
        <v>83101.710000000006</v>
      </c>
      <c r="F226" s="1">
        <v>83149.320000000007</v>
      </c>
      <c r="G226" s="18">
        <v>146</v>
      </c>
      <c r="I226" s="21">
        <v>46053.438888888886</v>
      </c>
      <c r="J226" s="26">
        <v>83150.399999999994</v>
      </c>
      <c r="K226" s="26"/>
      <c r="L226" s="27">
        <v>83150.399999999994</v>
      </c>
      <c r="M226" s="27">
        <v>82997.283330000006</v>
      </c>
      <c r="N226" s="28" t="s">
        <v>7</v>
      </c>
      <c r="O226" s="28" t="s">
        <v>8</v>
      </c>
      <c r="P226"/>
    </row>
    <row r="227" spans="1:16" x14ac:dyDescent="0.35">
      <c r="A227" s="4">
        <v>224</v>
      </c>
      <c r="B227" s="17">
        <v>46053.439583333333</v>
      </c>
      <c r="C227" s="1">
        <v>83143.48</v>
      </c>
      <c r="D227" s="20">
        <v>83144.62</v>
      </c>
      <c r="E227" s="20">
        <v>83114.039999999994</v>
      </c>
      <c r="F227" s="1">
        <v>83114.039999999994</v>
      </c>
      <c r="G227" s="18">
        <v>137</v>
      </c>
      <c r="I227" s="21">
        <v>46053.439583333333</v>
      </c>
      <c r="J227" s="26"/>
      <c r="K227" s="26"/>
      <c r="L227" s="27">
        <v>83136.627999999997</v>
      </c>
      <c r="M227" s="27">
        <v>83001.19</v>
      </c>
      <c r="N227" s="28" t="s">
        <v>6</v>
      </c>
      <c r="O227" s="28" t="s">
        <v>8</v>
      </c>
      <c r="P227"/>
    </row>
    <row r="228" spans="1:16" x14ac:dyDescent="0.35">
      <c r="A228" s="4">
        <v>225</v>
      </c>
      <c r="B228" s="17">
        <v>46053.44027777778</v>
      </c>
      <c r="C228" s="1">
        <v>83111.710000000006</v>
      </c>
      <c r="D228" s="20">
        <v>83111.710000000006</v>
      </c>
      <c r="E228" s="20">
        <v>83055.48</v>
      </c>
      <c r="F228" s="1">
        <v>83055.48</v>
      </c>
      <c r="G228" s="18">
        <v>133</v>
      </c>
      <c r="I228" s="21">
        <v>46053.44027777778</v>
      </c>
      <c r="J228" s="26"/>
      <c r="K228" s="26"/>
      <c r="L228" s="27">
        <v>83122.856</v>
      </c>
      <c r="M228" s="27">
        <v>83005.096669999999</v>
      </c>
      <c r="N228" s="28" t="s">
        <v>6</v>
      </c>
      <c r="O228" s="28" t="s">
        <v>8</v>
      </c>
      <c r="P228"/>
    </row>
    <row r="229" spans="1:16" x14ac:dyDescent="0.35">
      <c r="A229" s="4">
        <v>226</v>
      </c>
      <c r="B229" s="17">
        <v>46053.440972222219</v>
      </c>
      <c r="C229" s="1">
        <v>83053.210000000006</v>
      </c>
      <c r="D229" s="20">
        <v>83076.2</v>
      </c>
      <c r="E229" s="20">
        <v>83018.41</v>
      </c>
      <c r="F229" s="1">
        <v>83020.070000000007</v>
      </c>
      <c r="G229" s="18">
        <v>116</v>
      </c>
      <c r="I229" s="21">
        <v>46053.440972222219</v>
      </c>
      <c r="J229" s="26"/>
      <c r="K229" s="26"/>
      <c r="L229" s="27">
        <v>83109.084000000003</v>
      </c>
      <c r="M229" s="27">
        <v>83009.003330000007</v>
      </c>
      <c r="N229" s="28" t="s">
        <v>6</v>
      </c>
      <c r="O229" s="28" t="s">
        <v>8</v>
      </c>
      <c r="P229"/>
    </row>
    <row r="230" spans="1:16" x14ac:dyDescent="0.35">
      <c r="A230" s="4">
        <v>227</v>
      </c>
      <c r="B230" s="17">
        <v>46053.441666666666</v>
      </c>
      <c r="C230" s="1">
        <v>83020.100000000006</v>
      </c>
      <c r="D230" s="20">
        <v>83074.100000000006</v>
      </c>
      <c r="E230" s="20">
        <v>83012.91</v>
      </c>
      <c r="F230" s="1">
        <v>83074.03</v>
      </c>
      <c r="G230" s="18">
        <v>104</v>
      </c>
      <c r="I230" s="21">
        <v>46053.441666666666</v>
      </c>
      <c r="J230" s="26"/>
      <c r="K230" s="26">
        <v>83012.91</v>
      </c>
      <c r="L230" s="27">
        <v>83095.312000000005</v>
      </c>
      <c r="M230" s="27">
        <v>83012.91</v>
      </c>
      <c r="N230" s="28" t="s">
        <v>6</v>
      </c>
      <c r="O230" s="28" t="s">
        <v>8</v>
      </c>
      <c r="P230"/>
    </row>
    <row r="231" spans="1:16" x14ac:dyDescent="0.35">
      <c r="A231" s="4">
        <v>228</v>
      </c>
      <c r="B231" s="17">
        <v>46053.442361111112</v>
      </c>
      <c r="C231" s="1">
        <v>83074.02</v>
      </c>
      <c r="D231" s="20">
        <v>83081.539999999994</v>
      </c>
      <c r="E231" s="20">
        <v>83046.8</v>
      </c>
      <c r="F231" s="1">
        <v>83080.75</v>
      </c>
      <c r="G231" s="18">
        <v>175</v>
      </c>
      <c r="I231" s="21">
        <v>46053.442361111112</v>
      </c>
      <c r="J231" s="26">
        <v>83081.539999999994</v>
      </c>
      <c r="K231" s="26"/>
      <c r="L231" s="27">
        <v>83081.539999999994</v>
      </c>
      <c r="M231" s="27">
        <v>83015.890830000004</v>
      </c>
      <c r="N231" s="28" t="s">
        <v>6</v>
      </c>
      <c r="O231" s="28" t="s">
        <v>8</v>
      </c>
      <c r="P231"/>
    </row>
    <row r="232" spans="1:16" x14ac:dyDescent="0.35">
      <c r="A232" s="4">
        <v>229</v>
      </c>
      <c r="B232" s="17">
        <v>46053.443055555559</v>
      </c>
      <c r="C232" s="1">
        <v>83080.88</v>
      </c>
      <c r="D232" s="20">
        <v>83081.17</v>
      </c>
      <c r="E232" s="20">
        <v>83026.100000000006</v>
      </c>
      <c r="F232" s="1">
        <v>83027.520000000004</v>
      </c>
      <c r="G232" s="18">
        <v>162</v>
      </c>
      <c r="I232" s="21">
        <v>46053.443055555559</v>
      </c>
      <c r="J232" s="26"/>
      <c r="K232" s="26"/>
      <c r="L232" s="27">
        <v>83088.22</v>
      </c>
      <c r="M232" s="27">
        <v>83018.871669999993</v>
      </c>
      <c r="N232" s="28" t="s">
        <v>7</v>
      </c>
      <c r="O232" s="28" t="s">
        <v>8</v>
      </c>
      <c r="P232"/>
    </row>
    <row r="233" spans="1:16" x14ac:dyDescent="0.35">
      <c r="A233" s="4">
        <v>230</v>
      </c>
      <c r="B233" s="17">
        <v>46053.443749999999</v>
      </c>
      <c r="C233" s="1">
        <v>83027.53</v>
      </c>
      <c r="D233" s="20">
        <v>83066.14</v>
      </c>
      <c r="E233" s="20">
        <v>83027.53</v>
      </c>
      <c r="F233" s="1">
        <v>83056.27</v>
      </c>
      <c r="G233" s="18">
        <v>116</v>
      </c>
      <c r="I233" s="21">
        <v>46053.443749999999</v>
      </c>
      <c r="J233" s="26"/>
      <c r="K233" s="26"/>
      <c r="L233" s="27">
        <v>83094.899999999994</v>
      </c>
      <c r="M233" s="27">
        <v>83021.852499999994</v>
      </c>
      <c r="N233" s="28" t="s">
        <v>7</v>
      </c>
      <c r="O233" s="28" t="s">
        <v>8</v>
      </c>
      <c r="P233"/>
    </row>
    <row r="234" spans="1:16" x14ac:dyDescent="0.35">
      <c r="A234" s="4">
        <v>231</v>
      </c>
      <c r="B234" s="17">
        <v>46053.444444444445</v>
      </c>
      <c r="C234" s="1">
        <v>83055.960000000006</v>
      </c>
      <c r="D234" s="20">
        <v>83070.27</v>
      </c>
      <c r="E234" s="20">
        <v>83049.539999999994</v>
      </c>
      <c r="F234" s="1">
        <v>83051.05</v>
      </c>
      <c r="G234" s="18">
        <v>125</v>
      </c>
      <c r="I234" s="21">
        <v>46053.444444444445</v>
      </c>
      <c r="J234" s="26"/>
      <c r="K234" s="26"/>
      <c r="L234" s="27">
        <v>83101.58</v>
      </c>
      <c r="M234" s="27">
        <v>83024.833329999994</v>
      </c>
      <c r="N234" s="28" t="s">
        <v>7</v>
      </c>
      <c r="O234" s="28" t="s">
        <v>8</v>
      </c>
      <c r="P234"/>
    </row>
    <row r="235" spans="1:16" x14ac:dyDescent="0.35">
      <c r="A235" s="4">
        <v>232</v>
      </c>
      <c r="B235" s="17">
        <v>46053.445138888892</v>
      </c>
      <c r="C235" s="1">
        <v>83050.600000000006</v>
      </c>
      <c r="D235" s="20">
        <v>83090.399999999994</v>
      </c>
      <c r="E235" s="20">
        <v>83050.600000000006</v>
      </c>
      <c r="F235" s="1">
        <v>83090.399999999994</v>
      </c>
      <c r="G235" s="18">
        <v>114</v>
      </c>
      <c r="I235" s="21">
        <v>46053.445138888892</v>
      </c>
      <c r="J235" s="26"/>
      <c r="K235" s="26"/>
      <c r="L235" s="27">
        <v>83108.259999999995</v>
      </c>
      <c r="M235" s="27">
        <v>83027.814169999998</v>
      </c>
      <c r="N235" s="28" t="s">
        <v>7</v>
      </c>
      <c r="O235" s="28" t="s">
        <v>8</v>
      </c>
      <c r="P235"/>
    </row>
    <row r="236" spans="1:16" x14ac:dyDescent="0.35">
      <c r="A236" s="4">
        <v>233</v>
      </c>
      <c r="B236" s="17">
        <v>46053.445833333331</v>
      </c>
      <c r="C236" s="1">
        <v>83090.399999999994</v>
      </c>
      <c r="D236" s="20">
        <v>83125.34</v>
      </c>
      <c r="E236" s="20">
        <v>83090.399999999994</v>
      </c>
      <c r="F236" s="1">
        <v>83099.34</v>
      </c>
      <c r="G236" s="18">
        <v>140</v>
      </c>
      <c r="I236" s="21">
        <v>46053.445833333331</v>
      </c>
      <c r="J236" s="26"/>
      <c r="K236" s="26"/>
      <c r="L236" s="27">
        <v>83114.94</v>
      </c>
      <c r="M236" s="27">
        <v>83030.794999999998</v>
      </c>
      <c r="N236" s="28" t="s">
        <v>7</v>
      </c>
      <c r="O236" s="28" t="s">
        <v>8</v>
      </c>
      <c r="P236"/>
    </row>
    <row r="237" spans="1:16" x14ac:dyDescent="0.35">
      <c r="A237" s="4">
        <v>234</v>
      </c>
      <c r="B237" s="17">
        <v>46053.446527777778</v>
      </c>
      <c r="C237" s="1">
        <v>83099.34</v>
      </c>
      <c r="D237" s="20">
        <v>83115.399999999994</v>
      </c>
      <c r="E237" s="20">
        <v>83084.429999999993</v>
      </c>
      <c r="F237" s="1">
        <v>83115.12</v>
      </c>
      <c r="G237" s="18">
        <v>142</v>
      </c>
      <c r="I237" s="21">
        <v>46053.446527777778</v>
      </c>
      <c r="J237" s="26"/>
      <c r="K237" s="26"/>
      <c r="L237" s="27">
        <v>83121.62</v>
      </c>
      <c r="M237" s="27">
        <v>83033.775829999999</v>
      </c>
      <c r="N237" s="28" t="s">
        <v>7</v>
      </c>
      <c r="O237" s="28" t="s">
        <v>8</v>
      </c>
      <c r="P237"/>
    </row>
    <row r="238" spans="1:16" x14ac:dyDescent="0.35">
      <c r="A238" s="4">
        <v>235</v>
      </c>
      <c r="B238" s="17">
        <v>46053.447222222225</v>
      </c>
      <c r="C238" s="1">
        <v>83115.12</v>
      </c>
      <c r="D238" s="20">
        <v>83128.3</v>
      </c>
      <c r="E238" s="20">
        <v>83115.03</v>
      </c>
      <c r="F238" s="1">
        <v>83128.25</v>
      </c>
      <c r="G238" s="18">
        <v>92</v>
      </c>
      <c r="I238" s="21">
        <v>46053.447222222225</v>
      </c>
      <c r="J238" s="26">
        <v>83128.3</v>
      </c>
      <c r="K238" s="26"/>
      <c r="L238" s="27">
        <v>83128.3</v>
      </c>
      <c r="M238" s="27">
        <v>83036.756670000002</v>
      </c>
      <c r="N238" s="28" t="s">
        <v>7</v>
      </c>
      <c r="O238" s="28" t="s">
        <v>8</v>
      </c>
      <c r="P238"/>
    </row>
    <row r="239" spans="1:16" x14ac:dyDescent="0.35">
      <c r="A239" s="4">
        <v>236</v>
      </c>
      <c r="B239" s="17">
        <v>46053.447916666664</v>
      </c>
      <c r="C239" s="1">
        <v>83128.23</v>
      </c>
      <c r="D239" s="20">
        <v>83128.23</v>
      </c>
      <c r="E239" s="20">
        <v>83090.5</v>
      </c>
      <c r="F239" s="1">
        <v>83090.5</v>
      </c>
      <c r="G239" s="18">
        <v>128</v>
      </c>
      <c r="I239" s="21">
        <v>46053.447916666664</v>
      </c>
      <c r="J239" s="26"/>
      <c r="K239" s="26"/>
      <c r="L239" s="27">
        <v>83123.365709999998</v>
      </c>
      <c r="M239" s="27">
        <v>83039.737500000003</v>
      </c>
      <c r="N239" s="28" t="s">
        <v>6</v>
      </c>
      <c r="O239" s="28" t="s">
        <v>8</v>
      </c>
      <c r="P239"/>
    </row>
    <row r="240" spans="1:16" x14ac:dyDescent="0.35">
      <c r="A240" s="4">
        <v>237</v>
      </c>
      <c r="B240" s="17">
        <v>46053.448611111111</v>
      </c>
      <c r="C240" s="1">
        <v>83083.429999999993</v>
      </c>
      <c r="D240" s="20">
        <v>83090.399999999994</v>
      </c>
      <c r="E240" s="20">
        <v>83077.67</v>
      </c>
      <c r="F240" s="1">
        <v>83090.399999999994</v>
      </c>
      <c r="G240" s="18">
        <v>89</v>
      </c>
      <c r="I240" s="21">
        <v>46053.448611111111</v>
      </c>
      <c r="J240" s="26"/>
      <c r="K240" s="26"/>
      <c r="L240" s="27">
        <v>83118.431429999997</v>
      </c>
      <c r="M240" s="27">
        <v>83042.718330000003</v>
      </c>
      <c r="N240" s="28" t="s">
        <v>6</v>
      </c>
      <c r="O240" s="28" t="s">
        <v>8</v>
      </c>
      <c r="P240"/>
    </row>
    <row r="241" spans="1:16" x14ac:dyDescent="0.35">
      <c r="A241" s="4">
        <v>238</v>
      </c>
      <c r="B241" s="17">
        <v>46053.449305555558</v>
      </c>
      <c r="C241" s="1">
        <v>83090.399999999994</v>
      </c>
      <c r="D241" s="20">
        <v>83115.75</v>
      </c>
      <c r="E241" s="20">
        <v>83078.679999999993</v>
      </c>
      <c r="F241" s="1">
        <v>83079.38</v>
      </c>
      <c r="G241" s="18">
        <v>149</v>
      </c>
      <c r="I241" s="21">
        <v>46053.449305555558</v>
      </c>
      <c r="J241" s="26"/>
      <c r="K241" s="26"/>
      <c r="L241" s="27">
        <v>83113.497140000007</v>
      </c>
      <c r="M241" s="27">
        <v>83045.699170000007</v>
      </c>
      <c r="N241" s="28" t="s">
        <v>6</v>
      </c>
      <c r="O241" s="28" t="s">
        <v>8</v>
      </c>
      <c r="P241"/>
    </row>
    <row r="242" spans="1:16" x14ac:dyDescent="0.35">
      <c r="A242" s="4">
        <v>239</v>
      </c>
      <c r="B242" s="17">
        <v>46053.45</v>
      </c>
      <c r="C242" s="1">
        <v>83079.45</v>
      </c>
      <c r="D242" s="20">
        <v>83079.73</v>
      </c>
      <c r="E242" s="20">
        <v>83048.679999999993</v>
      </c>
      <c r="F242" s="1">
        <v>83057.440000000002</v>
      </c>
      <c r="G242" s="18">
        <v>160</v>
      </c>
      <c r="I242" s="21">
        <v>46053.45</v>
      </c>
      <c r="J242" s="26"/>
      <c r="K242" s="26">
        <v>83048.679999999993</v>
      </c>
      <c r="L242" s="27">
        <v>83108.562860000005</v>
      </c>
      <c r="M242" s="27">
        <v>83048.679999999993</v>
      </c>
      <c r="N242" s="28" t="s">
        <v>6</v>
      </c>
      <c r="O242" s="28" t="s">
        <v>8</v>
      </c>
      <c r="P242"/>
    </row>
    <row r="243" spans="1:16" x14ac:dyDescent="0.35">
      <c r="A243" s="4">
        <v>240</v>
      </c>
      <c r="B243" s="17">
        <v>46053.450694444444</v>
      </c>
      <c r="C243" s="1">
        <v>83057.39</v>
      </c>
      <c r="D243" s="20">
        <v>83079.48</v>
      </c>
      <c r="E243" s="20">
        <v>83057.39</v>
      </c>
      <c r="F243" s="1">
        <v>83069.509999999995</v>
      </c>
      <c r="G243" s="18">
        <v>108</v>
      </c>
      <c r="I243" s="21">
        <v>46053.450694444444</v>
      </c>
      <c r="J243" s="26"/>
      <c r="K243" s="26"/>
      <c r="L243" s="27">
        <v>83103.628570000001</v>
      </c>
      <c r="M243" s="27">
        <v>83035.753330000007</v>
      </c>
      <c r="N243" s="28" t="s">
        <v>6</v>
      </c>
      <c r="O243" s="28" t="s">
        <v>13</v>
      </c>
      <c r="P243"/>
    </row>
    <row r="244" spans="1:16" x14ac:dyDescent="0.35">
      <c r="A244" s="4">
        <v>241</v>
      </c>
      <c r="B244" s="17">
        <v>46053.451388888891</v>
      </c>
      <c r="C244" s="1">
        <v>83069.53</v>
      </c>
      <c r="D244" s="20">
        <v>83093.72</v>
      </c>
      <c r="E244" s="20">
        <v>83061.350000000006</v>
      </c>
      <c r="F244" s="1">
        <v>83093.72</v>
      </c>
      <c r="G244" s="18">
        <v>104</v>
      </c>
      <c r="I244" s="21">
        <v>46053.451388888891</v>
      </c>
      <c r="J244" s="26"/>
      <c r="K244" s="26"/>
      <c r="L244" s="27">
        <v>83098.694289999999</v>
      </c>
      <c r="M244" s="27">
        <v>83022.826669999995</v>
      </c>
      <c r="N244" s="28" t="s">
        <v>6</v>
      </c>
      <c r="O244" s="28" t="s">
        <v>13</v>
      </c>
      <c r="P244"/>
    </row>
    <row r="245" spans="1:16" x14ac:dyDescent="0.35">
      <c r="A245" s="4">
        <v>242</v>
      </c>
      <c r="B245" s="17">
        <v>46053.45208333333</v>
      </c>
      <c r="C245" s="1">
        <v>83093.759999999995</v>
      </c>
      <c r="D245" s="20">
        <v>83093.759999999995</v>
      </c>
      <c r="E245" s="20">
        <v>83009.899999999994</v>
      </c>
      <c r="F245" s="1">
        <v>83016.28</v>
      </c>
      <c r="G245" s="18">
        <v>126</v>
      </c>
      <c r="I245" s="21">
        <v>46053.45208333333</v>
      </c>
      <c r="J245" s="26">
        <v>83093.759999999995</v>
      </c>
      <c r="K245" s="26">
        <v>83009.899999999994</v>
      </c>
      <c r="L245" s="27">
        <v>83093.759999999995</v>
      </c>
      <c r="M245" s="27">
        <v>83009.899999999994</v>
      </c>
      <c r="N245" s="28" t="s">
        <v>6</v>
      </c>
      <c r="O245" s="28" t="s">
        <v>13</v>
      </c>
      <c r="P245"/>
    </row>
    <row r="246" spans="1:16" x14ac:dyDescent="0.35">
      <c r="A246" s="4">
        <v>243</v>
      </c>
      <c r="B246" s="17">
        <v>46053.452777777777</v>
      </c>
      <c r="C246" s="1">
        <v>83016.149999999994</v>
      </c>
      <c r="D246" s="20">
        <v>83059.199999999997</v>
      </c>
      <c r="E246" s="20">
        <v>83016.149999999994</v>
      </c>
      <c r="F246" s="1">
        <v>83059.039999999994</v>
      </c>
      <c r="G246" s="18">
        <v>85</v>
      </c>
      <c r="I246" s="21">
        <v>46053.452777777777</v>
      </c>
      <c r="J246" s="26"/>
      <c r="K246" s="26"/>
      <c r="L246" s="27">
        <v>83106.257500000007</v>
      </c>
      <c r="M246" s="27">
        <v>83008.137270000007</v>
      </c>
      <c r="N246" s="28" t="s">
        <v>7</v>
      </c>
      <c r="O246" s="28" t="s">
        <v>13</v>
      </c>
      <c r="P246"/>
    </row>
    <row r="247" spans="1:16" x14ac:dyDescent="0.35">
      <c r="A247" s="4">
        <v>244</v>
      </c>
      <c r="B247" s="17">
        <v>46053.453472222223</v>
      </c>
      <c r="C247" s="1">
        <v>83059.05</v>
      </c>
      <c r="D247" s="20">
        <v>83074.47</v>
      </c>
      <c r="E247" s="20">
        <v>83051.33</v>
      </c>
      <c r="F247" s="1">
        <v>83074.41</v>
      </c>
      <c r="G247" s="18">
        <v>138</v>
      </c>
      <c r="I247" s="21">
        <v>46053.453472222223</v>
      </c>
      <c r="J247" s="26"/>
      <c r="K247" s="26"/>
      <c r="L247" s="27">
        <v>83118.755000000005</v>
      </c>
      <c r="M247" s="27">
        <v>83006.374549999993</v>
      </c>
      <c r="N247" s="28" t="s">
        <v>7</v>
      </c>
      <c r="O247" s="28" t="s">
        <v>13</v>
      </c>
      <c r="P247"/>
    </row>
    <row r="248" spans="1:16" x14ac:dyDescent="0.35">
      <c r="A248" s="4">
        <v>245</v>
      </c>
      <c r="B248" s="17">
        <v>46053.45416666667</v>
      </c>
      <c r="C248" s="1">
        <v>83074.47</v>
      </c>
      <c r="D248" s="20">
        <v>83121.5</v>
      </c>
      <c r="E248" s="20">
        <v>83073.98</v>
      </c>
      <c r="F248" s="1">
        <v>83121.47</v>
      </c>
      <c r="G248" s="18">
        <v>123</v>
      </c>
      <c r="I248" s="21">
        <v>46053.45416666667</v>
      </c>
      <c r="J248" s="26"/>
      <c r="K248" s="26"/>
      <c r="L248" s="27">
        <v>83131.252500000002</v>
      </c>
      <c r="M248" s="27">
        <v>83004.611820000006</v>
      </c>
      <c r="N248" s="28" t="s">
        <v>7</v>
      </c>
      <c r="O248" s="28" t="s">
        <v>13</v>
      </c>
      <c r="P248"/>
    </row>
    <row r="249" spans="1:16" x14ac:dyDescent="0.35">
      <c r="A249" s="4">
        <v>246</v>
      </c>
      <c r="B249" s="17">
        <v>46053.454861111109</v>
      </c>
      <c r="C249" s="1">
        <v>83121.460000000006</v>
      </c>
      <c r="D249" s="20">
        <v>83143.75</v>
      </c>
      <c r="E249" s="20">
        <v>83121.460000000006</v>
      </c>
      <c r="F249" s="1">
        <v>83134.73</v>
      </c>
      <c r="G249" s="18">
        <v>126</v>
      </c>
      <c r="I249" s="21">
        <v>46053.454861111109</v>
      </c>
      <c r="J249" s="26">
        <v>83143.75</v>
      </c>
      <c r="K249" s="26"/>
      <c r="L249" s="27">
        <v>83143.75</v>
      </c>
      <c r="M249" s="27">
        <v>83002.849090000003</v>
      </c>
      <c r="N249" s="28" t="s">
        <v>7</v>
      </c>
      <c r="O249" s="28" t="s">
        <v>13</v>
      </c>
      <c r="P249"/>
    </row>
    <row r="250" spans="1:16" x14ac:dyDescent="0.35">
      <c r="A250" s="4">
        <v>247</v>
      </c>
      <c r="B250" s="17">
        <v>46053.455555555556</v>
      </c>
      <c r="C250" s="1">
        <v>83134.740000000005</v>
      </c>
      <c r="D250" s="20">
        <v>83140.95</v>
      </c>
      <c r="E250" s="20">
        <v>83097.679999999993</v>
      </c>
      <c r="F250" s="1">
        <v>83109.919999999998</v>
      </c>
      <c r="G250" s="18">
        <v>116</v>
      </c>
      <c r="I250" s="21">
        <v>46053.455555555556</v>
      </c>
      <c r="J250" s="26"/>
      <c r="K250" s="26"/>
      <c r="L250" s="27">
        <v>83136.122140000007</v>
      </c>
      <c r="M250" s="27">
        <v>83001.086360000001</v>
      </c>
      <c r="N250" s="28" t="s">
        <v>6</v>
      </c>
      <c r="O250" s="28" t="s">
        <v>13</v>
      </c>
      <c r="P250"/>
    </row>
    <row r="251" spans="1:16" x14ac:dyDescent="0.35">
      <c r="A251" s="4">
        <v>248</v>
      </c>
      <c r="B251" s="17">
        <v>46053.456250000003</v>
      </c>
      <c r="C251" s="1">
        <v>83109.929999999993</v>
      </c>
      <c r="D251" s="20">
        <v>83125.100000000006</v>
      </c>
      <c r="E251" s="20">
        <v>83109.919999999998</v>
      </c>
      <c r="F251" s="1">
        <v>83123.210000000006</v>
      </c>
      <c r="G251" s="18">
        <v>81</v>
      </c>
      <c r="I251" s="21">
        <v>46053.456250000003</v>
      </c>
      <c r="J251" s="26"/>
      <c r="K251" s="26"/>
      <c r="L251" s="27">
        <v>83128.494290000002</v>
      </c>
      <c r="M251" s="27">
        <v>82999.323640000002</v>
      </c>
      <c r="N251" s="28" t="s">
        <v>6</v>
      </c>
      <c r="O251" s="28" t="s">
        <v>13</v>
      </c>
      <c r="P251"/>
    </row>
    <row r="252" spans="1:16" x14ac:dyDescent="0.35">
      <c r="A252" s="4">
        <v>249</v>
      </c>
      <c r="B252" s="17">
        <v>46053.456944444442</v>
      </c>
      <c r="C252" s="1">
        <v>83123.199999999997</v>
      </c>
      <c r="D252" s="20">
        <v>83123.199999999997</v>
      </c>
      <c r="E252" s="20">
        <v>83081.960000000006</v>
      </c>
      <c r="F252" s="1">
        <v>83083.509999999995</v>
      </c>
      <c r="G252" s="18">
        <v>127</v>
      </c>
      <c r="I252" s="21">
        <v>46053.456944444442</v>
      </c>
      <c r="J252" s="26"/>
      <c r="K252" s="26"/>
      <c r="L252" s="27">
        <v>83120.866429999995</v>
      </c>
      <c r="M252" s="27">
        <v>82997.56091</v>
      </c>
      <c r="N252" s="28" t="s">
        <v>6</v>
      </c>
      <c r="O252" s="28" t="s">
        <v>13</v>
      </c>
      <c r="P252"/>
    </row>
    <row r="253" spans="1:16" x14ac:dyDescent="0.35">
      <c r="A253" s="4">
        <v>250</v>
      </c>
      <c r="B253" s="17">
        <v>46053.457638888889</v>
      </c>
      <c r="C253" s="1">
        <v>83083.509999999995</v>
      </c>
      <c r="D253" s="20">
        <v>83111.38</v>
      </c>
      <c r="E253" s="20">
        <v>83067.3</v>
      </c>
      <c r="F253" s="1">
        <v>83110.84</v>
      </c>
      <c r="G253" s="18">
        <v>143</v>
      </c>
      <c r="I253" s="21">
        <v>46053.457638888889</v>
      </c>
      <c r="J253" s="26"/>
      <c r="K253" s="26"/>
      <c r="L253" s="27">
        <v>83113.238570000001</v>
      </c>
      <c r="M253" s="27">
        <v>82995.798179999998</v>
      </c>
      <c r="N253" s="28" t="s">
        <v>6</v>
      </c>
      <c r="O253" s="28" t="s">
        <v>13</v>
      </c>
      <c r="P253"/>
    </row>
    <row r="254" spans="1:16" x14ac:dyDescent="0.35">
      <c r="A254" s="4">
        <v>251</v>
      </c>
      <c r="B254" s="17">
        <v>46053.458333333336</v>
      </c>
      <c r="C254" s="1">
        <v>83110.84</v>
      </c>
      <c r="D254" s="20">
        <v>83111.240000000005</v>
      </c>
      <c r="E254" s="20">
        <v>83025.37</v>
      </c>
      <c r="F254" s="1">
        <v>83037.94</v>
      </c>
      <c r="G254" s="18">
        <v>175</v>
      </c>
      <c r="I254" s="21">
        <v>46053.458333333336</v>
      </c>
      <c r="J254" s="26"/>
      <c r="K254" s="26"/>
      <c r="L254" s="27">
        <v>83105.610709999994</v>
      </c>
      <c r="M254" s="27">
        <v>82994.035449999996</v>
      </c>
      <c r="N254" s="28" t="s">
        <v>6</v>
      </c>
      <c r="O254" s="28" t="s">
        <v>13</v>
      </c>
      <c r="P254"/>
    </row>
    <row r="255" spans="1:16" x14ac:dyDescent="0.35">
      <c r="A255" s="4">
        <v>252</v>
      </c>
      <c r="B255" s="17">
        <v>46053.459027777775</v>
      </c>
      <c r="C255" s="1">
        <v>83037.09</v>
      </c>
      <c r="D255" s="20">
        <v>83070.31</v>
      </c>
      <c r="E255" s="20">
        <v>83034.58</v>
      </c>
      <c r="F255" s="1">
        <v>83053.81</v>
      </c>
      <c r="G255" s="18">
        <v>111</v>
      </c>
      <c r="I255" s="21">
        <v>46053.459027777775</v>
      </c>
      <c r="J255" s="26"/>
      <c r="K255" s="26"/>
      <c r="L255" s="27">
        <v>83097.982860000004</v>
      </c>
      <c r="M255" s="27">
        <v>82992.272729999997</v>
      </c>
      <c r="N255" s="28" t="s">
        <v>6</v>
      </c>
      <c r="O255" s="28" t="s">
        <v>13</v>
      </c>
      <c r="P255"/>
    </row>
    <row r="256" spans="1:16" x14ac:dyDescent="0.35">
      <c r="A256" s="4">
        <v>253</v>
      </c>
      <c r="B256" s="17">
        <v>46053.459722222222</v>
      </c>
      <c r="C256" s="1">
        <v>83063.5</v>
      </c>
      <c r="D256" s="20">
        <v>83066.25</v>
      </c>
      <c r="E256" s="20">
        <v>82990.509999999995</v>
      </c>
      <c r="F256" s="1">
        <v>83004.23</v>
      </c>
      <c r="G256" s="18">
        <v>166</v>
      </c>
      <c r="I256" s="21">
        <v>46053.459722222222</v>
      </c>
      <c r="J256" s="26"/>
      <c r="K256" s="26">
        <v>82990.509999999995</v>
      </c>
      <c r="L256" s="27">
        <v>83090.354999999996</v>
      </c>
      <c r="M256" s="27">
        <v>82990.509999999995</v>
      </c>
      <c r="N256" s="28" t="s">
        <v>6</v>
      </c>
      <c r="O256" s="28" t="s">
        <v>13</v>
      </c>
      <c r="P256"/>
    </row>
    <row r="257" spans="1:16" x14ac:dyDescent="0.35">
      <c r="A257" s="4">
        <v>254</v>
      </c>
      <c r="B257" s="17">
        <v>46053.460416666669</v>
      </c>
      <c r="C257" s="1">
        <v>83004.23</v>
      </c>
      <c r="D257" s="20">
        <v>83028.600000000006</v>
      </c>
      <c r="E257" s="20">
        <v>82997.8</v>
      </c>
      <c r="F257" s="1">
        <v>83017.86</v>
      </c>
      <c r="G257" s="18">
        <v>168</v>
      </c>
      <c r="I257" s="21">
        <v>46053.460416666669</v>
      </c>
      <c r="J257" s="26"/>
      <c r="K257" s="26"/>
      <c r="L257" s="27">
        <v>83082.727140000003</v>
      </c>
      <c r="M257" s="27">
        <v>82984.08</v>
      </c>
      <c r="N257" s="28" t="s">
        <v>6</v>
      </c>
      <c r="O257" s="28" t="s">
        <v>13</v>
      </c>
      <c r="P257"/>
    </row>
    <row r="258" spans="1:16" x14ac:dyDescent="0.35">
      <c r="A258" s="4">
        <v>255</v>
      </c>
      <c r="B258" s="17">
        <v>46053.461111111108</v>
      </c>
      <c r="C258" s="1">
        <v>83017.86</v>
      </c>
      <c r="D258" s="20">
        <v>83027.600000000006</v>
      </c>
      <c r="E258" s="20">
        <v>82995.710000000006</v>
      </c>
      <c r="F258" s="1">
        <v>82997.02</v>
      </c>
      <c r="G258" s="18">
        <v>137</v>
      </c>
      <c r="I258" s="21">
        <v>46053.461111111108</v>
      </c>
      <c r="J258" s="26"/>
      <c r="K258" s="26"/>
      <c r="L258" s="27">
        <v>83075.099289999998</v>
      </c>
      <c r="M258" s="27">
        <v>82977.649999999994</v>
      </c>
      <c r="N258" s="28" t="s">
        <v>6</v>
      </c>
      <c r="O258" s="28" t="s">
        <v>13</v>
      </c>
      <c r="P258"/>
    </row>
    <row r="259" spans="1:16" x14ac:dyDescent="0.35">
      <c r="A259" s="4">
        <v>256</v>
      </c>
      <c r="B259" s="17">
        <v>46053.461805555555</v>
      </c>
      <c r="C259" s="1">
        <v>82997.009999999995</v>
      </c>
      <c r="D259" s="20">
        <v>83015.199999999997</v>
      </c>
      <c r="E259" s="20">
        <v>82971.22</v>
      </c>
      <c r="F259" s="1">
        <v>82990.61</v>
      </c>
      <c r="G259" s="18">
        <v>164</v>
      </c>
      <c r="I259" s="21">
        <v>46053.461805555555</v>
      </c>
      <c r="J259" s="26"/>
      <c r="K259" s="26">
        <v>82971.22</v>
      </c>
      <c r="L259" s="27">
        <v>83067.471430000005</v>
      </c>
      <c r="M259" s="27">
        <v>82971.22</v>
      </c>
      <c r="N259" s="28" t="s">
        <v>6</v>
      </c>
      <c r="O259" s="28" t="s">
        <v>13</v>
      </c>
      <c r="P259"/>
    </row>
    <row r="260" spans="1:16" x14ac:dyDescent="0.35">
      <c r="A260" s="4">
        <v>257</v>
      </c>
      <c r="B260" s="17">
        <v>46053.462500000001</v>
      </c>
      <c r="C260" s="1">
        <v>82990.61</v>
      </c>
      <c r="D260" s="20">
        <v>83025.600000000006</v>
      </c>
      <c r="E260" s="20">
        <v>82982.960000000006</v>
      </c>
      <c r="F260" s="1">
        <v>83025.53</v>
      </c>
      <c r="G260" s="18">
        <v>130</v>
      </c>
      <c r="I260" s="21">
        <v>46053.462500000001</v>
      </c>
      <c r="J260" s="26"/>
      <c r="K260" s="26"/>
      <c r="L260" s="27">
        <v>83059.843569999997</v>
      </c>
      <c r="M260" s="27">
        <v>82971.42</v>
      </c>
      <c r="N260" s="28" t="s">
        <v>6</v>
      </c>
      <c r="O260" s="28" t="s">
        <v>8</v>
      </c>
      <c r="P260"/>
    </row>
    <row r="261" spans="1:16" x14ac:dyDescent="0.35">
      <c r="A261" s="4">
        <v>258</v>
      </c>
      <c r="B261" s="17">
        <v>46053.463194444441</v>
      </c>
      <c r="C261" s="1">
        <v>83016.66</v>
      </c>
      <c r="D261" s="20">
        <v>83024.899999999994</v>
      </c>
      <c r="E261" s="20">
        <v>83011.320000000007</v>
      </c>
      <c r="F261" s="1">
        <v>83019.03</v>
      </c>
      <c r="G261" s="18">
        <v>134</v>
      </c>
      <c r="I261" s="21">
        <v>46053.463194444441</v>
      </c>
      <c r="J261" s="26"/>
      <c r="K261" s="26"/>
      <c r="L261" s="27">
        <v>83052.215710000004</v>
      </c>
      <c r="M261" s="27">
        <v>82971.62</v>
      </c>
      <c r="N261" s="28" t="s">
        <v>6</v>
      </c>
      <c r="O261" s="28" t="s">
        <v>8</v>
      </c>
      <c r="P261"/>
    </row>
    <row r="262" spans="1:16" x14ac:dyDescent="0.35">
      <c r="A262" s="4">
        <v>259</v>
      </c>
      <c r="B262" s="17">
        <v>46053.463888888888</v>
      </c>
      <c r="C262" s="1">
        <v>83013.09</v>
      </c>
      <c r="D262" s="20">
        <v>83022.34</v>
      </c>
      <c r="E262" s="20">
        <v>82988.259999999995</v>
      </c>
      <c r="F262" s="1">
        <v>83005.94</v>
      </c>
      <c r="G262" s="18">
        <v>169</v>
      </c>
      <c r="I262" s="21">
        <v>46053.463888888888</v>
      </c>
      <c r="J262" s="26"/>
      <c r="K262" s="26"/>
      <c r="L262" s="27">
        <v>83044.58786</v>
      </c>
      <c r="M262" s="27">
        <v>82971.820000000007</v>
      </c>
      <c r="N262" s="28" t="s">
        <v>6</v>
      </c>
      <c r="O262" s="28" t="s">
        <v>8</v>
      </c>
      <c r="P262"/>
    </row>
    <row r="263" spans="1:16" x14ac:dyDescent="0.35">
      <c r="A263" s="4">
        <v>260</v>
      </c>
      <c r="B263" s="17">
        <v>46053.464583333334</v>
      </c>
      <c r="C263" s="1">
        <v>83006.19</v>
      </c>
      <c r="D263" s="20">
        <v>83036.960000000006</v>
      </c>
      <c r="E263" s="20">
        <v>82989.509999999995</v>
      </c>
      <c r="F263" s="1">
        <v>83033.73</v>
      </c>
      <c r="G263" s="18">
        <v>182</v>
      </c>
      <c r="I263" s="21">
        <v>46053.464583333334</v>
      </c>
      <c r="J263" s="26">
        <v>83036.960000000006</v>
      </c>
      <c r="K263" s="26"/>
      <c r="L263" s="27">
        <v>83036.960000000006</v>
      </c>
      <c r="M263" s="27">
        <v>82972.02</v>
      </c>
      <c r="N263" s="28" t="s">
        <v>6</v>
      </c>
      <c r="O263" s="28" t="s">
        <v>8</v>
      </c>
      <c r="P263"/>
    </row>
    <row r="264" spans="1:16" x14ac:dyDescent="0.35">
      <c r="A264" s="4">
        <v>261</v>
      </c>
      <c r="B264" s="17">
        <v>46053.465277777781</v>
      </c>
      <c r="C264" s="1">
        <v>83033.22</v>
      </c>
      <c r="D264" s="20">
        <v>83033.23</v>
      </c>
      <c r="E264" s="20">
        <v>82972.22</v>
      </c>
      <c r="F264" s="1">
        <v>82995.41</v>
      </c>
      <c r="G264" s="18">
        <v>200</v>
      </c>
      <c r="I264" s="21">
        <v>46053.465277777781</v>
      </c>
      <c r="J264" s="26"/>
      <c r="K264" s="26">
        <v>82972.22</v>
      </c>
      <c r="L264" s="27">
        <v>83036.714290000004</v>
      </c>
      <c r="M264" s="27">
        <v>82972.22</v>
      </c>
      <c r="N264" s="28" t="s">
        <v>6</v>
      </c>
      <c r="O264" s="28" t="s">
        <v>8</v>
      </c>
      <c r="P264"/>
    </row>
    <row r="265" spans="1:16" x14ac:dyDescent="0.35">
      <c r="A265" s="4">
        <v>262</v>
      </c>
      <c r="B265" s="17">
        <v>46053.46597222222</v>
      </c>
      <c r="C265" s="1">
        <v>82995.41</v>
      </c>
      <c r="D265" s="20">
        <v>83005.600000000006</v>
      </c>
      <c r="E265" s="20">
        <v>82975.100000000006</v>
      </c>
      <c r="F265" s="1">
        <v>83005.600000000006</v>
      </c>
      <c r="G265" s="18">
        <v>123</v>
      </c>
      <c r="I265" s="21">
        <v>46053.46597222222</v>
      </c>
      <c r="J265" s="26"/>
      <c r="K265" s="26"/>
      <c r="L265" s="27">
        <v>83036.468569999997</v>
      </c>
      <c r="M265" s="27">
        <v>82962.457500000004</v>
      </c>
      <c r="N265" s="28" t="s">
        <v>6</v>
      </c>
      <c r="O265" s="28" t="s">
        <v>13</v>
      </c>
      <c r="P265"/>
    </row>
    <row r="266" spans="1:16" x14ac:dyDescent="0.35">
      <c r="A266" s="4">
        <v>263</v>
      </c>
      <c r="B266" s="17">
        <v>46053.466666666667</v>
      </c>
      <c r="C266" s="1">
        <v>83005.600000000006</v>
      </c>
      <c r="D266" s="20">
        <v>83023.45</v>
      </c>
      <c r="E266" s="20">
        <v>82988.2</v>
      </c>
      <c r="F266" s="1">
        <v>82988.2</v>
      </c>
      <c r="G266" s="18">
        <v>133</v>
      </c>
      <c r="I266" s="21">
        <v>46053.466666666667</v>
      </c>
      <c r="J266" s="26"/>
      <c r="K266" s="26"/>
      <c r="L266" s="27">
        <v>83036.222859999994</v>
      </c>
      <c r="M266" s="27">
        <v>82952.695000000007</v>
      </c>
      <c r="N266" s="28" t="s">
        <v>6</v>
      </c>
      <c r="O266" s="28" t="s">
        <v>13</v>
      </c>
      <c r="P266"/>
    </row>
    <row r="267" spans="1:16" x14ac:dyDescent="0.35">
      <c r="A267" s="4">
        <v>264</v>
      </c>
      <c r="B267" s="17">
        <v>46053.467361111114</v>
      </c>
      <c r="C267" s="1">
        <v>82989.14</v>
      </c>
      <c r="D267" s="20">
        <v>82989.649999999994</v>
      </c>
      <c r="E267" s="20">
        <v>82955.61</v>
      </c>
      <c r="F267" s="1">
        <v>82956.479999999996</v>
      </c>
      <c r="G267" s="18">
        <v>107</v>
      </c>
      <c r="I267" s="21">
        <v>46053.467361111114</v>
      </c>
      <c r="J267" s="26"/>
      <c r="K267" s="26"/>
      <c r="L267" s="27">
        <v>83035.977140000003</v>
      </c>
      <c r="M267" s="27">
        <v>82942.932499999995</v>
      </c>
      <c r="N267" s="28" t="s">
        <v>6</v>
      </c>
      <c r="O267" s="28" t="s">
        <v>13</v>
      </c>
      <c r="P267"/>
    </row>
    <row r="268" spans="1:16" x14ac:dyDescent="0.35">
      <c r="A268" s="4">
        <v>265</v>
      </c>
      <c r="B268" s="17">
        <v>46053.468055555553</v>
      </c>
      <c r="C268" s="1">
        <v>82956.490000000005</v>
      </c>
      <c r="D268" s="20">
        <v>82969.820000000007</v>
      </c>
      <c r="E268" s="20">
        <v>82933.17</v>
      </c>
      <c r="F268" s="1">
        <v>82963.199999999997</v>
      </c>
      <c r="G268" s="18">
        <v>148</v>
      </c>
      <c r="I268" s="21">
        <v>46053.468055555553</v>
      </c>
      <c r="J268" s="26"/>
      <c r="K268" s="26">
        <v>82933.17</v>
      </c>
      <c r="L268" s="27">
        <v>83035.73143</v>
      </c>
      <c r="M268" s="27">
        <v>82933.17</v>
      </c>
      <c r="N268" s="28" t="s">
        <v>6</v>
      </c>
      <c r="O268" s="28" t="s">
        <v>13</v>
      </c>
      <c r="P268"/>
    </row>
    <row r="269" spans="1:16" x14ac:dyDescent="0.35">
      <c r="A269" s="4">
        <v>266</v>
      </c>
      <c r="B269" s="17">
        <v>46053.46875</v>
      </c>
      <c r="C269" s="1">
        <v>82963.210000000006</v>
      </c>
      <c r="D269" s="20">
        <v>82990.23</v>
      </c>
      <c r="E269" s="20">
        <v>82955.73</v>
      </c>
      <c r="F269" s="1">
        <v>82986.03</v>
      </c>
      <c r="G269" s="18">
        <v>126</v>
      </c>
      <c r="I269" s="21">
        <v>46053.46875</v>
      </c>
      <c r="J269" s="26"/>
      <c r="K269" s="26"/>
      <c r="L269" s="27">
        <v>83035.485709999994</v>
      </c>
      <c r="M269" s="27">
        <v>82938.483330000003</v>
      </c>
      <c r="N269" s="28" t="s">
        <v>6</v>
      </c>
      <c r="O269" s="28" t="s">
        <v>8</v>
      </c>
      <c r="P269"/>
    </row>
    <row r="270" spans="1:16" x14ac:dyDescent="0.35">
      <c r="A270" s="4">
        <v>267</v>
      </c>
      <c r="B270" s="17">
        <v>46053.469444444447</v>
      </c>
      <c r="C270" s="1">
        <v>82986.03</v>
      </c>
      <c r="D270" s="20">
        <v>83035.240000000005</v>
      </c>
      <c r="E270" s="20">
        <v>82986.03</v>
      </c>
      <c r="F270" s="1">
        <v>83000.100000000006</v>
      </c>
      <c r="G270" s="18">
        <v>120</v>
      </c>
      <c r="I270" s="21">
        <v>46053.469444444447</v>
      </c>
      <c r="J270" s="26">
        <v>83035.240000000005</v>
      </c>
      <c r="K270" s="26"/>
      <c r="L270" s="27">
        <v>83035.240000000005</v>
      </c>
      <c r="M270" s="27">
        <v>82943.796669999996</v>
      </c>
      <c r="N270" s="28" t="s">
        <v>6</v>
      </c>
      <c r="O270" s="28" t="s">
        <v>8</v>
      </c>
      <c r="P270"/>
    </row>
    <row r="271" spans="1:16" x14ac:dyDescent="0.35">
      <c r="A271" s="4">
        <v>268</v>
      </c>
      <c r="B271" s="17">
        <v>46053.470138888886</v>
      </c>
      <c r="C271" s="1">
        <v>83000.100000000006</v>
      </c>
      <c r="D271" s="20">
        <v>83000.210000000006</v>
      </c>
      <c r="E271" s="20">
        <v>82949.11</v>
      </c>
      <c r="F271" s="1">
        <v>82949.37</v>
      </c>
      <c r="G271" s="18">
        <v>111</v>
      </c>
      <c r="I271" s="21">
        <v>46053.470138888886</v>
      </c>
      <c r="J271" s="26"/>
      <c r="K271" s="26">
        <v>82949.11</v>
      </c>
      <c r="L271" s="27">
        <v>83033.279999999999</v>
      </c>
      <c r="M271" s="27">
        <v>82949.11</v>
      </c>
      <c r="N271" s="28" t="s">
        <v>6</v>
      </c>
      <c r="O271" s="28" t="s">
        <v>8</v>
      </c>
      <c r="P271"/>
    </row>
    <row r="272" spans="1:16" x14ac:dyDescent="0.35">
      <c r="A272" s="4">
        <v>269</v>
      </c>
      <c r="B272" s="17">
        <v>46053.470833333333</v>
      </c>
      <c r="C272" s="1">
        <v>82949.42</v>
      </c>
      <c r="D272" s="20">
        <v>82985.759999999995</v>
      </c>
      <c r="E272" s="20">
        <v>82949.42</v>
      </c>
      <c r="F272" s="1">
        <v>82970.460000000006</v>
      </c>
      <c r="G272" s="18">
        <v>126</v>
      </c>
      <c r="I272" s="21">
        <v>46053.470833333333</v>
      </c>
      <c r="J272" s="26"/>
      <c r="K272" s="26"/>
      <c r="L272" s="27">
        <v>83031.320000000007</v>
      </c>
      <c r="M272" s="27">
        <v>82953.388749999998</v>
      </c>
      <c r="N272" s="28" t="s">
        <v>6</v>
      </c>
      <c r="O272" s="28" t="s">
        <v>8</v>
      </c>
      <c r="P272"/>
    </row>
    <row r="273" spans="1:16" x14ac:dyDescent="0.35">
      <c r="A273" s="4">
        <v>270</v>
      </c>
      <c r="B273" s="17">
        <v>46053.47152777778</v>
      </c>
      <c r="C273" s="1">
        <v>82970.649999999994</v>
      </c>
      <c r="D273" s="20">
        <v>83020.95</v>
      </c>
      <c r="E273" s="20">
        <v>82964.66</v>
      </c>
      <c r="F273" s="1">
        <v>83004.61</v>
      </c>
      <c r="G273" s="18">
        <v>135</v>
      </c>
      <c r="I273" s="21">
        <v>46053.47152777778</v>
      </c>
      <c r="J273" s="26"/>
      <c r="K273" s="26"/>
      <c r="L273" s="27">
        <v>83029.36</v>
      </c>
      <c r="M273" s="27">
        <v>82957.667499999996</v>
      </c>
      <c r="N273" s="28" t="s">
        <v>6</v>
      </c>
      <c r="O273" s="28" t="s">
        <v>8</v>
      </c>
      <c r="P273"/>
    </row>
    <row r="274" spans="1:16" x14ac:dyDescent="0.35">
      <c r="A274" s="4">
        <v>271</v>
      </c>
      <c r="B274" s="17">
        <v>46053.472222222219</v>
      </c>
      <c r="C274" s="1">
        <v>82996.83</v>
      </c>
      <c r="D274" s="20">
        <v>83027.399999999994</v>
      </c>
      <c r="E274" s="20">
        <v>82982.02</v>
      </c>
      <c r="F274" s="1">
        <v>82997.22</v>
      </c>
      <c r="G274" s="18">
        <v>142</v>
      </c>
      <c r="I274" s="21">
        <v>46053.472222222219</v>
      </c>
      <c r="J274" s="26">
        <v>83027.399999999994</v>
      </c>
      <c r="K274" s="26"/>
      <c r="L274" s="27">
        <v>83027.399999999994</v>
      </c>
      <c r="M274" s="27">
        <v>82961.946249999994</v>
      </c>
      <c r="N274" s="28" t="s">
        <v>6</v>
      </c>
      <c r="O274" s="28" t="s">
        <v>8</v>
      </c>
      <c r="P274"/>
    </row>
    <row r="275" spans="1:16" x14ac:dyDescent="0.35">
      <c r="A275" s="4">
        <v>272</v>
      </c>
      <c r="B275" s="17">
        <v>46053.472916666666</v>
      </c>
      <c r="C275" s="1">
        <v>82997.240000000005</v>
      </c>
      <c r="D275" s="20">
        <v>83007.149999999994</v>
      </c>
      <c r="E275" s="20">
        <v>82968.44</v>
      </c>
      <c r="F275" s="1">
        <v>82988.72</v>
      </c>
      <c r="G275" s="18">
        <v>99</v>
      </c>
      <c r="I275" s="21">
        <v>46053.472916666666</v>
      </c>
      <c r="J275" s="26"/>
      <c r="K275" s="26"/>
      <c r="L275" s="27">
        <v>83029.506670000002</v>
      </c>
      <c r="M275" s="27">
        <v>82966.225000000006</v>
      </c>
      <c r="N275" s="28" t="s">
        <v>7</v>
      </c>
      <c r="O275" s="28" t="s">
        <v>8</v>
      </c>
      <c r="P275"/>
    </row>
    <row r="276" spans="1:16" x14ac:dyDescent="0.35">
      <c r="A276" s="4">
        <v>273</v>
      </c>
      <c r="B276" s="17">
        <v>46053.473611111112</v>
      </c>
      <c r="C276" s="1">
        <v>82988.72</v>
      </c>
      <c r="D276" s="20">
        <v>82994.7</v>
      </c>
      <c r="E276" s="20">
        <v>82983.48</v>
      </c>
      <c r="F276" s="1">
        <v>82993.62</v>
      </c>
      <c r="G276" s="18">
        <v>116</v>
      </c>
      <c r="I276" s="21">
        <v>46053.473611111112</v>
      </c>
      <c r="J276" s="26"/>
      <c r="K276" s="26"/>
      <c r="L276" s="27">
        <v>83031.613329999993</v>
      </c>
      <c r="M276" s="27">
        <v>82970.503750000003</v>
      </c>
      <c r="N276" s="28" t="s">
        <v>7</v>
      </c>
      <c r="O276" s="28" t="s">
        <v>8</v>
      </c>
      <c r="P276"/>
    </row>
    <row r="277" spans="1:16" x14ac:dyDescent="0.35">
      <c r="A277" s="4">
        <v>274</v>
      </c>
      <c r="B277" s="17">
        <v>46053.474305555559</v>
      </c>
      <c r="C277" s="1">
        <v>82993.61</v>
      </c>
      <c r="D277" s="20">
        <v>83011.240000000005</v>
      </c>
      <c r="E277" s="20">
        <v>82993.61</v>
      </c>
      <c r="F277" s="1">
        <v>83006.240000000005</v>
      </c>
      <c r="G277" s="18">
        <v>156</v>
      </c>
      <c r="I277" s="21">
        <v>46053.474305555559</v>
      </c>
      <c r="J277" s="26"/>
      <c r="K277" s="26"/>
      <c r="L277" s="27">
        <v>83033.72</v>
      </c>
      <c r="M277" s="27">
        <v>82974.782500000001</v>
      </c>
      <c r="N277" s="28" t="s">
        <v>7</v>
      </c>
      <c r="O277" s="28" t="s">
        <v>8</v>
      </c>
      <c r="P277"/>
    </row>
    <row r="278" spans="1:16" x14ac:dyDescent="0.35">
      <c r="A278" s="4">
        <v>275</v>
      </c>
      <c r="B278" s="17">
        <v>46053.474999999999</v>
      </c>
      <c r="C278" s="1">
        <v>83010</v>
      </c>
      <c r="D278" s="20">
        <v>83017.2</v>
      </c>
      <c r="E278" s="20">
        <v>83000.41</v>
      </c>
      <c r="F278" s="1">
        <v>83017.039999999994</v>
      </c>
      <c r="G278" s="18">
        <v>112</v>
      </c>
      <c r="I278" s="21">
        <v>46053.474999999999</v>
      </c>
      <c r="J278" s="26"/>
      <c r="K278" s="26"/>
      <c r="L278" s="27">
        <v>83035.826669999995</v>
      </c>
      <c r="M278" s="27">
        <v>82979.061249999999</v>
      </c>
      <c r="N278" s="28" t="s">
        <v>7</v>
      </c>
      <c r="O278" s="28" t="s">
        <v>8</v>
      </c>
      <c r="P278"/>
    </row>
    <row r="279" spans="1:16" x14ac:dyDescent="0.35">
      <c r="A279" s="4">
        <v>276</v>
      </c>
      <c r="B279" s="17">
        <v>46053.475694444445</v>
      </c>
      <c r="C279" s="1">
        <v>83017.039999999994</v>
      </c>
      <c r="D279" s="20">
        <v>83017.100000000006</v>
      </c>
      <c r="E279" s="20">
        <v>82983.34</v>
      </c>
      <c r="F279" s="1">
        <v>83008.41</v>
      </c>
      <c r="G279" s="18">
        <v>115</v>
      </c>
      <c r="I279" s="21">
        <v>46053.475694444445</v>
      </c>
      <c r="J279" s="26"/>
      <c r="K279" s="26">
        <v>82983.34</v>
      </c>
      <c r="L279" s="27">
        <v>83037.93333</v>
      </c>
      <c r="M279" s="27">
        <v>82983.34</v>
      </c>
      <c r="N279" s="28" t="s">
        <v>7</v>
      </c>
      <c r="O279" s="28" t="s">
        <v>8</v>
      </c>
      <c r="P279"/>
    </row>
    <row r="280" spans="1:16" x14ac:dyDescent="0.35">
      <c r="A280" s="4">
        <v>277</v>
      </c>
      <c r="B280" s="17">
        <v>46053.476388888892</v>
      </c>
      <c r="C280" s="1">
        <v>83008.39</v>
      </c>
      <c r="D280" s="20">
        <v>83040.039999999994</v>
      </c>
      <c r="E280" s="20">
        <v>83008.39</v>
      </c>
      <c r="F280" s="1">
        <v>83020.92</v>
      </c>
      <c r="G280" s="18">
        <v>99</v>
      </c>
      <c r="I280" s="21">
        <v>46053.476388888892</v>
      </c>
      <c r="J280" s="26">
        <v>83040.039999999994</v>
      </c>
      <c r="K280" s="26"/>
      <c r="L280" s="27">
        <v>83040.039999999994</v>
      </c>
      <c r="M280" s="27">
        <v>82973.162500000006</v>
      </c>
      <c r="N280" s="28" t="s">
        <v>7</v>
      </c>
      <c r="O280" s="28" t="s">
        <v>13</v>
      </c>
      <c r="P280"/>
    </row>
    <row r="281" spans="1:16" x14ac:dyDescent="0.35">
      <c r="A281" s="4">
        <v>278</v>
      </c>
      <c r="B281" s="17">
        <v>46053.477083333331</v>
      </c>
      <c r="C281" s="1">
        <v>83020.84</v>
      </c>
      <c r="D281" s="20">
        <v>83021.460000000006</v>
      </c>
      <c r="E281" s="20">
        <v>82990.63</v>
      </c>
      <c r="F281" s="1">
        <v>83011.039999999994</v>
      </c>
      <c r="G281" s="18">
        <v>128</v>
      </c>
      <c r="I281" s="21">
        <v>46053.477083333331</v>
      </c>
      <c r="J281" s="26"/>
      <c r="K281" s="26"/>
      <c r="L281" s="27">
        <v>83037.074999999997</v>
      </c>
      <c r="M281" s="27">
        <v>82962.985000000001</v>
      </c>
      <c r="N281" s="28" t="s">
        <v>6</v>
      </c>
      <c r="O281" s="28" t="s">
        <v>13</v>
      </c>
      <c r="P281"/>
    </row>
    <row r="282" spans="1:16" x14ac:dyDescent="0.35">
      <c r="A282" s="4">
        <v>279</v>
      </c>
      <c r="B282" s="17">
        <v>46053.477777777778</v>
      </c>
      <c r="C282" s="1">
        <v>83011.09</v>
      </c>
      <c r="D282" s="20">
        <v>83011.09</v>
      </c>
      <c r="E282" s="20">
        <v>82956.850000000006</v>
      </c>
      <c r="F282" s="1">
        <v>82957.440000000002</v>
      </c>
      <c r="G282" s="18">
        <v>137</v>
      </c>
      <c r="I282" s="21">
        <v>46053.477777777778</v>
      </c>
      <c r="J282" s="26"/>
      <c r="K282" s="26"/>
      <c r="L282" s="27">
        <v>83034.11</v>
      </c>
      <c r="M282" s="27">
        <v>82952.807499999995</v>
      </c>
      <c r="N282" s="28" t="s">
        <v>6</v>
      </c>
      <c r="O282" s="28" t="s">
        <v>13</v>
      </c>
      <c r="P282"/>
    </row>
    <row r="283" spans="1:16" x14ac:dyDescent="0.35">
      <c r="A283" s="4">
        <v>280</v>
      </c>
      <c r="B283" s="17">
        <v>46053.478472222225</v>
      </c>
      <c r="C283" s="1">
        <v>82957.429999999993</v>
      </c>
      <c r="D283" s="20">
        <v>82975.45</v>
      </c>
      <c r="E283" s="20">
        <v>82942.63</v>
      </c>
      <c r="F283" s="1">
        <v>82954.740000000005</v>
      </c>
      <c r="G283" s="18">
        <v>142</v>
      </c>
      <c r="I283" s="21">
        <v>46053.478472222225</v>
      </c>
      <c r="J283" s="26"/>
      <c r="K283" s="26">
        <v>82942.63</v>
      </c>
      <c r="L283" s="27">
        <v>83031.145000000004</v>
      </c>
      <c r="M283" s="27">
        <v>82942.63</v>
      </c>
      <c r="N283" s="28" t="s">
        <v>6</v>
      </c>
      <c r="O283" s="28" t="s">
        <v>13</v>
      </c>
      <c r="P283"/>
    </row>
    <row r="284" spans="1:16" x14ac:dyDescent="0.35">
      <c r="A284" s="4">
        <v>281</v>
      </c>
      <c r="B284" s="17">
        <v>46053.479166666664</v>
      </c>
      <c r="C284" s="1">
        <v>82954.740000000005</v>
      </c>
      <c r="D284" s="20">
        <v>82975.600000000006</v>
      </c>
      <c r="E284" s="20">
        <v>82954.710000000006</v>
      </c>
      <c r="F284" s="1">
        <v>82975.600000000006</v>
      </c>
      <c r="G284" s="18">
        <v>82</v>
      </c>
      <c r="I284" s="21">
        <v>46053.479166666664</v>
      </c>
      <c r="J284" s="26"/>
      <c r="K284" s="26"/>
      <c r="L284" s="27">
        <v>83028.179999999993</v>
      </c>
      <c r="M284" s="27">
        <v>82943.044169999994</v>
      </c>
      <c r="N284" s="28" t="s">
        <v>6</v>
      </c>
      <c r="O284" s="28" t="s">
        <v>8</v>
      </c>
      <c r="P284"/>
    </row>
    <row r="285" spans="1:16" x14ac:dyDescent="0.35">
      <c r="A285" s="4">
        <v>282</v>
      </c>
      <c r="B285" s="17">
        <v>46053.479861111111</v>
      </c>
      <c r="C285" s="1">
        <v>82975.8</v>
      </c>
      <c r="D285" s="20">
        <v>83010.399999999994</v>
      </c>
      <c r="E285" s="20">
        <v>82975.710000000006</v>
      </c>
      <c r="F285" s="1">
        <v>83010.399999999994</v>
      </c>
      <c r="G285" s="18">
        <v>140</v>
      </c>
      <c r="I285" s="21">
        <v>46053.479861111111</v>
      </c>
      <c r="J285" s="26"/>
      <c r="K285" s="26"/>
      <c r="L285" s="27">
        <v>83025.214999999997</v>
      </c>
      <c r="M285" s="27">
        <v>82943.458329999994</v>
      </c>
      <c r="N285" s="28" t="s">
        <v>6</v>
      </c>
      <c r="O285" s="28" t="s">
        <v>8</v>
      </c>
      <c r="P285"/>
    </row>
    <row r="286" spans="1:16" x14ac:dyDescent="0.35">
      <c r="A286" s="4">
        <v>283</v>
      </c>
      <c r="B286" s="17">
        <v>46053.480555555558</v>
      </c>
      <c r="C286" s="1">
        <v>83010.399999999994</v>
      </c>
      <c r="D286" s="20">
        <v>83022.25</v>
      </c>
      <c r="E286" s="20">
        <v>82967.259999999995</v>
      </c>
      <c r="F286" s="1">
        <v>82986.84</v>
      </c>
      <c r="G286" s="18">
        <v>159</v>
      </c>
      <c r="I286" s="21">
        <v>46053.480555555558</v>
      </c>
      <c r="J286" s="26">
        <v>83022.25</v>
      </c>
      <c r="K286" s="26"/>
      <c r="L286" s="27">
        <v>83022.25</v>
      </c>
      <c r="M286" s="27">
        <v>82943.872499999998</v>
      </c>
      <c r="N286" s="28" t="s">
        <v>6</v>
      </c>
      <c r="O286" s="28" t="s">
        <v>8</v>
      </c>
      <c r="P286"/>
    </row>
    <row r="287" spans="1:16" x14ac:dyDescent="0.35">
      <c r="A287" s="4">
        <v>284</v>
      </c>
      <c r="B287" s="17">
        <v>46053.481249999997</v>
      </c>
      <c r="C287" s="1">
        <v>82986.83</v>
      </c>
      <c r="D287" s="20">
        <v>82996.850000000006</v>
      </c>
      <c r="E287" s="20">
        <v>82986.83</v>
      </c>
      <c r="F287" s="1">
        <v>82990.69</v>
      </c>
      <c r="G287" s="18">
        <v>60</v>
      </c>
      <c r="I287" s="21">
        <v>46053.481249999997</v>
      </c>
      <c r="J287" s="26"/>
      <c r="K287" s="26"/>
      <c r="L287" s="27">
        <v>83022.241670000003</v>
      </c>
      <c r="M287" s="27">
        <v>82944.286670000001</v>
      </c>
      <c r="N287" s="28" t="s">
        <v>6</v>
      </c>
      <c r="O287" s="28" t="s">
        <v>8</v>
      </c>
      <c r="P287"/>
    </row>
    <row r="288" spans="1:16" x14ac:dyDescent="0.35">
      <c r="A288" s="4">
        <v>285</v>
      </c>
      <c r="B288" s="17">
        <v>46053.481944444444</v>
      </c>
      <c r="C288" s="1">
        <v>82986.91</v>
      </c>
      <c r="D288" s="20">
        <v>82989.84</v>
      </c>
      <c r="E288" s="20">
        <v>82970.5</v>
      </c>
      <c r="F288" s="1">
        <v>82988.52</v>
      </c>
      <c r="G288" s="18">
        <v>131</v>
      </c>
      <c r="I288" s="21">
        <v>46053.481944444444</v>
      </c>
      <c r="J288" s="26"/>
      <c r="K288" s="26"/>
      <c r="L288" s="27">
        <v>83022.233330000003</v>
      </c>
      <c r="M288" s="27">
        <v>82944.700830000002</v>
      </c>
      <c r="N288" s="28" t="s">
        <v>6</v>
      </c>
      <c r="O288" s="28" t="s">
        <v>8</v>
      </c>
      <c r="P288"/>
    </row>
    <row r="289" spans="1:16" x14ac:dyDescent="0.35">
      <c r="A289" s="4">
        <v>286</v>
      </c>
      <c r="B289" s="17">
        <v>46053.482638888891</v>
      </c>
      <c r="C289" s="1">
        <v>82987.8</v>
      </c>
      <c r="D289" s="20">
        <v>83001.399999999994</v>
      </c>
      <c r="E289" s="20">
        <v>82987.62</v>
      </c>
      <c r="F289" s="1">
        <v>83001.31</v>
      </c>
      <c r="G289" s="18">
        <v>100</v>
      </c>
      <c r="I289" s="21">
        <v>46053.482638888891</v>
      </c>
      <c r="J289" s="26"/>
      <c r="K289" s="26"/>
      <c r="L289" s="27">
        <v>83022.225000000006</v>
      </c>
      <c r="M289" s="27">
        <v>82945.115000000005</v>
      </c>
      <c r="N289" s="28" t="s">
        <v>6</v>
      </c>
      <c r="O289" s="28" t="s">
        <v>8</v>
      </c>
      <c r="P289"/>
    </row>
    <row r="290" spans="1:16" x14ac:dyDescent="0.35">
      <c r="A290" s="4">
        <v>287</v>
      </c>
      <c r="B290" s="17">
        <v>46053.48333333333</v>
      </c>
      <c r="C290" s="1">
        <v>83001.31</v>
      </c>
      <c r="D290" s="20">
        <v>83001.399999999994</v>
      </c>
      <c r="E290" s="20">
        <v>82983.58</v>
      </c>
      <c r="F290" s="1">
        <v>82991.570000000007</v>
      </c>
      <c r="G290" s="18">
        <v>151</v>
      </c>
      <c r="I290" s="21">
        <v>46053.48333333333</v>
      </c>
      <c r="J290" s="26"/>
      <c r="K290" s="26"/>
      <c r="L290" s="27">
        <v>83022.216669999994</v>
      </c>
      <c r="M290" s="27">
        <v>82945.529169999994</v>
      </c>
      <c r="N290" s="28" t="s">
        <v>6</v>
      </c>
      <c r="O290" s="28" t="s">
        <v>8</v>
      </c>
      <c r="P290"/>
    </row>
    <row r="291" spans="1:16" x14ac:dyDescent="0.35">
      <c r="A291" s="4">
        <v>288</v>
      </c>
      <c r="B291" s="17">
        <v>46053.484027777777</v>
      </c>
      <c r="C291" s="1">
        <v>82991.55</v>
      </c>
      <c r="D291" s="20">
        <v>82991.55</v>
      </c>
      <c r="E291" s="20">
        <v>82972.75</v>
      </c>
      <c r="F291" s="1">
        <v>82977.52</v>
      </c>
      <c r="G291" s="18">
        <v>109</v>
      </c>
      <c r="I291" s="21">
        <v>46053.484027777777</v>
      </c>
      <c r="J291" s="26"/>
      <c r="K291" s="26"/>
      <c r="L291" s="27">
        <v>83022.208329999994</v>
      </c>
      <c r="M291" s="27">
        <v>82945.943329999995</v>
      </c>
      <c r="N291" s="28" t="s">
        <v>6</v>
      </c>
      <c r="O291" s="28" t="s">
        <v>8</v>
      </c>
      <c r="P291"/>
    </row>
    <row r="292" spans="1:16" x14ac:dyDescent="0.35">
      <c r="A292" s="4">
        <v>289</v>
      </c>
      <c r="B292" s="17">
        <v>46053.484722222223</v>
      </c>
      <c r="C292" s="1">
        <v>82977.509999999995</v>
      </c>
      <c r="D292" s="20">
        <v>83022.2</v>
      </c>
      <c r="E292" s="20">
        <v>82976.539999999994</v>
      </c>
      <c r="F292" s="1">
        <v>82990.350000000006</v>
      </c>
      <c r="G292" s="18">
        <v>143</v>
      </c>
      <c r="I292" s="21">
        <v>46053.484722222223</v>
      </c>
      <c r="J292" s="26">
        <v>83022.2</v>
      </c>
      <c r="K292" s="26"/>
      <c r="L292" s="27">
        <v>83022.2</v>
      </c>
      <c r="M292" s="27">
        <v>82946.357499999998</v>
      </c>
      <c r="N292" s="28" t="s">
        <v>6</v>
      </c>
      <c r="O292" s="28" t="s">
        <v>8</v>
      </c>
      <c r="P292"/>
    </row>
    <row r="293" spans="1:16" x14ac:dyDescent="0.35">
      <c r="A293" s="4">
        <v>290</v>
      </c>
      <c r="B293" s="17">
        <v>46053.48541666667</v>
      </c>
      <c r="C293" s="1">
        <v>82990.350000000006</v>
      </c>
      <c r="D293" s="20">
        <v>82998.89</v>
      </c>
      <c r="E293" s="20">
        <v>82970.5</v>
      </c>
      <c r="F293" s="1">
        <v>82973.73</v>
      </c>
      <c r="G293" s="18">
        <v>138</v>
      </c>
      <c r="I293" s="21">
        <v>46053.48541666667</v>
      </c>
      <c r="J293" s="26"/>
      <c r="K293" s="26"/>
      <c r="L293" s="27">
        <v>83016.33</v>
      </c>
      <c r="M293" s="27">
        <v>82946.771670000002</v>
      </c>
      <c r="N293" s="28" t="s">
        <v>6</v>
      </c>
      <c r="O293" s="28" t="s">
        <v>8</v>
      </c>
      <c r="P293"/>
    </row>
    <row r="294" spans="1:16" x14ac:dyDescent="0.35">
      <c r="A294" s="4">
        <v>291</v>
      </c>
      <c r="B294" s="17">
        <v>46053.486111111109</v>
      </c>
      <c r="C294" s="1">
        <v>82973.679999999993</v>
      </c>
      <c r="D294" s="20">
        <v>82989.84</v>
      </c>
      <c r="E294" s="20">
        <v>82970.5</v>
      </c>
      <c r="F294" s="1">
        <v>82970.5</v>
      </c>
      <c r="G294" s="18">
        <v>93</v>
      </c>
      <c r="I294" s="21">
        <v>46053.486111111109</v>
      </c>
      <c r="J294" s="26"/>
      <c r="K294" s="26"/>
      <c r="L294" s="27">
        <v>83010.460000000006</v>
      </c>
      <c r="M294" s="27">
        <v>82947.185830000002</v>
      </c>
      <c r="N294" s="28" t="s">
        <v>6</v>
      </c>
      <c r="O294" s="28" t="s">
        <v>8</v>
      </c>
      <c r="P294"/>
    </row>
    <row r="295" spans="1:16" x14ac:dyDescent="0.35">
      <c r="A295" s="4">
        <v>292</v>
      </c>
      <c r="B295" s="17">
        <v>46053.486805555556</v>
      </c>
      <c r="C295" s="1">
        <v>82970.490000000005</v>
      </c>
      <c r="D295" s="20">
        <v>82985.600000000006</v>
      </c>
      <c r="E295" s="20">
        <v>82947.600000000006</v>
      </c>
      <c r="F295" s="1">
        <v>82973.59</v>
      </c>
      <c r="G295" s="18">
        <v>170</v>
      </c>
      <c r="I295" s="21">
        <v>46053.486805555556</v>
      </c>
      <c r="J295" s="26"/>
      <c r="K295" s="26">
        <v>82947.600000000006</v>
      </c>
      <c r="L295" s="27">
        <v>83004.59</v>
      </c>
      <c r="M295" s="27">
        <v>82947.600000000006</v>
      </c>
      <c r="N295" s="28" t="s">
        <v>6</v>
      </c>
      <c r="O295" s="28" t="s">
        <v>8</v>
      </c>
      <c r="P295"/>
    </row>
    <row r="296" spans="1:16" x14ac:dyDescent="0.35">
      <c r="A296" s="4">
        <v>293</v>
      </c>
      <c r="B296" s="17">
        <v>46053.487500000003</v>
      </c>
      <c r="C296" s="1">
        <v>82973.149999999994</v>
      </c>
      <c r="D296" s="20">
        <v>82998.720000000001</v>
      </c>
      <c r="E296" s="20">
        <v>82972.58</v>
      </c>
      <c r="F296" s="1">
        <v>82979.31</v>
      </c>
      <c r="G296" s="18">
        <v>162</v>
      </c>
      <c r="I296" s="21">
        <v>46053.487500000003</v>
      </c>
      <c r="J296" s="26">
        <v>82998.720000000001</v>
      </c>
      <c r="K296" s="26"/>
      <c r="L296" s="27">
        <v>82998.720000000001</v>
      </c>
      <c r="M296" s="27">
        <v>82940.316000000006</v>
      </c>
      <c r="N296" s="28" t="s">
        <v>6</v>
      </c>
      <c r="O296" s="28" t="s">
        <v>13</v>
      </c>
      <c r="P296"/>
    </row>
    <row r="297" spans="1:16" x14ac:dyDescent="0.35">
      <c r="A297" s="4">
        <v>294</v>
      </c>
      <c r="B297" s="17">
        <v>46053.488194444442</v>
      </c>
      <c r="C297" s="1">
        <v>82979.3</v>
      </c>
      <c r="D297" s="20">
        <v>82979.3</v>
      </c>
      <c r="E297" s="20">
        <v>82959.17</v>
      </c>
      <c r="F297" s="1">
        <v>82970.61</v>
      </c>
      <c r="G297" s="18">
        <v>85</v>
      </c>
      <c r="I297" s="21">
        <v>46053.488194444442</v>
      </c>
      <c r="J297" s="26"/>
      <c r="K297" s="26"/>
      <c r="L297" s="27">
        <v>82995.942219999997</v>
      </c>
      <c r="M297" s="27">
        <v>82933.032000000007</v>
      </c>
      <c r="N297" s="28" t="s">
        <v>6</v>
      </c>
      <c r="O297" s="28" t="s">
        <v>13</v>
      </c>
      <c r="P297"/>
    </row>
    <row r="298" spans="1:16" x14ac:dyDescent="0.35">
      <c r="A298" s="4">
        <v>295</v>
      </c>
      <c r="B298" s="17">
        <v>46053.488888888889</v>
      </c>
      <c r="C298" s="1">
        <v>82970.61</v>
      </c>
      <c r="D298" s="20">
        <v>82970.820000000007</v>
      </c>
      <c r="E298" s="20">
        <v>82918.09</v>
      </c>
      <c r="F298" s="1">
        <v>82933.259999999995</v>
      </c>
      <c r="G298" s="18">
        <v>144</v>
      </c>
      <c r="I298" s="21">
        <v>46053.488888888889</v>
      </c>
      <c r="J298" s="26"/>
      <c r="K298" s="26"/>
      <c r="L298" s="27">
        <v>82993.164439999993</v>
      </c>
      <c r="M298" s="27">
        <v>82925.748000000007</v>
      </c>
      <c r="N298" s="28" t="s">
        <v>6</v>
      </c>
      <c r="O298" s="28" t="s">
        <v>13</v>
      </c>
      <c r="P298"/>
    </row>
    <row r="299" spans="1:16" x14ac:dyDescent="0.35">
      <c r="A299" s="4">
        <v>296</v>
      </c>
      <c r="B299" s="17">
        <v>46053.489583333336</v>
      </c>
      <c r="C299" s="1">
        <v>82933.3</v>
      </c>
      <c r="D299" s="20">
        <v>82961.03</v>
      </c>
      <c r="E299" s="20">
        <v>82933.3</v>
      </c>
      <c r="F299" s="1">
        <v>82947.25</v>
      </c>
      <c r="G299" s="18">
        <v>118</v>
      </c>
      <c r="I299" s="21">
        <v>46053.489583333336</v>
      </c>
      <c r="J299" s="26"/>
      <c r="K299" s="26"/>
      <c r="L299" s="27">
        <v>82990.386670000007</v>
      </c>
      <c r="M299" s="27">
        <v>82918.464000000007</v>
      </c>
      <c r="N299" s="28" t="s">
        <v>6</v>
      </c>
      <c r="O299" s="28" t="s">
        <v>13</v>
      </c>
      <c r="P299"/>
    </row>
    <row r="300" spans="1:16" x14ac:dyDescent="0.35">
      <c r="A300" s="4">
        <v>297</v>
      </c>
      <c r="B300" s="17">
        <v>46053.490277777775</v>
      </c>
      <c r="C300" s="1">
        <v>82947.210000000006</v>
      </c>
      <c r="D300" s="20">
        <v>82954.100000000006</v>
      </c>
      <c r="E300" s="20">
        <v>82911.179999999993</v>
      </c>
      <c r="F300" s="1">
        <v>82915.17</v>
      </c>
      <c r="G300" s="18">
        <v>130</v>
      </c>
      <c r="I300" s="21">
        <v>46053.490277777775</v>
      </c>
      <c r="J300" s="26"/>
      <c r="K300" s="26">
        <v>82911.179999999993</v>
      </c>
      <c r="L300" s="27">
        <v>82987.608890000003</v>
      </c>
      <c r="M300" s="27">
        <v>82911.179999999993</v>
      </c>
      <c r="N300" s="28" t="s">
        <v>6</v>
      </c>
      <c r="O300" s="28" t="s">
        <v>13</v>
      </c>
      <c r="P300"/>
    </row>
    <row r="301" spans="1:16" x14ac:dyDescent="0.35">
      <c r="A301" s="4">
        <v>298</v>
      </c>
      <c r="B301" s="17">
        <v>46053.490972222222</v>
      </c>
      <c r="C301" s="1">
        <v>82915.19</v>
      </c>
      <c r="D301" s="20">
        <v>82945.899999999994</v>
      </c>
      <c r="E301" s="20">
        <v>82915.19</v>
      </c>
      <c r="F301" s="1">
        <v>82936.11</v>
      </c>
      <c r="G301" s="18">
        <v>83</v>
      </c>
      <c r="I301" s="21">
        <v>46053.490972222222</v>
      </c>
      <c r="J301" s="26"/>
      <c r="K301" s="26"/>
      <c r="L301" s="27">
        <v>82984.831109999999</v>
      </c>
      <c r="M301" s="27">
        <v>82893.296669999996</v>
      </c>
      <c r="N301" s="28" t="s">
        <v>6</v>
      </c>
      <c r="O301" s="28" t="s">
        <v>13</v>
      </c>
      <c r="P301"/>
    </row>
    <row r="302" spans="1:16" x14ac:dyDescent="0.35">
      <c r="A302" s="4">
        <v>299</v>
      </c>
      <c r="B302" s="17">
        <v>46053.491666666669</v>
      </c>
      <c r="C302" s="1">
        <v>82936.210000000006</v>
      </c>
      <c r="D302" s="20">
        <v>82962.899999999994</v>
      </c>
      <c r="E302" s="20">
        <v>82922.97</v>
      </c>
      <c r="F302" s="1">
        <v>82922.97</v>
      </c>
      <c r="G302" s="18">
        <v>115</v>
      </c>
      <c r="I302" s="21">
        <v>46053.491666666669</v>
      </c>
      <c r="J302" s="26"/>
      <c r="K302" s="26"/>
      <c r="L302" s="27">
        <v>82982.053329999995</v>
      </c>
      <c r="M302" s="27">
        <v>82875.413329999996</v>
      </c>
      <c r="N302" s="28" t="s">
        <v>6</v>
      </c>
      <c r="O302" s="28" t="s">
        <v>13</v>
      </c>
      <c r="P302"/>
    </row>
    <row r="303" spans="1:16" x14ac:dyDescent="0.35">
      <c r="A303" s="4">
        <v>300</v>
      </c>
      <c r="B303" s="17">
        <v>46053.492361111108</v>
      </c>
      <c r="C303" s="1">
        <v>82922.97</v>
      </c>
      <c r="D303" s="20">
        <v>82963.5</v>
      </c>
      <c r="E303" s="20">
        <v>82922.97</v>
      </c>
      <c r="F303" s="1">
        <v>82957.63</v>
      </c>
      <c r="G303" s="18">
        <v>109</v>
      </c>
      <c r="I303" s="21">
        <v>46053.492361111108</v>
      </c>
      <c r="J303" s="26"/>
      <c r="K303" s="26"/>
      <c r="L303" s="27">
        <v>82979.275559999995</v>
      </c>
      <c r="M303" s="27">
        <v>82857.53</v>
      </c>
      <c r="N303" s="28" t="s">
        <v>6</v>
      </c>
      <c r="O303" s="28" t="s">
        <v>13</v>
      </c>
      <c r="P303"/>
    </row>
    <row r="304" spans="1:16" x14ac:dyDescent="0.35">
      <c r="A304" s="4">
        <v>301</v>
      </c>
      <c r="B304" s="17">
        <v>46053.493055555555</v>
      </c>
      <c r="C304" s="1">
        <v>82957.63</v>
      </c>
      <c r="D304" s="20">
        <v>82972.160000000003</v>
      </c>
      <c r="E304" s="20">
        <v>82947.210000000006</v>
      </c>
      <c r="F304" s="1">
        <v>82972.12</v>
      </c>
      <c r="G304" s="18">
        <v>135</v>
      </c>
      <c r="I304" s="21">
        <v>46053.493055555555</v>
      </c>
      <c r="J304" s="26"/>
      <c r="K304" s="26"/>
      <c r="L304" s="27">
        <v>82976.497780000005</v>
      </c>
      <c r="M304" s="27">
        <v>82839.646670000002</v>
      </c>
      <c r="N304" s="28" t="s">
        <v>6</v>
      </c>
      <c r="O304" s="28" t="s">
        <v>13</v>
      </c>
      <c r="P304"/>
    </row>
    <row r="305" spans="1:16" x14ac:dyDescent="0.35">
      <c r="A305" s="4">
        <v>302</v>
      </c>
      <c r="B305" s="17">
        <v>46053.493750000001</v>
      </c>
      <c r="C305" s="1">
        <v>82972.12</v>
      </c>
      <c r="D305" s="20">
        <v>82973.72</v>
      </c>
      <c r="E305" s="20">
        <v>82889.95</v>
      </c>
      <c r="F305" s="1">
        <v>82909.06</v>
      </c>
      <c r="G305" s="18">
        <v>140</v>
      </c>
      <c r="I305" s="21">
        <v>46053.493750000001</v>
      </c>
      <c r="J305" s="26">
        <v>82973.72</v>
      </c>
      <c r="K305" s="26"/>
      <c r="L305" s="27">
        <v>82973.72</v>
      </c>
      <c r="M305" s="27">
        <v>82821.763330000002</v>
      </c>
      <c r="N305" s="28" t="s">
        <v>6</v>
      </c>
      <c r="O305" s="28" t="s">
        <v>13</v>
      </c>
      <c r="P305"/>
    </row>
    <row r="306" spans="1:16" x14ac:dyDescent="0.35">
      <c r="A306" s="4">
        <v>303</v>
      </c>
      <c r="B306" s="17">
        <v>46053.494444444441</v>
      </c>
      <c r="C306" s="1">
        <v>82908.61</v>
      </c>
      <c r="D306" s="20">
        <v>82909.3</v>
      </c>
      <c r="E306" s="20">
        <v>82803.88</v>
      </c>
      <c r="F306" s="1">
        <v>82835.53</v>
      </c>
      <c r="G306" s="18">
        <v>186</v>
      </c>
      <c r="I306" s="21">
        <v>46053.494444444441</v>
      </c>
      <c r="J306" s="26"/>
      <c r="K306" s="26">
        <v>82803.88</v>
      </c>
      <c r="L306" s="27">
        <v>82973.983330000003</v>
      </c>
      <c r="M306" s="27">
        <v>82803.88</v>
      </c>
      <c r="N306" s="28" t="s">
        <v>7</v>
      </c>
      <c r="O306" s="28" t="s">
        <v>13</v>
      </c>
      <c r="P306"/>
    </row>
    <row r="307" spans="1:16" x14ac:dyDescent="0.35">
      <c r="A307" s="4">
        <v>304</v>
      </c>
      <c r="B307" s="17">
        <v>46053.495138888888</v>
      </c>
      <c r="C307" s="1">
        <v>82835.55</v>
      </c>
      <c r="D307" s="20">
        <v>82899.3</v>
      </c>
      <c r="E307" s="20">
        <v>82835.039999999994</v>
      </c>
      <c r="F307" s="1">
        <v>82886.39</v>
      </c>
      <c r="G307" s="18">
        <v>158</v>
      </c>
      <c r="I307" s="21">
        <v>46053.495138888888</v>
      </c>
      <c r="J307" s="26"/>
      <c r="K307" s="26"/>
      <c r="L307" s="27">
        <v>82974.246669999993</v>
      </c>
      <c r="M307" s="27">
        <v>82820.026670000007</v>
      </c>
      <c r="N307" s="28" t="s">
        <v>7</v>
      </c>
      <c r="O307" s="28" t="s">
        <v>8</v>
      </c>
      <c r="P307"/>
    </row>
    <row r="308" spans="1:16" x14ac:dyDescent="0.35">
      <c r="A308" s="4">
        <v>305</v>
      </c>
      <c r="B308" s="17">
        <v>46053.495833333334</v>
      </c>
      <c r="C308" s="1">
        <v>82886.399999999994</v>
      </c>
      <c r="D308" s="20">
        <v>82946.100000000006</v>
      </c>
      <c r="E308" s="20">
        <v>82886.399999999994</v>
      </c>
      <c r="F308" s="1">
        <v>82920.53</v>
      </c>
      <c r="G308" s="18">
        <v>145</v>
      </c>
      <c r="I308" s="21">
        <v>46053.495833333334</v>
      </c>
      <c r="J308" s="26"/>
      <c r="K308" s="26"/>
      <c r="L308" s="27">
        <v>82974.509999999995</v>
      </c>
      <c r="M308" s="27">
        <v>82836.173330000005</v>
      </c>
      <c r="N308" s="28" t="s">
        <v>7</v>
      </c>
      <c r="O308" s="28" t="s">
        <v>8</v>
      </c>
      <c r="P308"/>
    </row>
    <row r="309" spans="1:16" x14ac:dyDescent="0.35">
      <c r="A309" s="4">
        <v>306</v>
      </c>
      <c r="B309" s="17">
        <v>46053.496527777781</v>
      </c>
      <c r="C309" s="1">
        <v>82920.600000000006</v>
      </c>
      <c r="D309" s="20">
        <v>82940.399999999994</v>
      </c>
      <c r="E309" s="20">
        <v>82908.25</v>
      </c>
      <c r="F309" s="1">
        <v>82928.600000000006</v>
      </c>
      <c r="G309" s="18">
        <v>139</v>
      </c>
      <c r="I309" s="21">
        <v>46053.496527777781</v>
      </c>
      <c r="J309" s="26"/>
      <c r="K309" s="26"/>
      <c r="L309" s="27">
        <v>82974.773329999996</v>
      </c>
      <c r="M309" s="27">
        <v>82852.320000000007</v>
      </c>
      <c r="N309" s="28" t="s">
        <v>7</v>
      </c>
      <c r="O309" s="28" t="s">
        <v>8</v>
      </c>
      <c r="P309"/>
    </row>
    <row r="310" spans="1:16" x14ac:dyDescent="0.35">
      <c r="A310" s="4">
        <v>307</v>
      </c>
      <c r="B310" s="17">
        <v>46053.49722222222</v>
      </c>
      <c r="C310" s="1">
        <v>82939.62</v>
      </c>
      <c r="D310" s="20">
        <v>82962.11</v>
      </c>
      <c r="E310" s="20">
        <v>82939.62</v>
      </c>
      <c r="F310" s="1">
        <v>82945.55</v>
      </c>
      <c r="G310" s="18">
        <v>109</v>
      </c>
      <c r="I310" s="21">
        <v>46053.49722222222</v>
      </c>
      <c r="J310" s="26"/>
      <c r="K310" s="26"/>
      <c r="L310" s="27">
        <v>82975.036670000001</v>
      </c>
      <c r="M310" s="27">
        <v>82868.466669999994</v>
      </c>
      <c r="N310" s="28" t="s">
        <v>7</v>
      </c>
      <c r="O310" s="28" t="s">
        <v>8</v>
      </c>
      <c r="P310"/>
    </row>
    <row r="311" spans="1:16" x14ac:dyDescent="0.35">
      <c r="A311" s="4">
        <v>308</v>
      </c>
      <c r="B311" s="17">
        <v>46053.497916666667</v>
      </c>
      <c r="C311" s="1">
        <v>82945.56</v>
      </c>
      <c r="D311" s="20">
        <v>82975.3</v>
      </c>
      <c r="E311" s="20">
        <v>82939.520000000004</v>
      </c>
      <c r="F311" s="1">
        <v>82953.350000000006</v>
      </c>
      <c r="G311" s="18">
        <v>118</v>
      </c>
      <c r="I311" s="21">
        <v>46053.497916666667</v>
      </c>
      <c r="J311" s="26">
        <v>82975.3</v>
      </c>
      <c r="K311" s="26"/>
      <c r="L311" s="27">
        <v>82975.3</v>
      </c>
      <c r="M311" s="27">
        <v>82884.613329999993</v>
      </c>
      <c r="N311" s="28" t="s">
        <v>7</v>
      </c>
      <c r="O311" s="28" t="s">
        <v>8</v>
      </c>
      <c r="P311"/>
    </row>
    <row r="312" spans="1:16" x14ac:dyDescent="0.35">
      <c r="A312" s="4">
        <v>309</v>
      </c>
      <c r="B312" s="17">
        <v>46053.498611111114</v>
      </c>
      <c r="C312" s="1">
        <v>82953.36</v>
      </c>
      <c r="D312" s="20">
        <v>82953.37</v>
      </c>
      <c r="E312" s="20">
        <v>82900.759999999995</v>
      </c>
      <c r="F312" s="1">
        <v>82905.98</v>
      </c>
      <c r="G312" s="18">
        <v>138</v>
      </c>
      <c r="I312" s="21">
        <v>46053.498611111114</v>
      </c>
      <c r="J312" s="26"/>
      <c r="K312" s="26">
        <v>82900.759999999995</v>
      </c>
      <c r="L312" s="27">
        <v>82978.83</v>
      </c>
      <c r="M312" s="27">
        <v>82900.759999999995</v>
      </c>
      <c r="N312" s="28" t="s">
        <v>7</v>
      </c>
      <c r="O312" s="28" t="s">
        <v>8</v>
      </c>
      <c r="P312"/>
    </row>
    <row r="313" spans="1:16" x14ac:dyDescent="0.35">
      <c r="A313" s="4">
        <v>310</v>
      </c>
      <c r="B313" s="17">
        <v>46053.499305555553</v>
      </c>
      <c r="C313" s="1">
        <v>82905.69</v>
      </c>
      <c r="D313" s="20">
        <v>82973.649999999994</v>
      </c>
      <c r="E313" s="20">
        <v>82905.69</v>
      </c>
      <c r="F313" s="1">
        <v>82973.320000000007</v>
      </c>
      <c r="G313" s="18">
        <v>136</v>
      </c>
      <c r="I313" s="21">
        <v>46053.499305555553</v>
      </c>
      <c r="J313" s="26"/>
      <c r="K313" s="26"/>
      <c r="L313" s="27">
        <v>82982.36</v>
      </c>
      <c r="M313" s="27">
        <v>82910.759999999995</v>
      </c>
      <c r="N313" s="28" t="s">
        <v>7</v>
      </c>
      <c r="O313" s="28" t="s">
        <v>8</v>
      </c>
      <c r="P313"/>
    </row>
    <row r="314" spans="1:16" x14ac:dyDescent="0.35">
      <c r="A314" s="4">
        <v>311</v>
      </c>
      <c r="B314" s="17">
        <v>46053.5</v>
      </c>
      <c r="C314" s="1">
        <v>82965.52</v>
      </c>
      <c r="D314" s="20">
        <v>82971.539999999994</v>
      </c>
      <c r="E314" s="20">
        <v>82953.289999999994</v>
      </c>
      <c r="F314" s="1">
        <v>82970.13</v>
      </c>
      <c r="G314" s="18">
        <v>155</v>
      </c>
      <c r="I314" s="21">
        <v>46053.5</v>
      </c>
      <c r="J314" s="26"/>
      <c r="K314" s="26"/>
      <c r="L314" s="27">
        <v>82985.89</v>
      </c>
      <c r="M314" s="27">
        <v>82920.759999999995</v>
      </c>
      <c r="N314" s="28" t="s">
        <v>7</v>
      </c>
      <c r="O314" s="28" t="s">
        <v>8</v>
      </c>
      <c r="P314"/>
    </row>
    <row r="315" spans="1:16" x14ac:dyDescent="0.35">
      <c r="A315" s="4">
        <v>312</v>
      </c>
      <c r="B315" s="17">
        <v>46053.500694444447</v>
      </c>
      <c r="C315" s="1">
        <v>82970.210000000006</v>
      </c>
      <c r="D315" s="20">
        <v>82989.42</v>
      </c>
      <c r="E315" s="20">
        <v>82950.759999999995</v>
      </c>
      <c r="F315" s="1">
        <v>82953.600000000006</v>
      </c>
      <c r="G315" s="18">
        <v>110</v>
      </c>
      <c r="I315" s="21">
        <v>46053.500694444447</v>
      </c>
      <c r="J315" s="26">
        <v>82989.42</v>
      </c>
      <c r="K315" s="26"/>
      <c r="L315" s="27">
        <v>82989.42</v>
      </c>
      <c r="M315" s="27">
        <v>82930.759999999995</v>
      </c>
      <c r="N315" s="28" t="s">
        <v>7</v>
      </c>
      <c r="O315" s="28" t="s">
        <v>8</v>
      </c>
      <c r="P315"/>
    </row>
    <row r="316" spans="1:16" x14ac:dyDescent="0.35">
      <c r="A316" s="4">
        <v>313</v>
      </c>
      <c r="B316" s="17">
        <v>46053.501388888886</v>
      </c>
      <c r="C316" s="1">
        <v>82953.63</v>
      </c>
      <c r="D316" s="20">
        <v>82982.320000000007</v>
      </c>
      <c r="E316" s="20">
        <v>82940.759999999995</v>
      </c>
      <c r="F316" s="1">
        <v>82956.33</v>
      </c>
      <c r="G316" s="18">
        <v>144</v>
      </c>
      <c r="I316" s="21">
        <v>46053.501388888886</v>
      </c>
      <c r="J316" s="26"/>
      <c r="K316" s="26">
        <v>82940.759999999995</v>
      </c>
      <c r="L316" s="27">
        <v>82992.88</v>
      </c>
      <c r="M316" s="27">
        <v>82940.759999999995</v>
      </c>
      <c r="N316" s="28" t="s">
        <v>7</v>
      </c>
      <c r="O316" s="28" t="s">
        <v>8</v>
      </c>
      <c r="P316"/>
    </row>
    <row r="317" spans="1:16" x14ac:dyDescent="0.35">
      <c r="A317" s="4">
        <v>314</v>
      </c>
      <c r="B317" s="17">
        <v>46053.502083333333</v>
      </c>
      <c r="C317" s="1">
        <v>82956.23</v>
      </c>
      <c r="D317" s="20">
        <v>82970.320000000007</v>
      </c>
      <c r="E317" s="20">
        <v>82948.17</v>
      </c>
      <c r="F317" s="1">
        <v>82960.55</v>
      </c>
      <c r="G317" s="18">
        <v>132</v>
      </c>
      <c r="I317" s="21">
        <v>46053.502083333333</v>
      </c>
      <c r="J317" s="26"/>
      <c r="K317" s="26"/>
      <c r="L317" s="27">
        <v>82996.34</v>
      </c>
      <c r="M317" s="27">
        <v>82912.107999999993</v>
      </c>
      <c r="N317" s="28" t="s">
        <v>7</v>
      </c>
      <c r="O317" s="28" t="s">
        <v>13</v>
      </c>
      <c r="P317"/>
    </row>
    <row r="318" spans="1:16" x14ac:dyDescent="0.35">
      <c r="A318" s="4">
        <v>315</v>
      </c>
      <c r="B318" s="17">
        <v>46053.50277777778</v>
      </c>
      <c r="C318" s="1">
        <v>82960.56</v>
      </c>
      <c r="D318" s="20">
        <v>82966.2</v>
      </c>
      <c r="E318" s="20">
        <v>82947.97</v>
      </c>
      <c r="F318" s="1">
        <v>82956.84</v>
      </c>
      <c r="G318" s="18">
        <v>124</v>
      </c>
      <c r="I318" s="21">
        <v>46053.50277777778</v>
      </c>
      <c r="J318" s="26"/>
      <c r="K318" s="26"/>
      <c r="L318" s="27">
        <v>82999.8</v>
      </c>
      <c r="M318" s="27">
        <v>82883.456000000006</v>
      </c>
      <c r="N318" s="28" t="s">
        <v>7</v>
      </c>
      <c r="O318" s="28" t="s">
        <v>13</v>
      </c>
      <c r="P318"/>
    </row>
    <row r="319" spans="1:16" x14ac:dyDescent="0.35">
      <c r="A319" s="4">
        <v>316</v>
      </c>
      <c r="B319" s="17">
        <v>46053.503472222219</v>
      </c>
      <c r="C319" s="1">
        <v>82956.84</v>
      </c>
      <c r="D319" s="20">
        <v>82978.47</v>
      </c>
      <c r="E319" s="20">
        <v>82945.679999999993</v>
      </c>
      <c r="F319" s="1">
        <v>82977.7</v>
      </c>
      <c r="G319" s="18">
        <v>126</v>
      </c>
      <c r="I319" s="21">
        <v>46053.503472222219</v>
      </c>
      <c r="J319" s="26"/>
      <c r="K319" s="26"/>
      <c r="L319" s="27">
        <v>83003.259999999995</v>
      </c>
      <c r="M319" s="27">
        <v>82854.804000000004</v>
      </c>
      <c r="N319" s="28" t="s">
        <v>7</v>
      </c>
      <c r="O319" s="28" t="s">
        <v>13</v>
      </c>
      <c r="P319"/>
    </row>
    <row r="320" spans="1:16" x14ac:dyDescent="0.35">
      <c r="A320" s="4">
        <v>317</v>
      </c>
      <c r="B320" s="17">
        <v>46053.504166666666</v>
      </c>
      <c r="C320" s="1">
        <v>82978.55</v>
      </c>
      <c r="D320" s="20">
        <v>83006.720000000001</v>
      </c>
      <c r="E320" s="20">
        <v>82978.55</v>
      </c>
      <c r="F320" s="1">
        <v>83006.720000000001</v>
      </c>
      <c r="G320" s="18">
        <v>144</v>
      </c>
      <c r="I320" s="21">
        <v>46053.504166666666</v>
      </c>
      <c r="J320" s="26">
        <v>83006.720000000001</v>
      </c>
      <c r="K320" s="26"/>
      <c r="L320" s="27">
        <v>83006.720000000001</v>
      </c>
      <c r="M320" s="27">
        <v>82826.152000000002</v>
      </c>
      <c r="N320" s="28" t="s">
        <v>7</v>
      </c>
      <c r="O320" s="28" t="s">
        <v>13</v>
      </c>
      <c r="P320"/>
    </row>
    <row r="321" spans="1:16" x14ac:dyDescent="0.35">
      <c r="A321" s="4">
        <v>318</v>
      </c>
      <c r="B321" s="17">
        <v>46053.509722222225</v>
      </c>
      <c r="C321" s="1">
        <v>82801.38</v>
      </c>
      <c r="D321" s="20">
        <v>82805.509999999995</v>
      </c>
      <c r="E321" s="20">
        <v>82797.5</v>
      </c>
      <c r="F321" s="1">
        <v>82797.53</v>
      </c>
      <c r="G321" s="18">
        <v>33</v>
      </c>
      <c r="I321" s="21">
        <v>46053.509722222225</v>
      </c>
      <c r="J321" s="26"/>
      <c r="K321" s="26">
        <v>82797.5</v>
      </c>
      <c r="L321" s="27">
        <v>83011.531430000003</v>
      </c>
      <c r="M321" s="27">
        <v>82797.5</v>
      </c>
      <c r="N321" s="28" t="s">
        <v>7</v>
      </c>
      <c r="O321" s="28" t="s">
        <v>13</v>
      </c>
      <c r="P321"/>
    </row>
    <row r="322" spans="1:16" x14ac:dyDescent="0.35">
      <c r="A322" s="4">
        <v>319</v>
      </c>
      <c r="B322" s="17">
        <v>46053.510416666664</v>
      </c>
      <c r="C322" s="1">
        <v>82797.62</v>
      </c>
      <c r="D322" s="20">
        <v>82825.53</v>
      </c>
      <c r="E322" s="20">
        <v>82797.53</v>
      </c>
      <c r="F322" s="1">
        <v>82811.5</v>
      </c>
      <c r="G322" s="18">
        <v>128</v>
      </c>
      <c r="I322" s="21">
        <v>46053.510416666664</v>
      </c>
      <c r="J322" s="26"/>
      <c r="K322" s="26"/>
      <c r="L322" s="27">
        <v>83016.342860000004</v>
      </c>
      <c r="M322" s="27">
        <v>82808.692500000005</v>
      </c>
      <c r="N322" s="28" t="s">
        <v>7</v>
      </c>
      <c r="O322" s="28" t="s">
        <v>8</v>
      </c>
      <c r="P322"/>
    </row>
    <row r="323" spans="1:16" x14ac:dyDescent="0.35">
      <c r="A323" s="4">
        <v>320</v>
      </c>
      <c r="B323" s="17">
        <v>46053.511111111111</v>
      </c>
      <c r="C323" s="1">
        <v>82815.5</v>
      </c>
      <c r="D323" s="20">
        <v>82911.77</v>
      </c>
      <c r="E323" s="20">
        <v>82815.5</v>
      </c>
      <c r="F323" s="1">
        <v>82910.86</v>
      </c>
      <c r="G323" s="18">
        <v>175</v>
      </c>
      <c r="I323" s="21">
        <v>46053.511111111111</v>
      </c>
      <c r="J323" s="26"/>
      <c r="K323" s="26"/>
      <c r="L323" s="27">
        <v>83021.154290000006</v>
      </c>
      <c r="M323" s="27">
        <v>82819.884999999995</v>
      </c>
      <c r="N323" s="28" t="s">
        <v>7</v>
      </c>
      <c r="O323" s="28" t="s">
        <v>8</v>
      </c>
      <c r="P323"/>
    </row>
    <row r="324" spans="1:16" x14ac:dyDescent="0.35">
      <c r="A324" s="4">
        <v>321</v>
      </c>
      <c r="B324" s="17">
        <v>46053.511805555558</v>
      </c>
      <c r="C324" s="1">
        <v>82910.850000000006</v>
      </c>
      <c r="D324" s="20">
        <v>82921.5</v>
      </c>
      <c r="E324" s="20">
        <v>82881.06</v>
      </c>
      <c r="F324" s="1">
        <v>82921.45</v>
      </c>
      <c r="G324" s="18">
        <v>193</v>
      </c>
      <c r="I324" s="21">
        <v>46053.511805555558</v>
      </c>
      <c r="J324" s="26"/>
      <c r="K324" s="26"/>
      <c r="L324" s="27">
        <v>83025.965710000004</v>
      </c>
      <c r="M324" s="27">
        <v>82831.077499999999</v>
      </c>
      <c r="N324" s="28" t="s">
        <v>7</v>
      </c>
      <c r="O324" s="28" t="s">
        <v>8</v>
      </c>
      <c r="P324"/>
    </row>
    <row r="325" spans="1:16" x14ac:dyDescent="0.35">
      <c r="A325" s="4">
        <v>322</v>
      </c>
      <c r="B325" s="17">
        <v>46053.512499999997</v>
      </c>
      <c r="C325" s="1">
        <v>82921.45</v>
      </c>
      <c r="D325" s="20">
        <v>82921.87</v>
      </c>
      <c r="E325" s="20">
        <v>82880.240000000005</v>
      </c>
      <c r="F325" s="1">
        <v>82910.62</v>
      </c>
      <c r="G325" s="18">
        <v>154</v>
      </c>
      <c r="I325" s="21">
        <v>46053.512499999997</v>
      </c>
      <c r="J325" s="26"/>
      <c r="K325" s="26"/>
      <c r="L325" s="27">
        <v>83030.777140000006</v>
      </c>
      <c r="M325" s="27">
        <v>82842.27</v>
      </c>
      <c r="N325" s="28" t="s">
        <v>7</v>
      </c>
      <c r="O325" s="28" t="s">
        <v>8</v>
      </c>
      <c r="P325"/>
    </row>
    <row r="326" spans="1:16" x14ac:dyDescent="0.35">
      <c r="A326" s="4">
        <v>323</v>
      </c>
      <c r="B326" s="17">
        <v>46053.513194444444</v>
      </c>
      <c r="C326" s="1">
        <v>82910.61</v>
      </c>
      <c r="D326" s="20">
        <v>82973.259999999995</v>
      </c>
      <c r="E326" s="20">
        <v>82887.58</v>
      </c>
      <c r="F326" s="1">
        <v>82965.509999999995</v>
      </c>
      <c r="G326" s="18">
        <v>165</v>
      </c>
      <c r="I326" s="21">
        <v>46053.513194444444</v>
      </c>
      <c r="J326" s="26"/>
      <c r="K326" s="26"/>
      <c r="L326" s="27">
        <v>83035.588570000007</v>
      </c>
      <c r="M326" s="27">
        <v>82853.462499999994</v>
      </c>
      <c r="N326" s="28" t="s">
        <v>7</v>
      </c>
      <c r="O326" s="28" t="s">
        <v>8</v>
      </c>
      <c r="P326"/>
    </row>
    <row r="327" spans="1:16" x14ac:dyDescent="0.35">
      <c r="A327" s="4">
        <v>324</v>
      </c>
      <c r="B327" s="17">
        <v>46053.513888888891</v>
      </c>
      <c r="C327" s="1">
        <v>82965.81</v>
      </c>
      <c r="D327" s="20">
        <v>83040.399999999994</v>
      </c>
      <c r="E327" s="20">
        <v>82960.22</v>
      </c>
      <c r="F327" s="1">
        <v>82961.240000000005</v>
      </c>
      <c r="G327" s="18">
        <v>195</v>
      </c>
      <c r="I327" s="21">
        <v>46053.513888888891</v>
      </c>
      <c r="J327" s="26">
        <v>83040.399999999994</v>
      </c>
      <c r="K327" s="26"/>
      <c r="L327" s="27">
        <v>83040.399999999994</v>
      </c>
      <c r="M327" s="27">
        <v>82864.654999999999</v>
      </c>
      <c r="N327" s="28" t="s">
        <v>7</v>
      </c>
      <c r="O327" s="28" t="s">
        <v>8</v>
      </c>
      <c r="P327"/>
    </row>
    <row r="328" spans="1:16" x14ac:dyDescent="0.35">
      <c r="A328" s="4">
        <v>325</v>
      </c>
      <c r="B328" s="17">
        <v>46053.51458333333</v>
      </c>
      <c r="C328" s="1">
        <v>82961.19</v>
      </c>
      <c r="D328" s="20">
        <v>82962.2</v>
      </c>
      <c r="E328" s="20">
        <v>82906.009999999995</v>
      </c>
      <c r="F328" s="1">
        <v>82906.5</v>
      </c>
      <c r="G328" s="18">
        <v>156</v>
      </c>
      <c r="I328" s="21">
        <v>46053.51458333333</v>
      </c>
      <c r="J328" s="26"/>
      <c r="K328" s="26"/>
      <c r="L328" s="27">
        <v>83027.899999999994</v>
      </c>
      <c r="M328" s="27">
        <v>82875.847500000003</v>
      </c>
      <c r="N328" s="28" t="s">
        <v>6</v>
      </c>
      <c r="O328" s="28" t="s">
        <v>8</v>
      </c>
      <c r="P328"/>
    </row>
    <row r="329" spans="1:16" x14ac:dyDescent="0.35">
      <c r="A329" s="4">
        <v>326</v>
      </c>
      <c r="B329" s="17">
        <v>46053.515277777777</v>
      </c>
      <c r="C329" s="1">
        <v>82906.47</v>
      </c>
      <c r="D329" s="20">
        <v>82921.350000000006</v>
      </c>
      <c r="E329" s="20">
        <v>82887.039999999994</v>
      </c>
      <c r="F329" s="1">
        <v>82921.350000000006</v>
      </c>
      <c r="G329" s="18">
        <v>185</v>
      </c>
      <c r="I329" s="21">
        <v>46053.515277777777</v>
      </c>
      <c r="J329" s="26"/>
      <c r="K329" s="26">
        <v>82887.039999999994</v>
      </c>
      <c r="L329" s="27">
        <v>83015.399999999994</v>
      </c>
      <c r="M329" s="27">
        <v>82887.039999999994</v>
      </c>
      <c r="N329" s="28" t="s">
        <v>6</v>
      </c>
      <c r="O329" s="28" t="s">
        <v>8</v>
      </c>
      <c r="P329"/>
    </row>
    <row r="330" spans="1:16" x14ac:dyDescent="0.35">
      <c r="A330" s="4">
        <v>327</v>
      </c>
      <c r="B330" s="17">
        <v>46053.515972222223</v>
      </c>
      <c r="C330" s="1">
        <v>82936.72</v>
      </c>
      <c r="D330" s="20">
        <v>82954.81</v>
      </c>
      <c r="E330" s="20">
        <v>82928.22</v>
      </c>
      <c r="F330" s="1">
        <v>82946.45</v>
      </c>
      <c r="G330" s="18">
        <v>188</v>
      </c>
      <c r="I330" s="21">
        <v>46053.515972222223</v>
      </c>
      <c r="J330" s="26"/>
      <c r="K330" s="26"/>
      <c r="L330" s="27">
        <v>83002.899999999994</v>
      </c>
      <c r="M330" s="27">
        <v>82883.152000000002</v>
      </c>
      <c r="N330" s="28" t="s">
        <v>6</v>
      </c>
      <c r="O330" s="28" t="s">
        <v>13</v>
      </c>
      <c r="P330"/>
    </row>
    <row r="331" spans="1:16" x14ac:dyDescent="0.35">
      <c r="A331" s="4">
        <v>328</v>
      </c>
      <c r="B331" s="17">
        <v>46053.51666666667</v>
      </c>
      <c r="C331" s="1">
        <v>82946.42</v>
      </c>
      <c r="D331" s="20">
        <v>82990.399999999994</v>
      </c>
      <c r="E331" s="20">
        <v>82946.42</v>
      </c>
      <c r="F331" s="1">
        <v>82963</v>
      </c>
      <c r="G331" s="18">
        <v>150</v>
      </c>
      <c r="I331" s="21">
        <v>46053.51666666667</v>
      </c>
      <c r="J331" s="26">
        <v>82990.399999999994</v>
      </c>
      <c r="K331" s="26"/>
      <c r="L331" s="27">
        <v>82990.399999999994</v>
      </c>
      <c r="M331" s="27">
        <v>82879.263999999996</v>
      </c>
      <c r="N331" s="28" t="s">
        <v>6</v>
      </c>
      <c r="O331" s="28" t="s">
        <v>13</v>
      </c>
      <c r="P331"/>
    </row>
    <row r="332" spans="1:16" x14ac:dyDescent="0.35">
      <c r="A332" s="4">
        <v>329</v>
      </c>
      <c r="B332" s="17">
        <v>46053.517361111109</v>
      </c>
      <c r="C332" s="1">
        <v>82968.800000000003</v>
      </c>
      <c r="D332" s="20">
        <v>82971.48</v>
      </c>
      <c r="E332" s="20">
        <v>82946.89</v>
      </c>
      <c r="F332" s="1">
        <v>82957.2</v>
      </c>
      <c r="G332" s="18">
        <v>101</v>
      </c>
      <c r="I332" s="21">
        <v>46053.517361111109</v>
      </c>
      <c r="J332" s="26"/>
      <c r="K332" s="26"/>
      <c r="L332" s="27">
        <v>82985.5625</v>
      </c>
      <c r="M332" s="27">
        <v>82875.376000000004</v>
      </c>
      <c r="N332" s="28" t="s">
        <v>6</v>
      </c>
      <c r="O332" s="28" t="s">
        <v>13</v>
      </c>
      <c r="P332"/>
    </row>
    <row r="333" spans="1:16" x14ac:dyDescent="0.35">
      <c r="A333" s="4">
        <v>330</v>
      </c>
      <c r="B333" s="17">
        <v>46053.518055555556</v>
      </c>
      <c r="C333" s="1">
        <v>82957.2</v>
      </c>
      <c r="D333" s="20">
        <v>82977.41</v>
      </c>
      <c r="E333" s="20">
        <v>82956.83</v>
      </c>
      <c r="F333" s="1">
        <v>82957.62</v>
      </c>
      <c r="G333" s="18">
        <v>113</v>
      </c>
      <c r="I333" s="21">
        <v>46053.518055555556</v>
      </c>
      <c r="J333" s="26"/>
      <c r="K333" s="26"/>
      <c r="L333" s="27">
        <v>82980.725000000006</v>
      </c>
      <c r="M333" s="27">
        <v>82871.487999999998</v>
      </c>
      <c r="N333" s="28" t="s">
        <v>6</v>
      </c>
      <c r="O333" s="28" t="s">
        <v>13</v>
      </c>
      <c r="P333"/>
    </row>
    <row r="334" spans="1:16" x14ac:dyDescent="0.35">
      <c r="A334" s="4">
        <v>331</v>
      </c>
      <c r="B334" s="17">
        <v>46053.518750000003</v>
      </c>
      <c r="C334" s="1">
        <v>82957.399999999994</v>
      </c>
      <c r="D334" s="20">
        <v>82957.61</v>
      </c>
      <c r="E334" s="20">
        <v>82938.350000000006</v>
      </c>
      <c r="F334" s="1">
        <v>82951.899999999994</v>
      </c>
      <c r="G334" s="18">
        <v>103</v>
      </c>
      <c r="I334" s="21">
        <v>46053.518750000003</v>
      </c>
      <c r="J334" s="26"/>
      <c r="K334" s="26"/>
      <c r="L334" s="27">
        <v>82975.887499999997</v>
      </c>
      <c r="M334" s="27">
        <v>82867.600000000006</v>
      </c>
      <c r="N334" s="28" t="s">
        <v>6</v>
      </c>
      <c r="O334" s="28" t="s">
        <v>13</v>
      </c>
      <c r="P334"/>
    </row>
    <row r="335" spans="1:16" x14ac:dyDescent="0.35">
      <c r="A335" s="4">
        <v>332</v>
      </c>
      <c r="B335" s="17">
        <v>46053.519444444442</v>
      </c>
      <c r="C335" s="1">
        <v>82952.7</v>
      </c>
      <c r="D335" s="20">
        <v>82960.77</v>
      </c>
      <c r="E335" s="20">
        <v>82931.05</v>
      </c>
      <c r="F335" s="1">
        <v>82932.61</v>
      </c>
      <c r="G335" s="18">
        <v>149</v>
      </c>
      <c r="I335" s="21">
        <v>46053.519444444442</v>
      </c>
      <c r="J335" s="26"/>
      <c r="K335" s="26"/>
      <c r="L335" s="27">
        <v>82971.05</v>
      </c>
      <c r="M335" s="27">
        <v>82863.712</v>
      </c>
      <c r="N335" s="28" t="s">
        <v>6</v>
      </c>
      <c r="O335" s="28" t="s">
        <v>13</v>
      </c>
      <c r="P335"/>
    </row>
    <row r="336" spans="1:16" x14ac:dyDescent="0.35">
      <c r="A336" s="4">
        <v>333</v>
      </c>
      <c r="B336" s="17">
        <v>46053.520138888889</v>
      </c>
      <c r="C336" s="1">
        <v>82932.600000000006</v>
      </c>
      <c r="D336" s="20">
        <v>82951.649999999994</v>
      </c>
      <c r="E336" s="20">
        <v>82926.720000000001</v>
      </c>
      <c r="F336" s="1">
        <v>82947.61</v>
      </c>
      <c r="G336" s="18">
        <v>133</v>
      </c>
      <c r="I336" s="21">
        <v>46053.520138888889</v>
      </c>
      <c r="J336" s="26"/>
      <c r="K336" s="26"/>
      <c r="L336" s="27">
        <v>82966.212499999994</v>
      </c>
      <c r="M336" s="27">
        <v>82859.823999999993</v>
      </c>
      <c r="N336" s="28" t="s">
        <v>6</v>
      </c>
      <c r="O336" s="28" t="s">
        <v>13</v>
      </c>
      <c r="P336"/>
    </row>
    <row r="337" spans="1:16" x14ac:dyDescent="0.35">
      <c r="A337" s="4">
        <v>334</v>
      </c>
      <c r="B337" s="17">
        <v>46053.520833333336</v>
      </c>
      <c r="C337" s="1">
        <v>82947.62</v>
      </c>
      <c r="D337" s="20">
        <v>82947.62</v>
      </c>
      <c r="E337" s="20">
        <v>82917.61</v>
      </c>
      <c r="F337" s="1">
        <v>82927.429999999993</v>
      </c>
      <c r="G337" s="18">
        <v>114</v>
      </c>
      <c r="I337" s="21">
        <v>46053.520833333336</v>
      </c>
      <c r="J337" s="26"/>
      <c r="K337" s="26"/>
      <c r="L337" s="27">
        <v>82961.375</v>
      </c>
      <c r="M337" s="27">
        <v>82855.936000000002</v>
      </c>
      <c r="N337" s="28" t="s">
        <v>6</v>
      </c>
      <c r="O337" s="28" t="s">
        <v>13</v>
      </c>
      <c r="P337"/>
    </row>
    <row r="338" spans="1:16" x14ac:dyDescent="0.35">
      <c r="A338" s="4">
        <v>335</v>
      </c>
      <c r="B338" s="17">
        <v>46053.521527777775</v>
      </c>
      <c r="C338" s="1">
        <v>82927.429999999993</v>
      </c>
      <c r="D338" s="20">
        <v>82927.429999999993</v>
      </c>
      <c r="E338" s="20">
        <v>82875.850000000006</v>
      </c>
      <c r="F338" s="1">
        <v>82877.17</v>
      </c>
      <c r="G338" s="18">
        <v>165</v>
      </c>
      <c r="I338" s="21">
        <v>46053.521527777775</v>
      </c>
      <c r="J338" s="26"/>
      <c r="K338" s="26"/>
      <c r="L338" s="27">
        <v>82956.537500000006</v>
      </c>
      <c r="M338" s="27">
        <v>82852.047999999995</v>
      </c>
      <c r="N338" s="28" t="s">
        <v>6</v>
      </c>
      <c r="O338" s="28" t="s">
        <v>13</v>
      </c>
      <c r="P338"/>
    </row>
    <row r="339" spans="1:16" x14ac:dyDescent="0.35">
      <c r="A339" s="4">
        <v>336</v>
      </c>
      <c r="B339" s="17">
        <v>46053.522222222222</v>
      </c>
      <c r="C339" s="1">
        <v>82875.820000000007</v>
      </c>
      <c r="D339" s="20">
        <v>82951.7</v>
      </c>
      <c r="E339" s="20">
        <v>82848.160000000003</v>
      </c>
      <c r="F339" s="1">
        <v>82919.94</v>
      </c>
      <c r="G339" s="18">
        <v>212</v>
      </c>
      <c r="I339" s="21">
        <v>46053.522222222222</v>
      </c>
      <c r="J339" s="26">
        <v>82951.7</v>
      </c>
      <c r="K339" s="26">
        <v>82848.160000000003</v>
      </c>
      <c r="L339" s="27">
        <v>82951.7</v>
      </c>
      <c r="M339" s="27">
        <v>82848.160000000003</v>
      </c>
      <c r="N339" s="28" t="s">
        <v>6</v>
      </c>
      <c r="O339" s="28" t="s">
        <v>13</v>
      </c>
      <c r="P339"/>
    </row>
    <row r="340" spans="1:16" x14ac:dyDescent="0.35">
      <c r="A340" s="4">
        <v>337</v>
      </c>
      <c r="B340" s="17">
        <v>46053.522916666669</v>
      </c>
      <c r="C340" s="1">
        <v>82919.990000000005</v>
      </c>
      <c r="D340" s="20">
        <v>82945.100000000006</v>
      </c>
      <c r="E340" s="20">
        <v>82885.91</v>
      </c>
      <c r="F340" s="1">
        <v>82888.09</v>
      </c>
      <c r="G340" s="18">
        <v>166</v>
      </c>
      <c r="I340" s="21">
        <v>46053.522916666669</v>
      </c>
      <c r="J340" s="26"/>
      <c r="K340" s="26"/>
      <c r="L340" s="27">
        <v>82941.017500000002</v>
      </c>
      <c r="M340" s="27">
        <v>82830.228000000003</v>
      </c>
      <c r="N340" s="28" t="s">
        <v>6</v>
      </c>
      <c r="O340" s="28" t="s">
        <v>13</v>
      </c>
      <c r="P340"/>
    </row>
    <row r="341" spans="1:16" x14ac:dyDescent="0.35">
      <c r="A341" s="4">
        <v>338</v>
      </c>
      <c r="B341" s="17">
        <v>46053.523611111108</v>
      </c>
      <c r="C341" s="1">
        <v>82888.13</v>
      </c>
      <c r="D341" s="20">
        <v>82894.429999999993</v>
      </c>
      <c r="E341" s="20">
        <v>82862.14</v>
      </c>
      <c r="F341" s="1">
        <v>82878.820000000007</v>
      </c>
      <c r="G341" s="18">
        <v>171</v>
      </c>
      <c r="I341" s="21">
        <v>46053.523611111108</v>
      </c>
      <c r="J341" s="26"/>
      <c r="K341" s="26"/>
      <c r="L341" s="27">
        <v>82930.335000000006</v>
      </c>
      <c r="M341" s="27">
        <v>82812.296000000002</v>
      </c>
      <c r="N341" s="28" t="s">
        <v>6</v>
      </c>
      <c r="O341" s="28" t="s">
        <v>13</v>
      </c>
      <c r="P341"/>
    </row>
    <row r="342" spans="1:16" x14ac:dyDescent="0.35">
      <c r="A342" s="4">
        <v>339</v>
      </c>
      <c r="B342" s="17">
        <v>46053.524305555555</v>
      </c>
      <c r="C342" s="1">
        <v>82880.399999999994</v>
      </c>
      <c r="D342" s="20">
        <v>82888</v>
      </c>
      <c r="E342" s="20">
        <v>82851.25</v>
      </c>
      <c r="F342" s="1">
        <v>82882.25</v>
      </c>
      <c r="G342" s="18">
        <v>169</v>
      </c>
      <c r="I342" s="21">
        <v>46053.524305555555</v>
      </c>
      <c r="J342" s="26"/>
      <c r="K342" s="26"/>
      <c r="L342" s="27">
        <v>82919.652499999997</v>
      </c>
      <c r="M342" s="27">
        <v>82794.364000000001</v>
      </c>
      <c r="N342" s="28" t="s">
        <v>6</v>
      </c>
      <c r="O342" s="28" t="s">
        <v>13</v>
      </c>
      <c r="P342"/>
    </row>
    <row r="343" spans="1:16" x14ac:dyDescent="0.35">
      <c r="A343" s="4">
        <v>340</v>
      </c>
      <c r="B343" s="17">
        <v>46053.525000000001</v>
      </c>
      <c r="C343" s="1">
        <v>82887.22</v>
      </c>
      <c r="D343" s="20">
        <v>82908.97</v>
      </c>
      <c r="E343" s="20">
        <v>82854</v>
      </c>
      <c r="F343" s="1">
        <v>82860.31</v>
      </c>
      <c r="G343" s="18">
        <v>138</v>
      </c>
      <c r="I343" s="21">
        <v>46053.525000000001</v>
      </c>
      <c r="J343" s="26">
        <v>82908.97</v>
      </c>
      <c r="K343" s="26"/>
      <c r="L343" s="27">
        <v>82908.97</v>
      </c>
      <c r="M343" s="27">
        <v>82776.432000000001</v>
      </c>
      <c r="N343" s="28" t="s">
        <v>6</v>
      </c>
      <c r="O343" s="28" t="s">
        <v>13</v>
      </c>
      <c r="P343"/>
    </row>
    <row r="344" spans="1:16" x14ac:dyDescent="0.35">
      <c r="A344" s="4">
        <v>341</v>
      </c>
      <c r="B344" s="17">
        <v>46053.525694444441</v>
      </c>
      <c r="C344" s="1">
        <v>82860.350000000006</v>
      </c>
      <c r="D344" s="20">
        <v>82861.149999999994</v>
      </c>
      <c r="E344" s="20">
        <v>82758.5</v>
      </c>
      <c r="F344" s="1">
        <v>82791.3</v>
      </c>
      <c r="G344" s="18">
        <v>204</v>
      </c>
      <c r="I344" s="21">
        <v>46053.525694444441</v>
      </c>
      <c r="J344" s="26"/>
      <c r="K344" s="26">
        <v>82758.5</v>
      </c>
      <c r="L344" s="27">
        <v>82912.266669999997</v>
      </c>
      <c r="M344" s="27">
        <v>82758.5</v>
      </c>
      <c r="N344" s="28" t="s">
        <v>7</v>
      </c>
      <c r="O344" s="28" t="s">
        <v>13</v>
      </c>
      <c r="P344"/>
    </row>
    <row r="345" spans="1:16" x14ac:dyDescent="0.35">
      <c r="A345" s="4">
        <v>342</v>
      </c>
      <c r="B345" s="17">
        <v>46053.526388888888</v>
      </c>
      <c r="C345" s="1">
        <v>82796.62</v>
      </c>
      <c r="D345" s="20">
        <v>82881.5</v>
      </c>
      <c r="E345" s="20">
        <v>82796.62</v>
      </c>
      <c r="F345" s="1">
        <v>82860.350000000006</v>
      </c>
      <c r="G345" s="18">
        <v>229</v>
      </c>
      <c r="I345" s="21">
        <v>46053.526388888888</v>
      </c>
      <c r="J345" s="26"/>
      <c r="K345" s="26"/>
      <c r="L345" s="27">
        <v>82915.563330000004</v>
      </c>
      <c r="M345" s="27">
        <v>82773.634290000002</v>
      </c>
      <c r="N345" s="28" t="s">
        <v>7</v>
      </c>
      <c r="O345" s="28" t="s">
        <v>8</v>
      </c>
      <c r="P345"/>
    </row>
    <row r="346" spans="1:16" x14ac:dyDescent="0.35">
      <c r="A346" s="4">
        <v>343</v>
      </c>
      <c r="B346" s="17">
        <v>46053.527083333334</v>
      </c>
      <c r="C346" s="1">
        <v>82861</v>
      </c>
      <c r="D346" s="20">
        <v>82881.2</v>
      </c>
      <c r="E346" s="20">
        <v>82850.78</v>
      </c>
      <c r="F346" s="1">
        <v>82856.600000000006</v>
      </c>
      <c r="G346" s="18">
        <v>182</v>
      </c>
      <c r="I346" s="21">
        <v>46053.527083333334</v>
      </c>
      <c r="J346" s="26"/>
      <c r="K346" s="26"/>
      <c r="L346" s="27">
        <v>82918.86</v>
      </c>
      <c r="M346" s="27">
        <v>82788.76857</v>
      </c>
      <c r="N346" s="28" t="s">
        <v>7</v>
      </c>
      <c r="O346" s="28" t="s">
        <v>8</v>
      </c>
      <c r="P346"/>
    </row>
    <row r="347" spans="1:16" x14ac:dyDescent="0.35">
      <c r="A347" s="4">
        <v>344</v>
      </c>
      <c r="B347" s="17">
        <v>46053.527777777781</v>
      </c>
      <c r="C347" s="1">
        <v>82856.649999999994</v>
      </c>
      <c r="D347" s="20">
        <v>82906.2</v>
      </c>
      <c r="E347" s="20">
        <v>82856.649999999994</v>
      </c>
      <c r="F347" s="1">
        <v>82905.5</v>
      </c>
      <c r="G347" s="18">
        <v>206</v>
      </c>
      <c r="I347" s="21">
        <v>46053.527777777781</v>
      </c>
      <c r="J347" s="26"/>
      <c r="K347" s="26"/>
      <c r="L347" s="27">
        <v>82922.156669999997</v>
      </c>
      <c r="M347" s="27">
        <v>82803.902860000002</v>
      </c>
      <c r="N347" s="28" t="s">
        <v>7</v>
      </c>
      <c r="O347" s="28" t="s">
        <v>8</v>
      </c>
      <c r="P347"/>
    </row>
    <row r="348" spans="1:16" x14ac:dyDescent="0.35">
      <c r="A348" s="4">
        <v>345</v>
      </c>
      <c r="B348" s="17">
        <v>46053.52847222222</v>
      </c>
      <c r="C348" s="1">
        <v>82905.5</v>
      </c>
      <c r="D348" s="20">
        <v>82925.55</v>
      </c>
      <c r="E348" s="20">
        <v>82893.399999999994</v>
      </c>
      <c r="F348" s="1">
        <v>82925.37</v>
      </c>
      <c r="G348" s="18">
        <v>178</v>
      </c>
      <c r="I348" s="21">
        <v>46053.52847222222</v>
      </c>
      <c r="J348" s="26"/>
      <c r="K348" s="26"/>
      <c r="L348" s="27">
        <v>82925.453330000004</v>
      </c>
      <c r="M348" s="27">
        <v>82819.03714</v>
      </c>
      <c r="N348" s="28" t="s">
        <v>7</v>
      </c>
      <c r="O348" s="28" t="s">
        <v>8</v>
      </c>
      <c r="P348"/>
    </row>
    <row r="349" spans="1:16" x14ac:dyDescent="0.35">
      <c r="A349" s="4">
        <v>346</v>
      </c>
      <c r="B349" s="17">
        <v>46053.529166666667</v>
      </c>
      <c r="C349" s="1">
        <v>82924.89</v>
      </c>
      <c r="D349" s="20">
        <v>82928.75</v>
      </c>
      <c r="E349" s="20">
        <v>82887.8</v>
      </c>
      <c r="F349" s="1">
        <v>82890.210000000006</v>
      </c>
      <c r="G349" s="18">
        <v>179</v>
      </c>
      <c r="I349" s="21">
        <v>46053.529166666667</v>
      </c>
      <c r="J349" s="26">
        <v>82928.75</v>
      </c>
      <c r="K349" s="26"/>
      <c r="L349" s="27">
        <v>82928.75</v>
      </c>
      <c r="M349" s="27">
        <v>82834.171430000002</v>
      </c>
      <c r="N349" s="28" t="s">
        <v>7</v>
      </c>
      <c r="O349" s="28" t="s">
        <v>8</v>
      </c>
      <c r="P349"/>
    </row>
    <row r="350" spans="1:16" x14ac:dyDescent="0.35">
      <c r="A350" s="4">
        <v>347</v>
      </c>
      <c r="B350" s="17">
        <v>46053.529861111114</v>
      </c>
      <c r="C350" s="1">
        <v>82890.22</v>
      </c>
      <c r="D350" s="20">
        <v>82902.350000000006</v>
      </c>
      <c r="E350" s="20">
        <v>82879.3</v>
      </c>
      <c r="F350" s="1">
        <v>82889.3</v>
      </c>
      <c r="G350" s="18">
        <v>151</v>
      </c>
      <c r="I350" s="21">
        <v>46053.529861111114</v>
      </c>
      <c r="J350" s="26"/>
      <c r="K350" s="26"/>
      <c r="L350" s="27">
        <v>82922.350000000006</v>
      </c>
      <c r="M350" s="27">
        <v>82849.305710000001</v>
      </c>
      <c r="N350" s="28" t="s">
        <v>6</v>
      </c>
      <c r="O350" s="28" t="s">
        <v>8</v>
      </c>
      <c r="P350"/>
    </row>
    <row r="351" spans="1:16" x14ac:dyDescent="0.35">
      <c r="A351" s="4">
        <v>348</v>
      </c>
      <c r="B351" s="17">
        <v>46053.530555555553</v>
      </c>
      <c r="C351" s="1">
        <v>82889.3</v>
      </c>
      <c r="D351" s="20">
        <v>82889.3</v>
      </c>
      <c r="E351" s="20">
        <v>82864.44</v>
      </c>
      <c r="F351" s="1">
        <v>82876.5</v>
      </c>
      <c r="G351" s="18">
        <v>141</v>
      </c>
      <c r="I351" s="21">
        <v>46053.530555555553</v>
      </c>
      <c r="J351" s="26"/>
      <c r="K351" s="26">
        <v>82864.44</v>
      </c>
      <c r="L351" s="27">
        <v>82915.95</v>
      </c>
      <c r="M351" s="27">
        <v>82864.44</v>
      </c>
      <c r="N351" s="28" t="s">
        <v>6</v>
      </c>
      <c r="O351" s="28" t="s">
        <v>8</v>
      </c>
      <c r="P351"/>
    </row>
    <row r="352" spans="1:16" x14ac:dyDescent="0.35">
      <c r="A352" s="4">
        <v>349</v>
      </c>
      <c r="B352" s="17">
        <v>46053.53125</v>
      </c>
      <c r="C352" s="1">
        <v>82881.3</v>
      </c>
      <c r="D352" s="20">
        <v>82909.55</v>
      </c>
      <c r="E352" s="20">
        <v>82881.3</v>
      </c>
      <c r="F352" s="1">
        <v>82895.41</v>
      </c>
      <c r="G352" s="18">
        <v>173</v>
      </c>
      <c r="I352" s="21">
        <v>46053.53125</v>
      </c>
      <c r="J352" s="26">
        <v>82909.55</v>
      </c>
      <c r="K352" s="26"/>
      <c r="L352" s="27">
        <v>82909.55</v>
      </c>
      <c r="M352" s="27">
        <v>82839.816250000003</v>
      </c>
      <c r="N352" s="28" t="s">
        <v>6</v>
      </c>
      <c r="O352" s="28" t="s">
        <v>13</v>
      </c>
      <c r="P352"/>
    </row>
    <row r="353" spans="1:16" x14ac:dyDescent="0.35">
      <c r="A353" s="4">
        <v>350</v>
      </c>
      <c r="B353" s="17">
        <v>46053.531944444447</v>
      </c>
      <c r="C353" s="1">
        <v>82895.41</v>
      </c>
      <c r="D353" s="20">
        <v>82905.460000000006</v>
      </c>
      <c r="E353" s="20">
        <v>82885.440000000002</v>
      </c>
      <c r="F353" s="1">
        <v>82892.070000000007</v>
      </c>
      <c r="G353" s="18">
        <v>76</v>
      </c>
      <c r="I353" s="21">
        <v>46053.531944444447</v>
      </c>
      <c r="J353" s="26"/>
      <c r="K353" s="26"/>
      <c r="L353" s="27">
        <v>82901.936360000007</v>
      </c>
      <c r="M353" s="27">
        <v>82815.192500000005</v>
      </c>
      <c r="N353" s="28" t="s">
        <v>6</v>
      </c>
      <c r="O353" s="28" t="s">
        <v>13</v>
      </c>
      <c r="P353"/>
    </row>
    <row r="354" spans="1:16" x14ac:dyDescent="0.35">
      <c r="A354" s="4">
        <v>351</v>
      </c>
      <c r="B354" s="17">
        <v>46053.532638888886</v>
      </c>
      <c r="C354" s="1">
        <v>82892.02</v>
      </c>
      <c r="D354" s="20">
        <v>82892.070000000007</v>
      </c>
      <c r="E354" s="20">
        <v>82843.55</v>
      </c>
      <c r="F354" s="1">
        <v>82854.009999999995</v>
      </c>
      <c r="G354" s="18">
        <v>120</v>
      </c>
      <c r="I354" s="21">
        <v>46053.532638888886</v>
      </c>
      <c r="J354" s="26"/>
      <c r="K354" s="26"/>
      <c r="L354" s="27">
        <v>82894.32273</v>
      </c>
      <c r="M354" s="27">
        <v>82790.568750000006</v>
      </c>
      <c r="N354" s="28" t="s">
        <v>6</v>
      </c>
      <c r="O354" s="28" t="s">
        <v>13</v>
      </c>
      <c r="P354"/>
    </row>
    <row r="355" spans="1:16" x14ac:dyDescent="0.35">
      <c r="A355" s="4">
        <v>352</v>
      </c>
      <c r="B355" s="17">
        <v>46053.533333333333</v>
      </c>
      <c r="C355" s="1">
        <v>82853.36</v>
      </c>
      <c r="D355" s="20">
        <v>82853.36</v>
      </c>
      <c r="E355" s="20">
        <v>82759.539999999994</v>
      </c>
      <c r="F355" s="1">
        <v>82759.539999999994</v>
      </c>
      <c r="G355" s="18">
        <v>163</v>
      </c>
      <c r="I355" s="21">
        <v>46053.533333333333</v>
      </c>
      <c r="J355" s="26"/>
      <c r="K355" s="26"/>
      <c r="L355" s="27">
        <v>82886.709090000004</v>
      </c>
      <c r="M355" s="27">
        <v>82765.945000000007</v>
      </c>
      <c r="N355" s="28" t="s">
        <v>6</v>
      </c>
      <c r="O355" s="28" t="s">
        <v>13</v>
      </c>
      <c r="P355"/>
    </row>
    <row r="356" spans="1:16" x14ac:dyDescent="0.35">
      <c r="A356" s="4">
        <v>353</v>
      </c>
      <c r="B356" s="17">
        <v>46053.53402777778</v>
      </c>
      <c r="C356" s="1">
        <v>82759.520000000004</v>
      </c>
      <c r="D356" s="20">
        <v>82775.240000000005</v>
      </c>
      <c r="E356" s="20">
        <v>82759.520000000004</v>
      </c>
      <c r="F356" s="1">
        <v>82773.75</v>
      </c>
      <c r="G356" s="18">
        <v>119</v>
      </c>
      <c r="I356" s="21">
        <v>46053.53402777778</v>
      </c>
      <c r="J356" s="26"/>
      <c r="K356" s="26"/>
      <c r="L356" s="27">
        <v>82879.095449999993</v>
      </c>
      <c r="M356" s="27">
        <v>82741.321249999994</v>
      </c>
      <c r="N356" s="28" t="s">
        <v>6</v>
      </c>
      <c r="O356" s="28" t="s">
        <v>13</v>
      </c>
      <c r="P356"/>
    </row>
    <row r="357" spans="1:16" x14ac:dyDescent="0.35">
      <c r="A357" s="4">
        <v>354</v>
      </c>
      <c r="B357" s="17">
        <v>46053.534722222219</v>
      </c>
      <c r="C357" s="1">
        <v>82773.75</v>
      </c>
      <c r="D357" s="20">
        <v>82773.75</v>
      </c>
      <c r="E357" s="20">
        <v>82707.3</v>
      </c>
      <c r="F357" s="1">
        <v>82719.33</v>
      </c>
      <c r="G357" s="18">
        <v>188</v>
      </c>
      <c r="I357" s="21">
        <v>46053.534722222219</v>
      </c>
      <c r="J357" s="26"/>
      <c r="K357" s="26"/>
      <c r="L357" s="27">
        <v>82871.481820000001</v>
      </c>
      <c r="M357" s="27">
        <v>82716.697499999995</v>
      </c>
      <c r="N357" s="28" t="s">
        <v>6</v>
      </c>
      <c r="O357" s="28" t="s">
        <v>13</v>
      </c>
      <c r="P357"/>
    </row>
    <row r="358" spans="1:16" x14ac:dyDescent="0.35">
      <c r="A358" s="4">
        <v>355</v>
      </c>
      <c r="B358" s="17">
        <v>46053.535416666666</v>
      </c>
      <c r="C358" s="1">
        <v>82719.350000000006</v>
      </c>
      <c r="D358" s="20">
        <v>82750.399999999994</v>
      </c>
      <c r="E358" s="20">
        <v>82719.179999999993</v>
      </c>
      <c r="F358" s="1">
        <v>82727.33</v>
      </c>
      <c r="G358" s="18">
        <v>196</v>
      </c>
      <c r="I358" s="21">
        <v>46053.535416666666</v>
      </c>
      <c r="J358" s="26"/>
      <c r="K358" s="26"/>
      <c r="L358" s="27">
        <v>82863.868180000005</v>
      </c>
      <c r="M358" s="27">
        <v>82692.073749999996</v>
      </c>
      <c r="N358" s="28" t="s">
        <v>6</v>
      </c>
      <c r="O358" s="28" t="s">
        <v>13</v>
      </c>
      <c r="P358"/>
    </row>
    <row r="359" spans="1:16" x14ac:dyDescent="0.35">
      <c r="A359" s="4">
        <v>356</v>
      </c>
      <c r="B359" s="17">
        <v>46053.536111111112</v>
      </c>
      <c r="C359" s="1">
        <v>82726.69</v>
      </c>
      <c r="D359" s="20">
        <v>82760.039999999994</v>
      </c>
      <c r="E359" s="20">
        <v>82667.45</v>
      </c>
      <c r="F359" s="1">
        <v>82693.679999999993</v>
      </c>
      <c r="G359" s="18">
        <v>186</v>
      </c>
      <c r="I359" s="21">
        <v>46053.536111111112</v>
      </c>
      <c r="J359" s="26"/>
      <c r="K359" s="26">
        <v>82667.45</v>
      </c>
      <c r="L359" s="27">
        <v>82856.254549999998</v>
      </c>
      <c r="M359" s="27">
        <v>82667.45</v>
      </c>
      <c r="N359" s="28" t="s">
        <v>6</v>
      </c>
      <c r="O359" s="28" t="s">
        <v>13</v>
      </c>
      <c r="P359"/>
    </row>
    <row r="360" spans="1:16" x14ac:dyDescent="0.35">
      <c r="A360" s="4">
        <v>357</v>
      </c>
      <c r="B360" s="17">
        <v>46053.536805555559</v>
      </c>
      <c r="C360" s="1">
        <v>82693.73</v>
      </c>
      <c r="D360" s="20">
        <v>82748.740000000005</v>
      </c>
      <c r="E360" s="20">
        <v>82693.67</v>
      </c>
      <c r="F360" s="1">
        <v>82747.240000000005</v>
      </c>
      <c r="G360" s="18">
        <v>157</v>
      </c>
      <c r="I360" s="21">
        <v>46053.536805555559</v>
      </c>
      <c r="J360" s="26"/>
      <c r="K360" s="26"/>
      <c r="L360" s="27">
        <v>82848.640910000002</v>
      </c>
      <c r="M360" s="27">
        <v>82666.258000000002</v>
      </c>
      <c r="N360" s="28" t="s">
        <v>6</v>
      </c>
      <c r="O360" s="28" t="s">
        <v>13</v>
      </c>
      <c r="P360"/>
    </row>
    <row r="361" spans="1:16" x14ac:dyDescent="0.35">
      <c r="A361" s="4">
        <v>358</v>
      </c>
      <c r="B361" s="17">
        <v>46053.537499999999</v>
      </c>
      <c r="C361" s="1">
        <v>82748.25</v>
      </c>
      <c r="D361" s="20">
        <v>82769.23</v>
      </c>
      <c r="E361" s="20">
        <v>82742.33</v>
      </c>
      <c r="F361" s="1">
        <v>82765.33</v>
      </c>
      <c r="G361" s="18">
        <v>166</v>
      </c>
      <c r="I361" s="21">
        <v>46053.537499999999</v>
      </c>
      <c r="J361" s="26"/>
      <c r="K361" s="26"/>
      <c r="L361" s="27">
        <v>82841.027270000006</v>
      </c>
      <c r="M361" s="27">
        <v>82665.066000000006</v>
      </c>
      <c r="N361" s="28" t="s">
        <v>6</v>
      </c>
      <c r="O361" s="28" t="s">
        <v>13</v>
      </c>
      <c r="P361"/>
    </row>
    <row r="362" spans="1:16" x14ac:dyDescent="0.35">
      <c r="A362" s="4">
        <v>359</v>
      </c>
      <c r="B362" s="17">
        <v>46053.538194444445</v>
      </c>
      <c r="C362" s="1">
        <v>82765.33</v>
      </c>
      <c r="D362" s="20">
        <v>82805.440000000002</v>
      </c>
      <c r="E362" s="20">
        <v>82745.039999999994</v>
      </c>
      <c r="F362" s="1">
        <v>82754.559999999998</v>
      </c>
      <c r="G362" s="18">
        <v>175</v>
      </c>
      <c r="I362" s="21">
        <v>46053.538194444445</v>
      </c>
      <c r="J362" s="26"/>
      <c r="K362" s="26"/>
      <c r="L362" s="27">
        <v>82833.413639999999</v>
      </c>
      <c r="M362" s="27">
        <v>82663.873999999996</v>
      </c>
      <c r="N362" s="28" t="s">
        <v>6</v>
      </c>
      <c r="O362" s="28" t="s">
        <v>13</v>
      </c>
      <c r="P362"/>
    </row>
    <row r="363" spans="1:16" x14ac:dyDescent="0.35">
      <c r="A363" s="4">
        <v>360</v>
      </c>
      <c r="B363" s="17">
        <v>46053.538888888892</v>
      </c>
      <c r="C363" s="1">
        <v>82754.570000000007</v>
      </c>
      <c r="D363" s="20">
        <v>82825.8</v>
      </c>
      <c r="E363" s="20">
        <v>82744.67</v>
      </c>
      <c r="F363" s="1">
        <v>82809.31</v>
      </c>
      <c r="G363" s="18">
        <v>183</v>
      </c>
      <c r="I363" s="21">
        <v>46053.538888888892</v>
      </c>
      <c r="J363" s="26">
        <v>82825.8</v>
      </c>
      <c r="K363" s="26"/>
      <c r="L363" s="27">
        <v>82825.8</v>
      </c>
      <c r="M363" s="27">
        <v>82662.682000000001</v>
      </c>
      <c r="N363" s="28" t="s">
        <v>6</v>
      </c>
      <c r="O363" s="28" t="s">
        <v>13</v>
      </c>
      <c r="P363"/>
    </row>
    <row r="364" spans="1:16" x14ac:dyDescent="0.35">
      <c r="A364" s="4">
        <v>361</v>
      </c>
      <c r="B364" s="17">
        <v>46053.539583333331</v>
      </c>
      <c r="C364" s="1">
        <v>82809.31</v>
      </c>
      <c r="D364" s="20">
        <v>82817.36</v>
      </c>
      <c r="E364" s="20">
        <v>82738.759999999995</v>
      </c>
      <c r="F364" s="1">
        <v>82738.759999999995</v>
      </c>
      <c r="G364" s="18">
        <v>163</v>
      </c>
      <c r="I364" s="21">
        <v>46053.539583333331</v>
      </c>
      <c r="J364" s="26"/>
      <c r="K364" s="26"/>
      <c r="L364" s="27">
        <v>82825.05</v>
      </c>
      <c r="M364" s="27">
        <v>82661.490000000005</v>
      </c>
      <c r="N364" s="28" t="s">
        <v>6</v>
      </c>
      <c r="O364" s="28" t="s">
        <v>13</v>
      </c>
      <c r="P364"/>
    </row>
    <row r="365" spans="1:16" x14ac:dyDescent="0.35">
      <c r="A365" s="4">
        <v>362</v>
      </c>
      <c r="B365" s="17">
        <v>46053.540277777778</v>
      </c>
      <c r="C365" s="1">
        <v>82739.399999999994</v>
      </c>
      <c r="D365" s="20">
        <v>82749.539999999994</v>
      </c>
      <c r="E365" s="20">
        <v>82709.210000000006</v>
      </c>
      <c r="F365" s="1">
        <v>82728.83</v>
      </c>
      <c r="G365" s="18">
        <v>149</v>
      </c>
      <c r="I365" s="21">
        <v>46053.540277777778</v>
      </c>
      <c r="J365" s="26"/>
      <c r="K365" s="26"/>
      <c r="L365" s="27">
        <v>82824.3</v>
      </c>
      <c r="M365" s="27">
        <v>82660.297999999995</v>
      </c>
      <c r="N365" s="28" t="s">
        <v>6</v>
      </c>
      <c r="O365" s="28" t="s">
        <v>13</v>
      </c>
      <c r="P365"/>
    </row>
    <row r="366" spans="1:16" x14ac:dyDescent="0.35">
      <c r="A366" s="4">
        <v>363</v>
      </c>
      <c r="B366" s="17">
        <v>46053.540972222225</v>
      </c>
      <c r="C366" s="1">
        <v>82729.070000000007</v>
      </c>
      <c r="D366" s="20">
        <v>82744</v>
      </c>
      <c r="E366" s="20">
        <v>82690.5</v>
      </c>
      <c r="F366" s="1">
        <v>82725.95</v>
      </c>
      <c r="G366" s="18">
        <v>160</v>
      </c>
      <c r="I366" s="21">
        <v>46053.540972222225</v>
      </c>
      <c r="J366" s="26"/>
      <c r="K366" s="26"/>
      <c r="L366" s="27">
        <v>82823.55</v>
      </c>
      <c r="M366" s="27">
        <v>82659.106</v>
      </c>
      <c r="N366" s="28" t="s">
        <v>6</v>
      </c>
      <c r="O366" s="28" t="s">
        <v>13</v>
      </c>
      <c r="P366"/>
    </row>
    <row r="367" spans="1:16" x14ac:dyDescent="0.35">
      <c r="A367" s="4">
        <v>364</v>
      </c>
      <c r="B367" s="17">
        <v>46053.541666666664</v>
      </c>
      <c r="C367" s="1">
        <v>82725.95</v>
      </c>
      <c r="D367" s="20">
        <v>82746.5</v>
      </c>
      <c r="E367" s="20">
        <v>82676.02</v>
      </c>
      <c r="F367" s="1">
        <v>82681.3</v>
      </c>
      <c r="G367" s="18">
        <v>205</v>
      </c>
      <c r="I367" s="21">
        <v>46053.541666666664</v>
      </c>
      <c r="J367" s="26"/>
      <c r="K367" s="26"/>
      <c r="L367" s="27">
        <v>82822.8</v>
      </c>
      <c r="M367" s="27">
        <v>82657.914000000004</v>
      </c>
      <c r="N367" s="28" t="s">
        <v>6</v>
      </c>
      <c r="O367" s="28" t="s">
        <v>13</v>
      </c>
      <c r="P367"/>
    </row>
    <row r="368" spans="1:16" x14ac:dyDescent="0.35">
      <c r="A368" s="4">
        <v>365</v>
      </c>
      <c r="B368" s="17">
        <v>46053.542361111111</v>
      </c>
      <c r="C368" s="1">
        <v>82681.3</v>
      </c>
      <c r="D368" s="20">
        <v>82715.59</v>
      </c>
      <c r="E368" s="20">
        <v>82675.37</v>
      </c>
      <c r="F368" s="1">
        <v>82676.710000000006</v>
      </c>
      <c r="G368" s="18">
        <v>189</v>
      </c>
      <c r="I368" s="21">
        <v>46053.542361111111</v>
      </c>
      <c r="J368" s="26"/>
      <c r="K368" s="26"/>
      <c r="L368" s="27">
        <v>82822.05</v>
      </c>
      <c r="M368" s="27">
        <v>82656.721999999994</v>
      </c>
      <c r="N368" s="28" t="s">
        <v>6</v>
      </c>
      <c r="O368" s="28" t="s">
        <v>13</v>
      </c>
      <c r="P368"/>
    </row>
    <row r="369" spans="1:16" x14ac:dyDescent="0.35">
      <c r="A369" s="4">
        <v>366</v>
      </c>
      <c r="B369" s="17">
        <v>46053.543055555558</v>
      </c>
      <c r="C369" s="1">
        <v>82678.5</v>
      </c>
      <c r="D369" s="20">
        <v>82821.3</v>
      </c>
      <c r="E369" s="20">
        <v>82655.53</v>
      </c>
      <c r="F369" s="1">
        <v>82791.759999999995</v>
      </c>
      <c r="G369" s="18">
        <v>197</v>
      </c>
      <c r="I369" s="21">
        <v>46053.543055555558</v>
      </c>
      <c r="J369" s="26">
        <v>82821.3</v>
      </c>
      <c r="K369" s="26">
        <v>82655.53</v>
      </c>
      <c r="L369" s="27">
        <v>82821.3</v>
      </c>
      <c r="M369" s="27">
        <v>82655.53</v>
      </c>
      <c r="N369" s="28" t="s">
        <v>6</v>
      </c>
      <c r="O369" s="28" t="s">
        <v>13</v>
      </c>
      <c r="P369"/>
    </row>
    <row r="370" spans="1:16" x14ac:dyDescent="0.35">
      <c r="A370" s="4">
        <v>367</v>
      </c>
      <c r="B370" s="17">
        <v>46053.543749999997</v>
      </c>
      <c r="C370" s="1">
        <v>82796.600000000006</v>
      </c>
      <c r="D370" s="20">
        <v>82804.22</v>
      </c>
      <c r="E370" s="20">
        <v>82728.31</v>
      </c>
      <c r="F370" s="1">
        <v>82755.11</v>
      </c>
      <c r="G370" s="18">
        <v>169</v>
      </c>
      <c r="I370" s="21">
        <v>46053.543749999997</v>
      </c>
      <c r="J370" s="26"/>
      <c r="K370" s="26"/>
      <c r="L370" s="27">
        <v>82827.414290000001</v>
      </c>
      <c r="M370" s="27">
        <v>82663.707269999999</v>
      </c>
      <c r="N370" s="28" t="s">
        <v>7</v>
      </c>
      <c r="O370" s="28" t="s">
        <v>8</v>
      </c>
      <c r="P370"/>
    </row>
    <row r="371" spans="1:16" x14ac:dyDescent="0.35">
      <c r="A371" s="4">
        <v>368</v>
      </c>
      <c r="B371" s="17">
        <v>46053.544444444444</v>
      </c>
      <c r="C371" s="1">
        <v>82755.11</v>
      </c>
      <c r="D371" s="20">
        <v>82767.399999999994</v>
      </c>
      <c r="E371" s="20">
        <v>82736.95</v>
      </c>
      <c r="F371" s="1">
        <v>82767.399999999994</v>
      </c>
      <c r="G371" s="18">
        <v>190</v>
      </c>
      <c r="I371" s="21">
        <v>46053.544444444444</v>
      </c>
      <c r="J371" s="26"/>
      <c r="K371" s="26"/>
      <c r="L371" s="27">
        <v>82833.528569999995</v>
      </c>
      <c r="M371" s="27">
        <v>82671.884550000002</v>
      </c>
      <c r="N371" s="28" t="s">
        <v>7</v>
      </c>
      <c r="O371" s="28" t="s">
        <v>8</v>
      </c>
      <c r="P371"/>
    </row>
    <row r="372" spans="1:16" x14ac:dyDescent="0.35">
      <c r="A372" s="4">
        <v>369</v>
      </c>
      <c r="B372" s="17">
        <v>46053.545138888891</v>
      </c>
      <c r="C372" s="1">
        <v>82767.360000000001</v>
      </c>
      <c r="D372" s="20">
        <v>82784.05</v>
      </c>
      <c r="E372" s="20">
        <v>82753.320000000007</v>
      </c>
      <c r="F372" s="1">
        <v>82759.25</v>
      </c>
      <c r="G372" s="18">
        <v>190</v>
      </c>
      <c r="I372" s="21">
        <v>46053.545138888891</v>
      </c>
      <c r="J372" s="26"/>
      <c r="K372" s="26"/>
      <c r="L372" s="27">
        <v>82839.642860000007</v>
      </c>
      <c r="M372" s="27">
        <v>82680.061820000003</v>
      </c>
      <c r="N372" s="28" t="s">
        <v>7</v>
      </c>
      <c r="O372" s="28" t="s">
        <v>8</v>
      </c>
      <c r="P372"/>
    </row>
    <row r="373" spans="1:16" x14ac:dyDescent="0.35">
      <c r="A373" s="4">
        <v>370</v>
      </c>
      <c r="B373" s="17">
        <v>46053.54583333333</v>
      </c>
      <c r="C373" s="1">
        <v>82757.52</v>
      </c>
      <c r="D373" s="20">
        <v>82773.350000000006</v>
      </c>
      <c r="E373" s="20">
        <v>82747.33</v>
      </c>
      <c r="F373" s="1">
        <v>82765.83</v>
      </c>
      <c r="G373" s="18">
        <v>162</v>
      </c>
      <c r="I373" s="21">
        <v>46053.54583333333</v>
      </c>
      <c r="J373" s="26"/>
      <c r="K373" s="26"/>
      <c r="L373" s="27">
        <v>82845.757140000002</v>
      </c>
      <c r="M373" s="27">
        <v>82688.239090000003</v>
      </c>
      <c r="N373" s="28" t="s">
        <v>7</v>
      </c>
      <c r="O373" s="28" t="s">
        <v>8</v>
      </c>
      <c r="P373"/>
    </row>
    <row r="374" spans="1:16" x14ac:dyDescent="0.35">
      <c r="A374" s="4">
        <v>371</v>
      </c>
      <c r="B374" s="17">
        <v>46053.546527777777</v>
      </c>
      <c r="C374" s="1">
        <v>82765.72</v>
      </c>
      <c r="D374" s="20">
        <v>82777.84</v>
      </c>
      <c r="E374" s="20">
        <v>82750.55</v>
      </c>
      <c r="F374" s="1">
        <v>82777.83</v>
      </c>
      <c r="G374" s="18">
        <v>134</v>
      </c>
      <c r="I374" s="21">
        <v>46053.546527777777</v>
      </c>
      <c r="J374" s="26"/>
      <c r="K374" s="26"/>
      <c r="L374" s="27">
        <v>82851.871429999999</v>
      </c>
      <c r="M374" s="27">
        <v>82696.416360000003</v>
      </c>
      <c r="N374" s="28" t="s">
        <v>7</v>
      </c>
      <c r="O374" s="28" t="s">
        <v>8</v>
      </c>
      <c r="P374"/>
    </row>
    <row r="375" spans="1:16" x14ac:dyDescent="0.35">
      <c r="A375" s="4">
        <v>372</v>
      </c>
      <c r="B375" s="17">
        <v>46053.547222222223</v>
      </c>
      <c r="C375" s="1">
        <v>82777.83</v>
      </c>
      <c r="D375" s="20">
        <v>82840.33</v>
      </c>
      <c r="E375" s="20">
        <v>82777.63</v>
      </c>
      <c r="F375" s="1">
        <v>82827.05</v>
      </c>
      <c r="G375" s="18">
        <v>146</v>
      </c>
      <c r="I375" s="21">
        <v>46053.547222222223</v>
      </c>
      <c r="J375" s="26"/>
      <c r="K375" s="26"/>
      <c r="L375" s="27">
        <v>82857.985709999994</v>
      </c>
      <c r="M375" s="27">
        <v>82704.593640000006</v>
      </c>
      <c r="N375" s="28" t="s">
        <v>7</v>
      </c>
      <c r="O375" s="28" t="s">
        <v>8</v>
      </c>
      <c r="P375"/>
    </row>
    <row r="376" spans="1:16" x14ac:dyDescent="0.35">
      <c r="A376" s="4">
        <v>373</v>
      </c>
      <c r="B376" s="17">
        <v>46053.54791666667</v>
      </c>
      <c r="C376" s="1">
        <v>82827.009999999995</v>
      </c>
      <c r="D376" s="20">
        <v>82864.100000000006</v>
      </c>
      <c r="E376" s="20">
        <v>82814.100000000006</v>
      </c>
      <c r="F376" s="1">
        <v>82854.98</v>
      </c>
      <c r="G376" s="18">
        <v>156</v>
      </c>
      <c r="I376" s="21">
        <v>46053.54791666667</v>
      </c>
      <c r="J376" s="26">
        <v>82864.100000000006</v>
      </c>
      <c r="K376" s="26"/>
      <c r="L376" s="27">
        <v>82864.100000000006</v>
      </c>
      <c r="M376" s="27">
        <v>82712.770910000007</v>
      </c>
      <c r="N376" s="28" t="s">
        <v>7</v>
      </c>
      <c r="O376" s="28" t="s">
        <v>8</v>
      </c>
      <c r="P376"/>
    </row>
    <row r="377" spans="1:16" x14ac:dyDescent="0.35">
      <c r="A377" s="4">
        <v>374</v>
      </c>
      <c r="B377" s="17">
        <v>46053.548611111109</v>
      </c>
      <c r="C377" s="1">
        <v>82855.179999999993</v>
      </c>
      <c r="D377" s="20">
        <v>82855.179999999993</v>
      </c>
      <c r="E377" s="20">
        <v>82786.55</v>
      </c>
      <c r="F377" s="1">
        <v>82797.02</v>
      </c>
      <c r="G377" s="18">
        <v>179</v>
      </c>
      <c r="I377" s="21">
        <v>46053.548611111109</v>
      </c>
      <c r="J377" s="26"/>
      <c r="K377" s="26"/>
      <c r="L377" s="27">
        <v>82865.684439999997</v>
      </c>
      <c r="M377" s="27">
        <v>82720.948180000007</v>
      </c>
      <c r="N377" s="28" t="s">
        <v>7</v>
      </c>
      <c r="O377" s="28" t="s">
        <v>8</v>
      </c>
      <c r="P377"/>
    </row>
    <row r="378" spans="1:16" x14ac:dyDescent="0.35">
      <c r="A378" s="4">
        <v>375</v>
      </c>
      <c r="B378" s="17">
        <v>46053.549305555556</v>
      </c>
      <c r="C378" s="1">
        <v>82797.119999999995</v>
      </c>
      <c r="D378" s="20">
        <v>82825.31</v>
      </c>
      <c r="E378" s="20">
        <v>82797.119999999995</v>
      </c>
      <c r="F378" s="1">
        <v>82816.45</v>
      </c>
      <c r="G378" s="18">
        <v>146</v>
      </c>
      <c r="I378" s="21">
        <v>46053.549305555556</v>
      </c>
      <c r="J378" s="26"/>
      <c r="K378" s="26"/>
      <c r="L378" s="27">
        <v>82867.268890000007</v>
      </c>
      <c r="M378" s="27">
        <v>82729.125450000007</v>
      </c>
      <c r="N378" s="28" t="s">
        <v>7</v>
      </c>
      <c r="O378" s="28" t="s">
        <v>8</v>
      </c>
      <c r="P378"/>
    </row>
    <row r="379" spans="1:16" x14ac:dyDescent="0.35">
      <c r="A379" s="4">
        <v>376</v>
      </c>
      <c r="B379" s="17">
        <v>46053.55</v>
      </c>
      <c r="C379" s="1">
        <v>82816.44</v>
      </c>
      <c r="D379" s="20">
        <v>82821.23</v>
      </c>
      <c r="E379" s="20">
        <v>82773.66</v>
      </c>
      <c r="F379" s="1">
        <v>82781.460000000006</v>
      </c>
      <c r="G379" s="18">
        <v>112</v>
      </c>
      <c r="I379" s="21">
        <v>46053.55</v>
      </c>
      <c r="J379" s="26"/>
      <c r="K379" s="26"/>
      <c r="L379" s="27">
        <v>82868.853329999998</v>
      </c>
      <c r="M379" s="27">
        <v>82737.302729999996</v>
      </c>
      <c r="N379" s="28" t="s">
        <v>7</v>
      </c>
      <c r="O379" s="28" t="s">
        <v>8</v>
      </c>
      <c r="P379"/>
    </row>
    <row r="380" spans="1:16" x14ac:dyDescent="0.35">
      <c r="A380" s="4">
        <v>377</v>
      </c>
      <c r="B380" s="17">
        <v>46053.550694444442</v>
      </c>
      <c r="C380" s="1">
        <v>82781.38</v>
      </c>
      <c r="D380" s="20">
        <v>82806.77</v>
      </c>
      <c r="E380" s="20">
        <v>82745.48</v>
      </c>
      <c r="F380" s="1">
        <v>82762.95</v>
      </c>
      <c r="G380" s="18">
        <v>151</v>
      </c>
      <c r="I380" s="21">
        <v>46053.550694444442</v>
      </c>
      <c r="J380" s="26"/>
      <c r="K380" s="26">
        <v>82745.48</v>
      </c>
      <c r="L380" s="27">
        <v>82870.437779999993</v>
      </c>
      <c r="M380" s="27">
        <v>82745.48</v>
      </c>
      <c r="N380" s="28" t="s">
        <v>7</v>
      </c>
      <c r="O380" s="28" t="s">
        <v>8</v>
      </c>
      <c r="P380"/>
    </row>
    <row r="381" spans="1:16" x14ac:dyDescent="0.35">
      <c r="A381" s="4">
        <v>378</v>
      </c>
      <c r="B381" s="17">
        <v>46053.551388888889</v>
      </c>
      <c r="C381" s="1">
        <v>82762.94</v>
      </c>
      <c r="D381" s="20">
        <v>82816.899999999994</v>
      </c>
      <c r="E381" s="20">
        <v>82749.23</v>
      </c>
      <c r="F381" s="1">
        <v>82749.23</v>
      </c>
      <c r="G381" s="18">
        <v>156</v>
      </c>
      <c r="I381" s="21">
        <v>46053.551388888889</v>
      </c>
      <c r="J381" s="26"/>
      <c r="K381" s="26"/>
      <c r="L381" s="27">
        <v>82872.022219999999</v>
      </c>
      <c r="M381" s="27">
        <v>82744.663329999996</v>
      </c>
      <c r="N381" s="28" t="s">
        <v>7</v>
      </c>
      <c r="O381" s="28" t="s">
        <v>13</v>
      </c>
      <c r="P381"/>
    </row>
    <row r="382" spans="1:16" x14ac:dyDescent="0.35">
      <c r="A382" s="4">
        <v>379</v>
      </c>
      <c r="B382" s="17">
        <v>46053.552083333336</v>
      </c>
      <c r="C382" s="1">
        <v>82751.399999999994</v>
      </c>
      <c r="D382" s="20">
        <v>82792.2</v>
      </c>
      <c r="E382" s="20">
        <v>82750.02</v>
      </c>
      <c r="F382" s="1">
        <v>82788.259999999995</v>
      </c>
      <c r="G382" s="18">
        <v>181</v>
      </c>
      <c r="I382" s="21">
        <v>46053.552083333336</v>
      </c>
      <c r="J382" s="26"/>
      <c r="K382" s="26"/>
      <c r="L382" s="27">
        <v>82873.606669999994</v>
      </c>
      <c r="M382" s="27">
        <v>82743.846669999999</v>
      </c>
      <c r="N382" s="28" t="s">
        <v>7</v>
      </c>
      <c r="O382" s="28" t="s">
        <v>13</v>
      </c>
      <c r="P382"/>
    </row>
    <row r="383" spans="1:16" x14ac:dyDescent="0.35">
      <c r="A383" s="4">
        <v>380</v>
      </c>
      <c r="B383" s="17">
        <v>46053.552777777775</v>
      </c>
      <c r="C383" s="1">
        <v>82790.33</v>
      </c>
      <c r="D383" s="20">
        <v>82838.59</v>
      </c>
      <c r="E383" s="20">
        <v>82768.41</v>
      </c>
      <c r="F383" s="1">
        <v>82838.59</v>
      </c>
      <c r="G383" s="18">
        <v>163</v>
      </c>
      <c r="I383" s="21">
        <v>46053.552777777775</v>
      </c>
      <c r="J383" s="26"/>
      <c r="K383" s="26"/>
      <c r="L383" s="27">
        <v>82875.19111</v>
      </c>
      <c r="M383" s="27">
        <v>82743.03</v>
      </c>
      <c r="N383" s="28" t="s">
        <v>7</v>
      </c>
      <c r="O383" s="28" t="s">
        <v>13</v>
      </c>
      <c r="P383"/>
    </row>
    <row r="384" spans="1:16" x14ac:dyDescent="0.35">
      <c r="A384" s="4">
        <v>381</v>
      </c>
      <c r="B384" s="17">
        <v>46053.553472222222</v>
      </c>
      <c r="C384" s="1">
        <v>82838.55</v>
      </c>
      <c r="D384" s="20">
        <v>82859.22</v>
      </c>
      <c r="E384" s="20">
        <v>82820.5</v>
      </c>
      <c r="F384" s="1">
        <v>82859.22</v>
      </c>
      <c r="G384" s="18">
        <v>141</v>
      </c>
      <c r="I384" s="21">
        <v>46053.553472222222</v>
      </c>
      <c r="J384" s="26"/>
      <c r="K384" s="26"/>
      <c r="L384" s="27">
        <v>82876.775559999995</v>
      </c>
      <c r="M384" s="27">
        <v>82742.213329999999</v>
      </c>
      <c r="N384" s="28" t="s">
        <v>7</v>
      </c>
      <c r="O384" s="28" t="s">
        <v>13</v>
      </c>
      <c r="P384"/>
    </row>
    <row r="385" spans="1:16" x14ac:dyDescent="0.35">
      <c r="A385" s="4">
        <v>382</v>
      </c>
      <c r="B385" s="17">
        <v>46053.554166666669</v>
      </c>
      <c r="C385" s="1">
        <v>82868.649999999994</v>
      </c>
      <c r="D385" s="20">
        <v>82878.36</v>
      </c>
      <c r="E385" s="20">
        <v>82854.06</v>
      </c>
      <c r="F385" s="1">
        <v>82854.06</v>
      </c>
      <c r="G385" s="18">
        <v>94</v>
      </c>
      <c r="I385" s="21">
        <v>46053.554166666669</v>
      </c>
      <c r="J385" s="26">
        <v>82878.36</v>
      </c>
      <c r="K385" s="26"/>
      <c r="L385" s="27">
        <v>82878.36</v>
      </c>
      <c r="M385" s="27">
        <v>82741.396670000002</v>
      </c>
      <c r="N385" s="28" t="s">
        <v>7</v>
      </c>
      <c r="O385" s="28" t="s">
        <v>13</v>
      </c>
      <c r="P385"/>
    </row>
    <row r="386" spans="1:16" x14ac:dyDescent="0.35">
      <c r="A386" s="4">
        <v>383</v>
      </c>
      <c r="B386" s="17">
        <v>46053.554861111108</v>
      </c>
      <c r="C386" s="1">
        <v>82854.17</v>
      </c>
      <c r="D386" s="20">
        <v>82854.22</v>
      </c>
      <c r="E386" s="20">
        <v>82740.58</v>
      </c>
      <c r="F386" s="1">
        <v>82773.919999999998</v>
      </c>
      <c r="G386" s="18">
        <v>207</v>
      </c>
      <c r="I386" s="21">
        <v>46053.554861111108</v>
      </c>
      <c r="J386" s="26"/>
      <c r="K386" s="26">
        <v>82740.58</v>
      </c>
      <c r="L386" s="27">
        <v>82870.89</v>
      </c>
      <c r="M386" s="27">
        <v>82740.58</v>
      </c>
      <c r="N386" s="28" t="s">
        <v>6</v>
      </c>
      <c r="O386" s="28" t="s">
        <v>13</v>
      </c>
      <c r="P386"/>
    </row>
    <row r="387" spans="1:16" x14ac:dyDescent="0.35">
      <c r="A387" s="4">
        <v>384</v>
      </c>
      <c r="B387" s="17">
        <v>46053.555555555555</v>
      </c>
      <c r="C387" s="1">
        <v>82773.919999999998</v>
      </c>
      <c r="D387" s="20">
        <v>82812.19</v>
      </c>
      <c r="E387" s="20">
        <v>82773.919999999998</v>
      </c>
      <c r="F387" s="1">
        <v>82780.429999999993</v>
      </c>
      <c r="G387" s="18">
        <v>158</v>
      </c>
      <c r="I387" s="21">
        <v>46053.555555555555</v>
      </c>
      <c r="J387" s="26"/>
      <c r="K387" s="26"/>
      <c r="L387" s="27">
        <v>82863.42</v>
      </c>
      <c r="M387" s="27">
        <v>82739.205000000002</v>
      </c>
      <c r="N387" s="28" t="s">
        <v>6</v>
      </c>
      <c r="O387" s="28" t="s">
        <v>13</v>
      </c>
      <c r="P387"/>
    </row>
    <row r="388" spans="1:16" x14ac:dyDescent="0.35">
      <c r="A388" s="4">
        <v>385</v>
      </c>
      <c r="B388" s="17">
        <v>46053.556250000001</v>
      </c>
      <c r="C388" s="1">
        <v>82780.42</v>
      </c>
      <c r="D388" s="20">
        <v>82798.55</v>
      </c>
      <c r="E388" s="20">
        <v>82771.31</v>
      </c>
      <c r="F388" s="1">
        <v>82789.5</v>
      </c>
      <c r="G388" s="18">
        <v>152</v>
      </c>
      <c r="I388" s="21">
        <v>46053.556250000001</v>
      </c>
      <c r="J388" s="26"/>
      <c r="K388" s="26"/>
      <c r="L388" s="27">
        <v>82855.95</v>
      </c>
      <c r="M388" s="27">
        <v>82737.83</v>
      </c>
      <c r="N388" s="28" t="s">
        <v>6</v>
      </c>
      <c r="O388" s="28" t="s">
        <v>13</v>
      </c>
      <c r="P388"/>
    </row>
    <row r="389" spans="1:16" x14ac:dyDescent="0.35">
      <c r="A389" s="4">
        <v>386</v>
      </c>
      <c r="B389" s="17">
        <v>46053.556944444441</v>
      </c>
      <c r="C389" s="1">
        <v>82789.5</v>
      </c>
      <c r="D389" s="20">
        <v>82796.210000000006</v>
      </c>
      <c r="E389" s="20">
        <v>82756.78</v>
      </c>
      <c r="F389" s="1">
        <v>82777.52</v>
      </c>
      <c r="G389" s="18">
        <v>158</v>
      </c>
      <c r="I389" s="21">
        <v>46053.556944444441</v>
      </c>
      <c r="J389" s="26"/>
      <c r="K389" s="26"/>
      <c r="L389" s="27">
        <v>82848.479999999996</v>
      </c>
      <c r="M389" s="27">
        <v>82736.455000000002</v>
      </c>
      <c r="N389" s="28" t="s">
        <v>6</v>
      </c>
      <c r="O389" s="28" t="s">
        <v>13</v>
      </c>
      <c r="P389"/>
    </row>
    <row r="390" spans="1:16" x14ac:dyDescent="0.35">
      <c r="A390" s="4">
        <v>387</v>
      </c>
      <c r="B390" s="17">
        <v>46053.55972222222</v>
      </c>
      <c r="C390" s="1">
        <v>82762.81</v>
      </c>
      <c r="D390" s="20">
        <v>82773.63</v>
      </c>
      <c r="E390" s="20">
        <v>82748.100000000006</v>
      </c>
      <c r="F390" s="1">
        <v>82759.75</v>
      </c>
      <c r="G390" s="18">
        <v>60</v>
      </c>
      <c r="I390" s="21">
        <v>46053.55972222222</v>
      </c>
      <c r="J390" s="26"/>
      <c r="K390" s="26"/>
      <c r="L390" s="27">
        <v>82841.009999999995</v>
      </c>
      <c r="M390" s="27">
        <v>82735.08</v>
      </c>
      <c r="N390" s="28" t="s">
        <v>6</v>
      </c>
      <c r="O390" s="28" t="s">
        <v>13</v>
      </c>
      <c r="P390"/>
    </row>
    <row r="391" spans="1:16" x14ac:dyDescent="0.35">
      <c r="A391" s="4">
        <v>388</v>
      </c>
      <c r="B391" s="17">
        <v>46053.560416666667</v>
      </c>
      <c r="C391" s="1">
        <v>82758.38</v>
      </c>
      <c r="D391" s="20">
        <v>82758.38</v>
      </c>
      <c r="E391" s="20">
        <v>82738.67</v>
      </c>
      <c r="F391" s="1">
        <v>82744</v>
      </c>
      <c r="G391" s="18">
        <v>172</v>
      </c>
      <c r="I391" s="21">
        <v>46053.560416666667</v>
      </c>
      <c r="J391" s="26"/>
      <c r="K391" s="26"/>
      <c r="L391" s="27">
        <v>82833.539999999994</v>
      </c>
      <c r="M391" s="27">
        <v>82733.705000000002</v>
      </c>
      <c r="N391" s="28" t="s">
        <v>6</v>
      </c>
      <c r="O391" s="28" t="s">
        <v>13</v>
      </c>
      <c r="P391"/>
    </row>
    <row r="392" spans="1:16" x14ac:dyDescent="0.35">
      <c r="A392" s="4">
        <v>389</v>
      </c>
      <c r="B392" s="17">
        <v>46053.561111111114</v>
      </c>
      <c r="C392" s="1">
        <v>82747.72</v>
      </c>
      <c r="D392" s="20">
        <v>82776.97</v>
      </c>
      <c r="E392" s="20">
        <v>82732.33</v>
      </c>
      <c r="F392" s="1">
        <v>82771.100000000006</v>
      </c>
      <c r="G392" s="18">
        <v>159</v>
      </c>
      <c r="I392" s="21">
        <v>46053.561111111114</v>
      </c>
      <c r="J392" s="26"/>
      <c r="K392" s="26">
        <v>82732.33</v>
      </c>
      <c r="L392" s="27">
        <v>82826.070000000007</v>
      </c>
      <c r="M392" s="27">
        <v>82732.33</v>
      </c>
      <c r="N392" s="28" t="s">
        <v>6</v>
      </c>
      <c r="O392" s="28" t="s">
        <v>13</v>
      </c>
      <c r="P392"/>
    </row>
    <row r="393" spans="1:16" x14ac:dyDescent="0.35">
      <c r="A393" s="4">
        <v>390</v>
      </c>
      <c r="B393" s="17">
        <v>46053.561805555553</v>
      </c>
      <c r="C393" s="1">
        <v>82771.100000000006</v>
      </c>
      <c r="D393" s="20">
        <v>82791.009999999995</v>
      </c>
      <c r="E393" s="20">
        <v>82771.100000000006</v>
      </c>
      <c r="F393" s="1">
        <v>82790.399999999994</v>
      </c>
      <c r="G393" s="18">
        <v>128</v>
      </c>
      <c r="I393" s="21">
        <v>46053.561805555553</v>
      </c>
      <c r="J393" s="26"/>
      <c r="K393" s="26"/>
      <c r="L393" s="27">
        <v>82818.600000000006</v>
      </c>
      <c r="M393" s="27">
        <v>82687.201669999995</v>
      </c>
      <c r="N393" s="28" t="s">
        <v>6</v>
      </c>
      <c r="O393" s="28" t="s">
        <v>13</v>
      </c>
      <c r="P393"/>
    </row>
    <row r="394" spans="1:16" x14ac:dyDescent="0.35">
      <c r="A394" s="4">
        <v>391</v>
      </c>
      <c r="B394" s="17">
        <v>46053.5625</v>
      </c>
      <c r="C394" s="1">
        <v>82790.399999999994</v>
      </c>
      <c r="D394" s="20">
        <v>82811.13</v>
      </c>
      <c r="E394" s="20">
        <v>82778.83</v>
      </c>
      <c r="F394" s="1">
        <v>82780.5</v>
      </c>
      <c r="G394" s="18">
        <v>64</v>
      </c>
      <c r="I394" s="21">
        <v>46053.5625</v>
      </c>
      <c r="J394" s="26">
        <v>82811.13</v>
      </c>
      <c r="K394" s="26"/>
      <c r="L394" s="27">
        <v>82811.13</v>
      </c>
      <c r="M394" s="27">
        <v>82642.073329999999</v>
      </c>
      <c r="N394" s="28" t="s">
        <v>6</v>
      </c>
      <c r="O394" s="28" t="s">
        <v>13</v>
      </c>
      <c r="P394"/>
    </row>
    <row r="395" spans="1:16" x14ac:dyDescent="0.35">
      <c r="A395" s="4">
        <v>392</v>
      </c>
      <c r="B395" s="17">
        <v>46053.563194444447</v>
      </c>
      <c r="C395" s="1">
        <v>82780.5</v>
      </c>
      <c r="D395" s="20">
        <v>82790.3</v>
      </c>
      <c r="E395" s="20">
        <v>82723.509999999995</v>
      </c>
      <c r="F395" s="1">
        <v>82743.94</v>
      </c>
      <c r="G395" s="18">
        <v>159</v>
      </c>
      <c r="I395" s="21">
        <v>46053.563194444447</v>
      </c>
      <c r="J395" s="26"/>
      <c r="K395" s="26"/>
      <c r="L395" s="27">
        <v>82788.146670000002</v>
      </c>
      <c r="M395" s="27">
        <v>82596.945000000007</v>
      </c>
      <c r="N395" s="28" t="s">
        <v>6</v>
      </c>
      <c r="O395" s="28" t="s">
        <v>13</v>
      </c>
      <c r="P395"/>
    </row>
    <row r="396" spans="1:16" x14ac:dyDescent="0.35">
      <c r="A396" s="4">
        <v>393</v>
      </c>
      <c r="B396" s="17">
        <v>46053.563888888886</v>
      </c>
      <c r="C396" s="1">
        <v>82743.94</v>
      </c>
      <c r="D396" s="20">
        <v>82761.289999999994</v>
      </c>
      <c r="E396" s="20">
        <v>82599.22</v>
      </c>
      <c r="F396" s="1">
        <v>82610.52</v>
      </c>
      <c r="G396" s="18">
        <v>216</v>
      </c>
      <c r="I396" s="21">
        <v>46053.563888888886</v>
      </c>
      <c r="J396" s="26"/>
      <c r="K396" s="26"/>
      <c r="L396" s="27">
        <v>82765.163329999996</v>
      </c>
      <c r="M396" s="27">
        <v>82551.81667</v>
      </c>
      <c r="N396" s="28" t="s">
        <v>6</v>
      </c>
      <c r="O396" s="28" t="s">
        <v>13</v>
      </c>
      <c r="P396"/>
    </row>
    <row r="397" spans="1:16" x14ac:dyDescent="0.35">
      <c r="A397" s="4">
        <v>394</v>
      </c>
      <c r="B397" s="17">
        <v>46053.564583333333</v>
      </c>
      <c r="C397" s="1">
        <v>82610.52</v>
      </c>
      <c r="D397" s="20">
        <v>82632</v>
      </c>
      <c r="E397" s="20">
        <v>82548.600000000006</v>
      </c>
      <c r="F397" s="1">
        <v>82589</v>
      </c>
      <c r="G397" s="18">
        <v>271</v>
      </c>
      <c r="I397" s="21">
        <v>46053.564583333333</v>
      </c>
      <c r="J397" s="26"/>
      <c r="K397" s="26"/>
      <c r="L397" s="27">
        <v>82742.179999999993</v>
      </c>
      <c r="M397" s="27">
        <v>82506.688330000004</v>
      </c>
      <c r="N397" s="28" t="s">
        <v>6</v>
      </c>
      <c r="O397" s="28" t="s">
        <v>13</v>
      </c>
      <c r="P397"/>
    </row>
    <row r="398" spans="1:16" x14ac:dyDescent="0.35">
      <c r="A398" s="4">
        <v>395</v>
      </c>
      <c r="B398" s="17">
        <v>46053.56527777778</v>
      </c>
      <c r="C398" s="1">
        <v>82588.84</v>
      </c>
      <c r="D398" s="20">
        <v>82588.84</v>
      </c>
      <c r="E398" s="20">
        <v>82461.56</v>
      </c>
      <c r="F398" s="1">
        <v>82506.59</v>
      </c>
      <c r="G398" s="18">
        <v>258</v>
      </c>
      <c r="I398" s="21">
        <v>46053.56527777778</v>
      </c>
      <c r="J398" s="26"/>
      <c r="K398" s="26">
        <v>82461.56</v>
      </c>
      <c r="L398" s="27">
        <v>82719.196670000005</v>
      </c>
      <c r="M398" s="27">
        <v>82461.56</v>
      </c>
      <c r="N398" s="28" t="s">
        <v>6</v>
      </c>
      <c r="O398" s="28" t="s">
        <v>13</v>
      </c>
      <c r="P398"/>
    </row>
    <row r="399" spans="1:16" x14ac:dyDescent="0.35">
      <c r="A399" s="4">
        <v>396</v>
      </c>
      <c r="B399" s="17">
        <v>46053.565972222219</v>
      </c>
      <c r="C399" s="1">
        <v>82489.5</v>
      </c>
      <c r="D399" s="20">
        <v>82598.27</v>
      </c>
      <c r="E399" s="20">
        <v>82489.5</v>
      </c>
      <c r="F399" s="1">
        <v>82598.27</v>
      </c>
      <c r="G399" s="18">
        <v>266</v>
      </c>
      <c r="I399" s="21">
        <v>46053.565972222219</v>
      </c>
      <c r="J399" s="26"/>
      <c r="K399" s="26"/>
      <c r="L399" s="27">
        <v>82696.213329999999</v>
      </c>
      <c r="M399" s="27">
        <v>82455.81</v>
      </c>
      <c r="N399" s="28" t="s">
        <v>6</v>
      </c>
      <c r="O399" s="28" t="s">
        <v>13</v>
      </c>
      <c r="P399"/>
    </row>
    <row r="400" spans="1:16" x14ac:dyDescent="0.35">
      <c r="A400" s="4">
        <v>397</v>
      </c>
      <c r="B400" s="17">
        <v>46053.566666666666</v>
      </c>
      <c r="C400" s="1">
        <v>82598.3</v>
      </c>
      <c r="D400" s="20">
        <v>82673.23</v>
      </c>
      <c r="E400" s="20">
        <v>82462.31</v>
      </c>
      <c r="F400" s="1">
        <v>82473.91</v>
      </c>
      <c r="G400" s="18">
        <v>256</v>
      </c>
      <c r="I400" s="21">
        <v>46053.566666666666</v>
      </c>
      <c r="J400" s="26">
        <v>82673.23</v>
      </c>
      <c r="K400" s="26"/>
      <c r="L400" s="27">
        <v>82673.23</v>
      </c>
      <c r="M400" s="27">
        <v>82450.06</v>
      </c>
      <c r="N400" s="28" t="s">
        <v>6</v>
      </c>
      <c r="O400" s="28" t="s">
        <v>13</v>
      </c>
      <c r="P400"/>
    </row>
    <row r="401" spans="1:16" x14ac:dyDescent="0.35">
      <c r="A401" s="4">
        <v>398</v>
      </c>
      <c r="B401" s="17">
        <v>46053.567361111112</v>
      </c>
      <c r="C401" s="1">
        <v>82473.91</v>
      </c>
      <c r="D401" s="20">
        <v>82539.820000000007</v>
      </c>
      <c r="E401" s="20">
        <v>82453.61</v>
      </c>
      <c r="F401" s="1">
        <v>82509.36</v>
      </c>
      <c r="G401" s="18">
        <v>215</v>
      </c>
      <c r="I401" s="21">
        <v>46053.567361111112</v>
      </c>
      <c r="J401" s="26"/>
      <c r="K401" s="26"/>
      <c r="L401" s="27">
        <v>82674.517000000007</v>
      </c>
      <c r="M401" s="27">
        <v>82444.31</v>
      </c>
      <c r="N401" s="28" t="s">
        <v>7</v>
      </c>
      <c r="O401" s="28" t="s">
        <v>13</v>
      </c>
      <c r="P401"/>
    </row>
    <row r="402" spans="1:16" x14ac:dyDescent="0.35">
      <c r="A402" s="4">
        <v>399</v>
      </c>
      <c r="B402" s="17">
        <v>46053.568055555559</v>
      </c>
      <c r="C402" s="1">
        <v>82509.429999999993</v>
      </c>
      <c r="D402" s="20">
        <v>82536.800000000003</v>
      </c>
      <c r="E402" s="20">
        <v>82438.559999999998</v>
      </c>
      <c r="F402" s="1">
        <v>82458.720000000001</v>
      </c>
      <c r="G402" s="18">
        <v>219</v>
      </c>
      <c r="I402" s="21">
        <v>46053.568055555559</v>
      </c>
      <c r="J402" s="26"/>
      <c r="K402" s="26">
        <v>82438.559999999998</v>
      </c>
      <c r="L402" s="27">
        <v>82675.804000000004</v>
      </c>
      <c r="M402" s="27">
        <v>82438.559999999998</v>
      </c>
      <c r="N402" s="28" t="s">
        <v>7</v>
      </c>
      <c r="O402" s="28" t="s">
        <v>13</v>
      </c>
      <c r="P402"/>
    </row>
    <row r="403" spans="1:16" x14ac:dyDescent="0.35">
      <c r="A403" s="4">
        <v>400</v>
      </c>
      <c r="B403" s="17">
        <v>46053.568749999999</v>
      </c>
      <c r="C403" s="1">
        <v>82457.78</v>
      </c>
      <c r="D403" s="20">
        <v>82502.42</v>
      </c>
      <c r="E403" s="20">
        <v>82447.600000000006</v>
      </c>
      <c r="F403" s="1">
        <v>82492.69</v>
      </c>
      <c r="G403" s="18">
        <v>236</v>
      </c>
      <c r="I403" s="21">
        <v>46053.568749999999</v>
      </c>
      <c r="J403" s="26"/>
      <c r="K403" s="26"/>
      <c r="L403" s="27">
        <v>82677.091</v>
      </c>
      <c r="M403" s="27">
        <v>82454.547999999995</v>
      </c>
      <c r="N403" s="28" t="s">
        <v>7</v>
      </c>
      <c r="O403" s="28" t="s">
        <v>8</v>
      </c>
      <c r="P403"/>
    </row>
    <row r="404" spans="1:16" x14ac:dyDescent="0.35">
      <c r="A404" s="4">
        <v>401</v>
      </c>
      <c r="B404" s="17">
        <v>46053.569444444445</v>
      </c>
      <c r="C404" s="1">
        <v>82495.63</v>
      </c>
      <c r="D404" s="20">
        <v>82578.63</v>
      </c>
      <c r="E404" s="20">
        <v>82495.63</v>
      </c>
      <c r="F404" s="1">
        <v>82560.67</v>
      </c>
      <c r="G404" s="18">
        <v>233</v>
      </c>
      <c r="I404" s="21">
        <v>46053.569444444445</v>
      </c>
      <c r="J404" s="26"/>
      <c r="K404" s="26"/>
      <c r="L404" s="27">
        <v>82678.377999999997</v>
      </c>
      <c r="M404" s="27">
        <v>82470.535999999993</v>
      </c>
      <c r="N404" s="28" t="s">
        <v>7</v>
      </c>
      <c r="O404" s="28" t="s">
        <v>8</v>
      </c>
      <c r="P404"/>
    </row>
    <row r="405" spans="1:16" x14ac:dyDescent="0.35">
      <c r="A405" s="4">
        <v>402</v>
      </c>
      <c r="B405" s="17">
        <v>46053.570138888892</v>
      </c>
      <c r="C405" s="1">
        <v>82560.62</v>
      </c>
      <c r="D405" s="20">
        <v>82582.460000000006</v>
      </c>
      <c r="E405" s="20">
        <v>82546.720000000001</v>
      </c>
      <c r="F405" s="1">
        <v>82568</v>
      </c>
      <c r="G405" s="18">
        <v>232</v>
      </c>
      <c r="I405" s="21">
        <v>46053.570138888892</v>
      </c>
      <c r="J405" s="26"/>
      <c r="K405" s="26"/>
      <c r="L405" s="27">
        <v>82679.664999999994</v>
      </c>
      <c r="M405" s="27">
        <v>82486.524000000005</v>
      </c>
      <c r="N405" s="28" t="s">
        <v>7</v>
      </c>
      <c r="O405" s="28" t="s">
        <v>8</v>
      </c>
      <c r="P405"/>
    </row>
    <row r="406" spans="1:16" x14ac:dyDescent="0.35">
      <c r="A406" s="4">
        <v>403</v>
      </c>
      <c r="B406" s="17">
        <v>46053.570833333331</v>
      </c>
      <c r="C406" s="1">
        <v>82574.399999999994</v>
      </c>
      <c r="D406" s="20">
        <v>82594.929999999993</v>
      </c>
      <c r="E406" s="20">
        <v>82546.399999999994</v>
      </c>
      <c r="F406" s="1">
        <v>82558.66</v>
      </c>
      <c r="G406" s="18">
        <v>211</v>
      </c>
      <c r="I406" s="21">
        <v>46053.570833333331</v>
      </c>
      <c r="J406" s="26"/>
      <c r="K406" s="26"/>
      <c r="L406" s="27">
        <v>82680.952000000005</v>
      </c>
      <c r="M406" s="27">
        <v>82502.512000000002</v>
      </c>
      <c r="N406" s="28" t="s">
        <v>7</v>
      </c>
      <c r="O406" s="28" t="s">
        <v>8</v>
      </c>
      <c r="P406"/>
    </row>
    <row r="407" spans="1:16" x14ac:dyDescent="0.35">
      <c r="A407" s="4">
        <v>404</v>
      </c>
      <c r="B407" s="17">
        <v>46053.571527777778</v>
      </c>
      <c r="C407" s="1">
        <v>82559.72</v>
      </c>
      <c r="D407" s="20">
        <v>82581.539999999994</v>
      </c>
      <c r="E407" s="20">
        <v>82518.5</v>
      </c>
      <c r="F407" s="1">
        <v>82554.23</v>
      </c>
      <c r="G407" s="18">
        <v>208</v>
      </c>
      <c r="I407" s="21">
        <v>46053.571527777778</v>
      </c>
      <c r="J407" s="26"/>
      <c r="K407" s="26">
        <v>82518.5</v>
      </c>
      <c r="L407" s="27">
        <v>82682.239000000001</v>
      </c>
      <c r="M407" s="27">
        <v>82518.5</v>
      </c>
      <c r="N407" s="28" t="s">
        <v>7</v>
      </c>
      <c r="O407" s="28" t="s">
        <v>8</v>
      </c>
      <c r="P407"/>
    </row>
    <row r="408" spans="1:16" x14ac:dyDescent="0.35">
      <c r="A408" s="4">
        <v>405</v>
      </c>
      <c r="B408" s="17">
        <v>46053.572222222225</v>
      </c>
      <c r="C408" s="1">
        <v>82554.42</v>
      </c>
      <c r="D408" s="20">
        <v>82615.42</v>
      </c>
      <c r="E408" s="20">
        <v>82554.42</v>
      </c>
      <c r="F408" s="1">
        <v>82608.73</v>
      </c>
      <c r="G408" s="18">
        <v>184</v>
      </c>
      <c r="I408" s="21">
        <v>46053.572222222225</v>
      </c>
      <c r="J408" s="26"/>
      <c r="K408" s="26"/>
      <c r="L408" s="27">
        <v>82683.525999999998</v>
      </c>
      <c r="M408" s="27">
        <v>82526.865999999995</v>
      </c>
      <c r="N408" s="28" t="s">
        <v>7</v>
      </c>
      <c r="O408" s="28" t="s">
        <v>8</v>
      </c>
      <c r="P408"/>
    </row>
    <row r="409" spans="1:16" x14ac:dyDescent="0.35">
      <c r="A409" s="4">
        <v>406</v>
      </c>
      <c r="B409" s="17">
        <v>46053.572916666664</v>
      </c>
      <c r="C409" s="1">
        <v>82609.5</v>
      </c>
      <c r="D409" s="20">
        <v>82620.320000000007</v>
      </c>
      <c r="E409" s="20">
        <v>82563.72</v>
      </c>
      <c r="F409" s="1">
        <v>82589.53</v>
      </c>
      <c r="G409" s="18">
        <v>193</v>
      </c>
      <c r="I409" s="21">
        <v>46053.572916666664</v>
      </c>
      <c r="J409" s="26"/>
      <c r="K409" s="26"/>
      <c r="L409" s="27">
        <v>82684.812999999995</v>
      </c>
      <c r="M409" s="27">
        <v>82535.232000000004</v>
      </c>
      <c r="N409" s="28" t="s">
        <v>7</v>
      </c>
      <c r="O409" s="28" t="s">
        <v>8</v>
      </c>
      <c r="P409"/>
    </row>
    <row r="410" spans="1:16" x14ac:dyDescent="0.35">
      <c r="A410" s="4">
        <v>407</v>
      </c>
      <c r="B410" s="17">
        <v>46053.573611111111</v>
      </c>
      <c r="C410" s="1">
        <v>82587.72</v>
      </c>
      <c r="D410" s="20">
        <v>82686.100000000006</v>
      </c>
      <c r="E410" s="20">
        <v>82578.2</v>
      </c>
      <c r="F410" s="1">
        <v>82581.87</v>
      </c>
      <c r="G410" s="18">
        <v>217</v>
      </c>
      <c r="I410" s="21">
        <v>46053.573611111111</v>
      </c>
      <c r="J410" s="26">
        <v>82686.100000000006</v>
      </c>
      <c r="K410" s="26"/>
      <c r="L410" s="27">
        <v>82686.100000000006</v>
      </c>
      <c r="M410" s="27">
        <v>82543.597999999998</v>
      </c>
      <c r="N410" s="28" t="s">
        <v>7</v>
      </c>
      <c r="O410" s="28" t="s">
        <v>8</v>
      </c>
      <c r="P410"/>
    </row>
    <row r="411" spans="1:16" x14ac:dyDescent="0.35">
      <c r="A411" s="4">
        <v>408</v>
      </c>
      <c r="B411" s="17">
        <v>46053.574305555558</v>
      </c>
      <c r="C411" s="1">
        <v>82587.89</v>
      </c>
      <c r="D411" s="20">
        <v>82656.899999999994</v>
      </c>
      <c r="E411" s="20">
        <v>82581.429999999993</v>
      </c>
      <c r="F411" s="1">
        <v>82590.679999999993</v>
      </c>
      <c r="G411" s="18">
        <v>227</v>
      </c>
      <c r="I411" s="21">
        <v>46053.574305555558</v>
      </c>
      <c r="J411" s="26"/>
      <c r="K411" s="26"/>
      <c r="L411" s="27">
        <v>82677.542000000001</v>
      </c>
      <c r="M411" s="27">
        <v>82551.964000000007</v>
      </c>
      <c r="N411" s="28" t="s">
        <v>6</v>
      </c>
      <c r="O411" s="28" t="s">
        <v>8</v>
      </c>
      <c r="P411"/>
    </row>
    <row r="412" spans="1:16" x14ac:dyDescent="0.35">
      <c r="A412" s="4">
        <v>409</v>
      </c>
      <c r="B412" s="17">
        <v>46053.574999999997</v>
      </c>
      <c r="C412" s="1">
        <v>82590.63</v>
      </c>
      <c r="D412" s="20">
        <v>82613.66</v>
      </c>
      <c r="E412" s="20">
        <v>82560.33</v>
      </c>
      <c r="F412" s="1">
        <v>82613.649999999994</v>
      </c>
      <c r="G412" s="18">
        <v>229</v>
      </c>
      <c r="I412" s="21">
        <v>46053.574999999997</v>
      </c>
      <c r="J412" s="26"/>
      <c r="K412" s="26">
        <v>82560.33</v>
      </c>
      <c r="L412" s="27">
        <v>82668.983999999997</v>
      </c>
      <c r="M412" s="27">
        <v>82560.33</v>
      </c>
      <c r="N412" s="28" t="s">
        <v>6</v>
      </c>
      <c r="O412" s="28" t="s">
        <v>8</v>
      </c>
      <c r="P412"/>
    </row>
    <row r="413" spans="1:16" x14ac:dyDescent="0.35">
      <c r="A413" s="4">
        <v>410</v>
      </c>
      <c r="B413" s="17">
        <v>46053.575694444444</v>
      </c>
      <c r="C413" s="1">
        <v>82613.649999999994</v>
      </c>
      <c r="D413" s="20">
        <v>82636.039999999994</v>
      </c>
      <c r="E413" s="20">
        <v>82589.02</v>
      </c>
      <c r="F413" s="1">
        <v>82631.199999999997</v>
      </c>
      <c r="G413" s="18">
        <v>211</v>
      </c>
      <c r="I413" s="21">
        <v>46053.575694444444</v>
      </c>
      <c r="J413" s="26"/>
      <c r="K413" s="26"/>
      <c r="L413" s="27">
        <v>82660.426000000007</v>
      </c>
      <c r="M413" s="27">
        <v>82556.822499999995</v>
      </c>
      <c r="N413" s="28" t="s">
        <v>6</v>
      </c>
      <c r="O413" s="28" t="s">
        <v>13</v>
      </c>
      <c r="P413"/>
    </row>
    <row r="414" spans="1:16" x14ac:dyDescent="0.35">
      <c r="A414" s="4">
        <v>411</v>
      </c>
      <c r="B414" s="17">
        <v>46053.576388888891</v>
      </c>
      <c r="C414" s="1">
        <v>82630.7</v>
      </c>
      <c r="D414" s="20">
        <v>82638.41</v>
      </c>
      <c r="E414" s="20">
        <v>82595.62</v>
      </c>
      <c r="F414" s="1">
        <v>82634.399999999994</v>
      </c>
      <c r="G414" s="18">
        <v>166</v>
      </c>
      <c r="I414" s="21">
        <v>46053.576388888891</v>
      </c>
      <c r="J414" s="26"/>
      <c r="K414" s="26"/>
      <c r="L414" s="27">
        <v>82651.868000000002</v>
      </c>
      <c r="M414" s="27">
        <v>82553.315000000002</v>
      </c>
      <c r="N414" s="28" t="s">
        <v>6</v>
      </c>
      <c r="O414" s="28" t="s">
        <v>13</v>
      </c>
      <c r="P414"/>
    </row>
    <row r="415" spans="1:16" x14ac:dyDescent="0.35">
      <c r="A415" s="4">
        <v>412</v>
      </c>
      <c r="B415" s="17">
        <v>46053.57708333333</v>
      </c>
      <c r="C415" s="1">
        <v>82634.399999999994</v>
      </c>
      <c r="D415" s="20">
        <v>82643.31</v>
      </c>
      <c r="E415" s="20">
        <v>82579.990000000005</v>
      </c>
      <c r="F415" s="1">
        <v>82582.83</v>
      </c>
      <c r="G415" s="18">
        <v>224</v>
      </c>
      <c r="I415" s="21">
        <v>46053.57708333333</v>
      </c>
      <c r="J415" s="26">
        <v>82643.31</v>
      </c>
      <c r="K415" s="26"/>
      <c r="L415" s="27">
        <v>82643.31</v>
      </c>
      <c r="M415" s="27">
        <v>82549.807499999995</v>
      </c>
      <c r="N415" s="28" t="s">
        <v>6</v>
      </c>
      <c r="O415" s="28" t="s">
        <v>13</v>
      </c>
      <c r="P415"/>
    </row>
    <row r="416" spans="1:16" x14ac:dyDescent="0.35">
      <c r="A416" s="4">
        <v>413</v>
      </c>
      <c r="B416" s="17">
        <v>46053.577777777777</v>
      </c>
      <c r="C416" s="1">
        <v>82583.399999999994</v>
      </c>
      <c r="D416" s="20">
        <v>82608.539999999994</v>
      </c>
      <c r="E416" s="20">
        <v>82546.3</v>
      </c>
      <c r="F416" s="1">
        <v>82581.259999999995</v>
      </c>
      <c r="G416" s="18">
        <v>199</v>
      </c>
      <c r="I416" s="21">
        <v>46053.577777777777</v>
      </c>
      <c r="J416" s="26"/>
      <c r="K416" s="26">
        <v>82546.3</v>
      </c>
      <c r="L416" s="27">
        <v>82654.6875</v>
      </c>
      <c r="M416" s="27">
        <v>82546.3</v>
      </c>
      <c r="N416" s="28" t="s">
        <v>7</v>
      </c>
      <c r="O416" s="28" t="s">
        <v>13</v>
      </c>
      <c r="P416"/>
    </row>
    <row r="417" spans="1:16" x14ac:dyDescent="0.35">
      <c r="A417" s="4">
        <v>414</v>
      </c>
      <c r="B417" s="17">
        <v>46053.578472222223</v>
      </c>
      <c r="C417" s="1">
        <v>82582.100000000006</v>
      </c>
      <c r="D417" s="20">
        <v>82623.78</v>
      </c>
      <c r="E417" s="20">
        <v>82582.070000000007</v>
      </c>
      <c r="F417" s="1">
        <v>82614.03</v>
      </c>
      <c r="G417" s="18">
        <v>190</v>
      </c>
      <c r="I417" s="21">
        <v>46053.578472222223</v>
      </c>
      <c r="J417" s="26"/>
      <c r="K417" s="26"/>
      <c r="L417" s="27">
        <v>82666.065000000002</v>
      </c>
      <c r="M417" s="27">
        <v>82558.695999999996</v>
      </c>
      <c r="N417" s="28" t="s">
        <v>7</v>
      </c>
      <c r="O417" s="28" t="s">
        <v>8</v>
      </c>
      <c r="P417"/>
    </row>
    <row r="418" spans="1:16" x14ac:dyDescent="0.35">
      <c r="A418" s="4">
        <v>415</v>
      </c>
      <c r="B418" s="17">
        <v>46053.57916666667</v>
      </c>
      <c r="C418" s="1">
        <v>82613.39</v>
      </c>
      <c r="D418" s="20">
        <v>82636.77</v>
      </c>
      <c r="E418" s="20">
        <v>82609.59</v>
      </c>
      <c r="F418" s="1">
        <v>82636.06</v>
      </c>
      <c r="G418" s="18">
        <v>181</v>
      </c>
      <c r="I418" s="21">
        <v>46053.57916666667</v>
      </c>
      <c r="J418" s="26"/>
      <c r="K418" s="26"/>
      <c r="L418" s="27">
        <v>82677.442500000005</v>
      </c>
      <c r="M418" s="27">
        <v>82571.092000000004</v>
      </c>
      <c r="N418" s="28" t="s">
        <v>7</v>
      </c>
      <c r="O418" s="28" t="s">
        <v>8</v>
      </c>
      <c r="P418"/>
    </row>
    <row r="419" spans="1:16" x14ac:dyDescent="0.35">
      <c r="A419" s="4">
        <v>416</v>
      </c>
      <c r="B419" s="17">
        <v>46053.579861111109</v>
      </c>
      <c r="C419" s="1">
        <v>82638.44</v>
      </c>
      <c r="D419" s="20">
        <v>82688.820000000007</v>
      </c>
      <c r="E419" s="20">
        <v>82630.490000000005</v>
      </c>
      <c r="F419" s="1">
        <v>82634.149999999994</v>
      </c>
      <c r="G419" s="18">
        <v>199</v>
      </c>
      <c r="I419" s="21">
        <v>46053.579861111109</v>
      </c>
      <c r="J419" s="26">
        <v>82688.820000000007</v>
      </c>
      <c r="K419" s="26"/>
      <c r="L419" s="27">
        <v>82688.820000000007</v>
      </c>
      <c r="M419" s="27">
        <v>82583.487999999998</v>
      </c>
      <c r="N419" s="28" t="s">
        <v>7</v>
      </c>
      <c r="O419" s="28" t="s">
        <v>8</v>
      </c>
      <c r="P419"/>
    </row>
    <row r="420" spans="1:16" x14ac:dyDescent="0.35">
      <c r="A420" s="4">
        <v>417</v>
      </c>
      <c r="B420" s="17">
        <v>46053.580555555556</v>
      </c>
      <c r="C420" s="1">
        <v>82634.210000000006</v>
      </c>
      <c r="D420" s="20">
        <v>82654.3</v>
      </c>
      <c r="E420" s="20">
        <v>82632.539999999994</v>
      </c>
      <c r="F420" s="1">
        <v>82639.360000000001</v>
      </c>
      <c r="G420" s="18">
        <v>184</v>
      </c>
      <c r="I420" s="21">
        <v>46053.580555555556</v>
      </c>
      <c r="J420" s="26"/>
      <c r="K420" s="26"/>
      <c r="L420" s="27">
        <v>82705.75</v>
      </c>
      <c r="M420" s="27">
        <v>82595.884000000005</v>
      </c>
      <c r="N420" s="28" t="s">
        <v>7</v>
      </c>
      <c r="O420" s="28" t="s">
        <v>8</v>
      </c>
      <c r="P420"/>
    </row>
    <row r="421" spans="1:16" x14ac:dyDescent="0.35">
      <c r="A421" s="4">
        <v>418</v>
      </c>
      <c r="B421" s="17">
        <v>46053.581250000003</v>
      </c>
      <c r="C421" s="1">
        <v>82639.350000000006</v>
      </c>
      <c r="D421" s="20">
        <v>82677.100000000006</v>
      </c>
      <c r="E421" s="20">
        <v>82635.34</v>
      </c>
      <c r="F421" s="1">
        <v>82647.539999999994</v>
      </c>
      <c r="G421" s="18">
        <v>178</v>
      </c>
      <c r="I421" s="21">
        <v>46053.581250000003</v>
      </c>
      <c r="J421" s="26"/>
      <c r="K421" s="26"/>
      <c r="L421" s="27">
        <v>82722.679999999993</v>
      </c>
      <c r="M421" s="27">
        <v>82608.28</v>
      </c>
      <c r="N421" s="28" t="s">
        <v>7</v>
      </c>
      <c r="O421" s="28" t="s">
        <v>8</v>
      </c>
      <c r="P421"/>
    </row>
    <row r="422" spans="1:16" x14ac:dyDescent="0.35">
      <c r="A422" s="4">
        <v>419</v>
      </c>
      <c r="B422" s="17">
        <v>46053.581944444442</v>
      </c>
      <c r="C422" s="1">
        <v>82650.81</v>
      </c>
      <c r="D422" s="20">
        <v>82702.600000000006</v>
      </c>
      <c r="E422" s="20">
        <v>82650.81</v>
      </c>
      <c r="F422" s="1">
        <v>82701.990000000005</v>
      </c>
      <c r="G422" s="18">
        <v>147</v>
      </c>
      <c r="I422" s="21">
        <v>46053.581944444442</v>
      </c>
      <c r="J422" s="26"/>
      <c r="K422" s="26"/>
      <c r="L422" s="27">
        <v>82739.61</v>
      </c>
      <c r="M422" s="27">
        <v>82620.676000000007</v>
      </c>
      <c r="N422" s="28" t="s">
        <v>7</v>
      </c>
      <c r="O422" s="28" t="s">
        <v>8</v>
      </c>
      <c r="P422"/>
    </row>
    <row r="423" spans="1:16" x14ac:dyDescent="0.35">
      <c r="A423" s="4">
        <v>420</v>
      </c>
      <c r="B423" s="17">
        <v>46053.582638888889</v>
      </c>
      <c r="C423" s="1">
        <v>82701.990000000005</v>
      </c>
      <c r="D423" s="20">
        <v>82732.97</v>
      </c>
      <c r="E423" s="20">
        <v>82701.990000000005</v>
      </c>
      <c r="F423" s="1">
        <v>82723.3</v>
      </c>
      <c r="G423" s="18">
        <v>198</v>
      </c>
      <c r="I423" s="21">
        <v>46053.582638888889</v>
      </c>
      <c r="J423" s="26"/>
      <c r="K423" s="26"/>
      <c r="L423" s="27">
        <v>82756.539999999994</v>
      </c>
      <c r="M423" s="27">
        <v>82633.072</v>
      </c>
      <c r="N423" s="28" t="s">
        <v>7</v>
      </c>
      <c r="O423" s="28" t="s">
        <v>8</v>
      </c>
      <c r="P423"/>
    </row>
    <row r="424" spans="1:16" x14ac:dyDescent="0.35">
      <c r="A424" s="4">
        <v>421</v>
      </c>
      <c r="B424" s="17">
        <v>46053.583333333336</v>
      </c>
      <c r="C424" s="1">
        <v>82723.3</v>
      </c>
      <c r="D424" s="20">
        <v>82778.320000000007</v>
      </c>
      <c r="E424" s="20">
        <v>82723.23</v>
      </c>
      <c r="F424" s="1">
        <v>82763.73</v>
      </c>
      <c r="G424" s="18">
        <v>209</v>
      </c>
      <c r="I424" s="21">
        <v>46053.583333333336</v>
      </c>
      <c r="J424" s="26"/>
      <c r="K424" s="26"/>
      <c r="L424" s="27">
        <v>82773.47</v>
      </c>
      <c r="M424" s="27">
        <v>82645.467999999993</v>
      </c>
      <c r="N424" s="28" t="s">
        <v>7</v>
      </c>
      <c r="O424" s="28" t="s">
        <v>8</v>
      </c>
      <c r="P424"/>
    </row>
    <row r="425" spans="1:16" x14ac:dyDescent="0.35">
      <c r="A425" s="4">
        <v>422</v>
      </c>
      <c r="B425" s="17">
        <v>46053.584027777775</v>
      </c>
      <c r="C425" s="1">
        <v>82763.66</v>
      </c>
      <c r="D425" s="20">
        <v>82790.399999999994</v>
      </c>
      <c r="E425" s="20">
        <v>82763.509999999995</v>
      </c>
      <c r="F425" s="1">
        <v>82774.28</v>
      </c>
      <c r="G425" s="18">
        <v>222</v>
      </c>
      <c r="I425" s="21">
        <v>46053.584027777775</v>
      </c>
      <c r="J425" s="26">
        <v>82790.399999999994</v>
      </c>
      <c r="K425" s="26"/>
      <c r="L425" s="27">
        <v>82790.399999999994</v>
      </c>
      <c r="M425" s="27">
        <v>82657.864000000001</v>
      </c>
      <c r="N425" s="28" t="s">
        <v>7</v>
      </c>
      <c r="O425" s="28" t="s">
        <v>8</v>
      </c>
      <c r="P425"/>
    </row>
    <row r="426" spans="1:16" x14ac:dyDescent="0.35">
      <c r="A426" s="4">
        <v>423</v>
      </c>
      <c r="B426" s="17">
        <v>46053.584722222222</v>
      </c>
      <c r="C426" s="1">
        <v>82774.3</v>
      </c>
      <c r="D426" s="20">
        <v>82774.3</v>
      </c>
      <c r="E426" s="20">
        <v>82670.259999999995</v>
      </c>
      <c r="F426" s="1">
        <v>82710.31</v>
      </c>
      <c r="G426" s="18">
        <v>211</v>
      </c>
      <c r="I426" s="21">
        <v>46053.584722222222</v>
      </c>
      <c r="J426" s="26"/>
      <c r="K426" s="26">
        <v>82670.259999999995</v>
      </c>
      <c r="L426" s="27">
        <v>82810.14</v>
      </c>
      <c r="M426" s="27">
        <v>82670.259999999995</v>
      </c>
      <c r="N426" s="28" t="s">
        <v>7</v>
      </c>
      <c r="O426" s="28" t="s">
        <v>8</v>
      </c>
      <c r="P426"/>
    </row>
    <row r="427" spans="1:16" x14ac:dyDescent="0.35">
      <c r="A427" s="4">
        <v>424</v>
      </c>
      <c r="B427" s="17">
        <v>46053.585416666669</v>
      </c>
      <c r="C427" s="1">
        <v>82710.31</v>
      </c>
      <c r="D427" s="20">
        <v>82774.3</v>
      </c>
      <c r="E427" s="20">
        <v>82710.31</v>
      </c>
      <c r="F427" s="1">
        <v>82742.899999999994</v>
      </c>
      <c r="G427" s="18">
        <v>175</v>
      </c>
      <c r="I427" s="21">
        <v>46053.585416666669</v>
      </c>
      <c r="J427" s="26"/>
      <c r="K427" s="26"/>
      <c r="L427" s="27">
        <v>82829.88</v>
      </c>
      <c r="M427" s="27">
        <v>82632.615000000005</v>
      </c>
      <c r="N427" s="28" t="s">
        <v>7</v>
      </c>
      <c r="O427" s="28" t="s">
        <v>13</v>
      </c>
      <c r="P427"/>
    </row>
    <row r="428" spans="1:16" x14ac:dyDescent="0.35">
      <c r="A428" s="4">
        <v>425</v>
      </c>
      <c r="B428" s="17">
        <v>46053.586111111108</v>
      </c>
      <c r="C428" s="1">
        <v>82739.91</v>
      </c>
      <c r="D428" s="20">
        <v>82833.490000000005</v>
      </c>
      <c r="E428" s="20">
        <v>82739.100000000006</v>
      </c>
      <c r="F428" s="1">
        <v>82833.490000000005</v>
      </c>
      <c r="G428" s="18">
        <v>180</v>
      </c>
      <c r="I428" s="21">
        <v>46053.586111111108</v>
      </c>
      <c r="J428" s="26"/>
      <c r="K428" s="26"/>
      <c r="L428" s="27">
        <v>82849.62</v>
      </c>
      <c r="M428" s="27">
        <v>82594.97</v>
      </c>
      <c r="N428" s="28" t="s">
        <v>7</v>
      </c>
      <c r="O428" s="28" t="s">
        <v>13</v>
      </c>
      <c r="P428"/>
    </row>
    <row r="429" spans="1:16" x14ac:dyDescent="0.35">
      <c r="A429" s="4">
        <v>426</v>
      </c>
      <c r="B429" s="17">
        <v>46053.586805555555</v>
      </c>
      <c r="C429" s="1">
        <v>82837.41</v>
      </c>
      <c r="D429" s="20">
        <v>82872.210000000006</v>
      </c>
      <c r="E429" s="20">
        <v>82810.149999999994</v>
      </c>
      <c r="F429" s="1">
        <v>82810.5</v>
      </c>
      <c r="G429" s="18">
        <v>232</v>
      </c>
      <c r="I429" s="21">
        <v>46053.586805555555</v>
      </c>
      <c r="J429" s="26"/>
      <c r="K429" s="26"/>
      <c r="L429" s="27">
        <v>82869.36</v>
      </c>
      <c r="M429" s="27">
        <v>82557.324999999997</v>
      </c>
      <c r="N429" s="28" t="s">
        <v>7</v>
      </c>
      <c r="O429" s="28" t="s">
        <v>13</v>
      </c>
      <c r="P429"/>
    </row>
    <row r="430" spans="1:16" x14ac:dyDescent="0.35">
      <c r="A430" s="4">
        <v>427</v>
      </c>
      <c r="B430" s="17">
        <v>46053.587500000001</v>
      </c>
      <c r="C430" s="1">
        <v>82810.25</v>
      </c>
      <c r="D430" s="20">
        <v>82889.100000000006</v>
      </c>
      <c r="E430" s="20">
        <v>82810.22</v>
      </c>
      <c r="F430" s="1">
        <v>82878</v>
      </c>
      <c r="G430" s="18">
        <v>207</v>
      </c>
      <c r="I430" s="21">
        <v>46053.587500000001</v>
      </c>
      <c r="J430" s="26">
        <v>82889.100000000006</v>
      </c>
      <c r="K430" s="26"/>
      <c r="L430" s="27">
        <v>82889.100000000006</v>
      </c>
      <c r="M430" s="27">
        <v>82519.679999999993</v>
      </c>
      <c r="N430" s="28" t="s">
        <v>7</v>
      </c>
      <c r="O430" s="28" t="s">
        <v>13</v>
      </c>
      <c r="P430"/>
    </row>
    <row r="431" spans="1:16" x14ac:dyDescent="0.35">
      <c r="A431" s="4">
        <v>428</v>
      </c>
      <c r="B431" s="17">
        <v>46053.588194444441</v>
      </c>
      <c r="C431" s="1">
        <v>82878.23</v>
      </c>
      <c r="D431" s="20">
        <v>82878.320000000007</v>
      </c>
      <c r="E431" s="20">
        <v>82770.28</v>
      </c>
      <c r="F431" s="1">
        <v>82780.55</v>
      </c>
      <c r="G431" s="18">
        <v>217</v>
      </c>
      <c r="I431" s="21">
        <v>46053.588194444441</v>
      </c>
      <c r="J431" s="26"/>
      <c r="K431" s="26"/>
      <c r="L431" s="27">
        <v>82839.524999999994</v>
      </c>
      <c r="M431" s="27">
        <v>82482.035000000003</v>
      </c>
      <c r="N431" s="28" t="s">
        <v>6</v>
      </c>
      <c r="O431" s="28" t="s">
        <v>13</v>
      </c>
      <c r="P431"/>
    </row>
    <row r="432" spans="1:16" x14ac:dyDescent="0.35">
      <c r="A432" s="4">
        <v>429</v>
      </c>
      <c r="B432" s="17">
        <v>46053.588888888888</v>
      </c>
      <c r="C432" s="1">
        <v>82780.69</v>
      </c>
      <c r="D432" s="20">
        <v>82780.69</v>
      </c>
      <c r="E432" s="20">
        <v>82590.22</v>
      </c>
      <c r="F432" s="1">
        <v>82595.11</v>
      </c>
      <c r="G432" s="18">
        <v>248</v>
      </c>
      <c r="I432" s="21">
        <v>46053.588888888888</v>
      </c>
      <c r="J432" s="26"/>
      <c r="K432" s="26"/>
      <c r="L432" s="27">
        <v>82789.95</v>
      </c>
      <c r="M432" s="27">
        <v>82444.39</v>
      </c>
      <c r="N432" s="28" t="s">
        <v>6</v>
      </c>
      <c r="O432" s="28" t="s">
        <v>13</v>
      </c>
      <c r="P432"/>
    </row>
    <row r="433" spans="1:16" x14ac:dyDescent="0.35">
      <c r="A433" s="4">
        <v>430</v>
      </c>
      <c r="B433" s="17">
        <v>46053.589583333334</v>
      </c>
      <c r="C433" s="1">
        <v>82590.41</v>
      </c>
      <c r="D433" s="20">
        <v>82590.41</v>
      </c>
      <c r="E433" s="20">
        <v>82537</v>
      </c>
      <c r="F433" s="1">
        <v>82556.89</v>
      </c>
      <c r="G433" s="18">
        <v>258</v>
      </c>
      <c r="I433" s="21">
        <v>46053.589583333334</v>
      </c>
      <c r="J433" s="26"/>
      <c r="K433" s="26"/>
      <c r="L433" s="27">
        <v>82740.375</v>
      </c>
      <c r="M433" s="27">
        <v>82406.744999999995</v>
      </c>
      <c r="N433" s="28" t="s">
        <v>6</v>
      </c>
      <c r="O433" s="28" t="s">
        <v>13</v>
      </c>
      <c r="P433"/>
    </row>
    <row r="434" spans="1:16" x14ac:dyDescent="0.35">
      <c r="A434" s="4">
        <v>431</v>
      </c>
      <c r="B434" s="17">
        <v>46053.590277777781</v>
      </c>
      <c r="C434" s="1">
        <v>82557.53</v>
      </c>
      <c r="D434" s="20">
        <v>82626.740000000005</v>
      </c>
      <c r="E434" s="20">
        <v>82369.100000000006</v>
      </c>
      <c r="F434" s="1">
        <v>82415.58</v>
      </c>
      <c r="G434" s="18">
        <v>255</v>
      </c>
      <c r="I434" s="21">
        <v>46053.590277777781</v>
      </c>
      <c r="J434" s="26"/>
      <c r="K434" s="26">
        <v>82369.100000000006</v>
      </c>
      <c r="L434" s="27">
        <v>82690.8</v>
      </c>
      <c r="M434" s="27">
        <v>82369.100000000006</v>
      </c>
      <c r="N434" s="28" t="s">
        <v>6</v>
      </c>
      <c r="O434" s="28" t="s">
        <v>13</v>
      </c>
      <c r="P434"/>
    </row>
    <row r="435" spans="1:16" x14ac:dyDescent="0.35">
      <c r="A435" s="4">
        <v>432</v>
      </c>
      <c r="B435" s="17">
        <v>46053.59097222222</v>
      </c>
      <c r="C435" s="1">
        <v>82406.28</v>
      </c>
      <c r="D435" s="20">
        <v>82541.210000000006</v>
      </c>
      <c r="E435" s="20">
        <v>82406.28</v>
      </c>
      <c r="F435" s="1">
        <v>82477.490000000005</v>
      </c>
      <c r="G435" s="18">
        <v>267</v>
      </c>
      <c r="I435" s="21">
        <v>46053.59097222222</v>
      </c>
      <c r="J435" s="26"/>
      <c r="K435" s="26"/>
      <c r="L435" s="27">
        <v>82641.225000000006</v>
      </c>
      <c r="M435" s="27">
        <v>82345.149999999994</v>
      </c>
      <c r="N435" s="28" t="s">
        <v>6</v>
      </c>
      <c r="O435" s="28" t="s">
        <v>13</v>
      </c>
      <c r="P435"/>
    </row>
    <row r="436" spans="1:16" x14ac:dyDescent="0.35">
      <c r="A436" s="4">
        <v>433</v>
      </c>
      <c r="B436" s="17">
        <v>46053.591666666667</v>
      </c>
      <c r="C436" s="1">
        <v>82483.19</v>
      </c>
      <c r="D436" s="20">
        <v>82487.22</v>
      </c>
      <c r="E436" s="20">
        <v>82378.84</v>
      </c>
      <c r="F436" s="1">
        <v>82420.88</v>
      </c>
      <c r="G436" s="18">
        <v>253</v>
      </c>
      <c r="I436" s="21">
        <v>46053.591666666667</v>
      </c>
      <c r="J436" s="26"/>
      <c r="K436" s="26"/>
      <c r="L436" s="27">
        <v>82591.649999999994</v>
      </c>
      <c r="M436" s="27">
        <v>82321.2</v>
      </c>
      <c r="N436" s="28" t="s">
        <v>6</v>
      </c>
      <c r="O436" s="28" t="s">
        <v>13</v>
      </c>
      <c r="P436"/>
    </row>
    <row r="437" spans="1:16" x14ac:dyDescent="0.35">
      <c r="A437" s="4">
        <v>434</v>
      </c>
      <c r="B437" s="17">
        <v>46053.592361111114</v>
      </c>
      <c r="C437" s="1">
        <v>82421.53</v>
      </c>
      <c r="D437" s="20">
        <v>82444.94</v>
      </c>
      <c r="E437" s="20">
        <v>82340.63</v>
      </c>
      <c r="F437" s="1">
        <v>82444.94</v>
      </c>
      <c r="G437" s="18">
        <v>245</v>
      </c>
      <c r="I437" s="21">
        <v>46053.592361111114</v>
      </c>
      <c r="J437" s="26"/>
      <c r="K437" s="26"/>
      <c r="L437" s="27">
        <v>82542.074999999997</v>
      </c>
      <c r="M437" s="27">
        <v>82297.25</v>
      </c>
      <c r="N437" s="28" t="s">
        <v>6</v>
      </c>
      <c r="O437" s="28" t="s">
        <v>13</v>
      </c>
      <c r="P437"/>
    </row>
    <row r="438" spans="1:16" x14ac:dyDescent="0.35">
      <c r="A438" s="4">
        <v>435</v>
      </c>
      <c r="B438" s="17">
        <v>46053.593055555553</v>
      </c>
      <c r="C438" s="1">
        <v>82453.240000000005</v>
      </c>
      <c r="D438" s="20">
        <v>82492.5</v>
      </c>
      <c r="E438" s="20">
        <v>82299.100000000006</v>
      </c>
      <c r="F438" s="1">
        <v>82407.899999999994</v>
      </c>
      <c r="G438" s="18">
        <v>274</v>
      </c>
      <c r="I438" s="21">
        <v>46053.593055555553</v>
      </c>
      <c r="J438" s="26">
        <v>82492.5</v>
      </c>
      <c r="K438" s="26"/>
      <c r="L438" s="27">
        <v>82492.5</v>
      </c>
      <c r="M438" s="27">
        <v>82273.3</v>
      </c>
      <c r="N438" s="28" t="s">
        <v>6</v>
      </c>
      <c r="O438" s="28" t="s">
        <v>13</v>
      </c>
      <c r="P438"/>
    </row>
    <row r="439" spans="1:16" x14ac:dyDescent="0.35">
      <c r="A439" s="4">
        <v>436</v>
      </c>
      <c r="B439" s="17">
        <v>46053.59375</v>
      </c>
      <c r="C439" s="1">
        <v>82407.899999999994</v>
      </c>
      <c r="D439" s="20">
        <v>82457.710000000006</v>
      </c>
      <c r="E439" s="20">
        <v>82249.350000000006</v>
      </c>
      <c r="F439" s="1">
        <v>82347.89</v>
      </c>
      <c r="G439" s="18">
        <v>294</v>
      </c>
      <c r="I439" s="21">
        <v>46053.59375</v>
      </c>
      <c r="J439" s="26"/>
      <c r="K439" s="26">
        <v>82249.350000000006</v>
      </c>
      <c r="L439" s="27">
        <v>82467.534289999996</v>
      </c>
      <c r="M439" s="27">
        <v>82249.350000000006</v>
      </c>
      <c r="N439" s="28" t="s">
        <v>6</v>
      </c>
      <c r="O439" s="28" t="s">
        <v>13</v>
      </c>
      <c r="P439"/>
    </row>
    <row r="440" spans="1:16" x14ac:dyDescent="0.35">
      <c r="A440" s="4">
        <v>437</v>
      </c>
      <c r="B440" s="17">
        <v>46053.594444444447</v>
      </c>
      <c r="C440" s="1">
        <v>82352.3</v>
      </c>
      <c r="D440" s="20">
        <v>82476</v>
      </c>
      <c r="E440" s="20">
        <v>82339.94</v>
      </c>
      <c r="F440" s="1">
        <v>82476</v>
      </c>
      <c r="G440" s="18">
        <v>284</v>
      </c>
      <c r="I440" s="21">
        <v>46053.594444444447</v>
      </c>
      <c r="J440" s="26"/>
      <c r="K440" s="26"/>
      <c r="L440" s="27">
        <v>82442.568570000003</v>
      </c>
      <c r="M440" s="27">
        <v>82234.710000000006</v>
      </c>
      <c r="N440" s="28" t="s">
        <v>6</v>
      </c>
      <c r="O440" s="28" t="s">
        <v>13</v>
      </c>
      <c r="P440"/>
    </row>
    <row r="441" spans="1:16" x14ac:dyDescent="0.35">
      <c r="A441" s="4">
        <v>438</v>
      </c>
      <c r="B441" s="17">
        <v>46053.595138888886</v>
      </c>
      <c r="C441" s="1">
        <v>82470.850000000006</v>
      </c>
      <c r="D441" s="20">
        <v>82470.850000000006</v>
      </c>
      <c r="E441" s="20">
        <v>82328.81</v>
      </c>
      <c r="F441" s="1">
        <v>82358.2</v>
      </c>
      <c r="G441" s="18">
        <v>285</v>
      </c>
      <c r="I441" s="21">
        <v>46053.595138888886</v>
      </c>
      <c r="J441" s="26"/>
      <c r="K441" s="26"/>
      <c r="L441" s="27">
        <v>82417.602859999999</v>
      </c>
      <c r="M441" s="27">
        <v>82220.070000000007</v>
      </c>
      <c r="N441" s="28" t="s">
        <v>6</v>
      </c>
      <c r="O441" s="28" t="s">
        <v>13</v>
      </c>
      <c r="P441"/>
    </row>
    <row r="442" spans="1:16" x14ac:dyDescent="0.35">
      <c r="A442" s="4">
        <v>439</v>
      </c>
      <c r="B442" s="17">
        <v>46053.595833333333</v>
      </c>
      <c r="C442" s="1">
        <v>82361.5</v>
      </c>
      <c r="D442" s="20">
        <v>82379</v>
      </c>
      <c r="E442" s="20">
        <v>82229.73</v>
      </c>
      <c r="F442" s="1">
        <v>82238.990000000005</v>
      </c>
      <c r="G442" s="18">
        <v>285</v>
      </c>
      <c r="I442" s="21">
        <v>46053.595833333333</v>
      </c>
      <c r="J442" s="26"/>
      <c r="K442" s="26"/>
      <c r="L442" s="27">
        <v>82392.637140000006</v>
      </c>
      <c r="M442" s="27">
        <v>82205.429999999993</v>
      </c>
      <c r="N442" s="28" t="s">
        <v>6</v>
      </c>
      <c r="O442" s="28" t="s">
        <v>13</v>
      </c>
      <c r="P442"/>
    </row>
    <row r="443" spans="1:16" x14ac:dyDescent="0.35">
      <c r="A443" s="4">
        <v>440</v>
      </c>
      <c r="B443" s="17">
        <v>46053.59652777778</v>
      </c>
      <c r="C443" s="1">
        <v>82256.3</v>
      </c>
      <c r="D443" s="20">
        <v>82310.03</v>
      </c>
      <c r="E443" s="20">
        <v>82190.789999999994</v>
      </c>
      <c r="F443" s="1">
        <v>82230.710000000006</v>
      </c>
      <c r="G443" s="18">
        <v>287</v>
      </c>
      <c r="I443" s="21">
        <v>46053.59652777778</v>
      </c>
      <c r="J443" s="26"/>
      <c r="K443" s="26">
        <v>82190.789999999994</v>
      </c>
      <c r="L443" s="27">
        <v>82367.671430000002</v>
      </c>
      <c r="M443" s="27">
        <v>82190.789999999994</v>
      </c>
      <c r="N443" s="28" t="s">
        <v>6</v>
      </c>
      <c r="O443" s="28" t="s">
        <v>13</v>
      </c>
      <c r="P443"/>
    </row>
    <row r="444" spans="1:16" x14ac:dyDescent="0.35">
      <c r="A444" s="4">
        <v>441</v>
      </c>
      <c r="B444" s="17">
        <v>46053.597222222219</v>
      </c>
      <c r="C444" s="1">
        <v>82231.070000000007</v>
      </c>
      <c r="D444" s="20">
        <v>82289.95</v>
      </c>
      <c r="E444" s="20">
        <v>82204.09</v>
      </c>
      <c r="F444" s="1">
        <v>82222.929999999993</v>
      </c>
      <c r="G444" s="18">
        <v>277</v>
      </c>
      <c r="I444" s="21">
        <v>46053.597222222219</v>
      </c>
      <c r="J444" s="26"/>
      <c r="K444" s="26"/>
      <c r="L444" s="27">
        <v>82342.705709999995</v>
      </c>
      <c r="M444" s="27">
        <v>82054.89</v>
      </c>
      <c r="N444" s="28" t="s">
        <v>6</v>
      </c>
      <c r="O444" s="28" t="s">
        <v>13</v>
      </c>
      <c r="P444"/>
    </row>
    <row r="445" spans="1:16" x14ac:dyDescent="0.35">
      <c r="A445" s="4">
        <v>442</v>
      </c>
      <c r="B445" s="17">
        <v>46053.597916666666</v>
      </c>
      <c r="C445" s="1">
        <v>82223.460000000006</v>
      </c>
      <c r="D445" s="20">
        <v>82317.740000000005</v>
      </c>
      <c r="E445" s="20">
        <v>82210.37</v>
      </c>
      <c r="F445" s="1">
        <v>82245.59</v>
      </c>
      <c r="G445" s="18">
        <v>256</v>
      </c>
      <c r="I445" s="21">
        <v>46053.597916666666</v>
      </c>
      <c r="J445" s="26">
        <v>82317.740000000005</v>
      </c>
      <c r="K445" s="26"/>
      <c r="L445" s="27">
        <v>82317.740000000005</v>
      </c>
      <c r="M445" s="27">
        <v>81918.990000000005</v>
      </c>
      <c r="N445" s="28" t="s">
        <v>6</v>
      </c>
      <c r="O445" s="28" t="s">
        <v>13</v>
      </c>
      <c r="P445"/>
    </row>
    <row r="446" spans="1:16" x14ac:dyDescent="0.35">
      <c r="A446" s="4">
        <v>443</v>
      </c>
      <c r="B446" s="17">
        <v>46053.598611111112</v>
      </c>
      <c r="C446" s="1">
        <v>82254.61</v>
      </c>
      <c r="D446" s="20">
        <v>82282.36</v>
      </c>
      <c r="E446" s="20">
        <v>82121.61</v>
      </c>
      <c r="F446" s="1">
        <v>82121.61</v>
      </c>
      <c r="G446" s="18">
        <v>285</v>
      </c>
      <c r="I446" s="21">
        <v>46053.598611111112</v>
      </c>
      <c r="J446" s="26"/>
      <c r="K446" s="26"/>
      <c r="L446" s="27">
        <v>82265.250669999994</v>
      </c>
      <c r="M446" s="27">
        <v>81783.09</v>
      </c>
      <c r="N446" s="28" t="s">
        <v>6</v>
      </c>
      <c r="O446" s="28" t="s">
        <v>13</v>
      </c>
      <c r="P446"/>
    </row>
    <row r="447" spans="1:16" x14ac:dyDescent="0.35">
      <c r="A447" s="4">
        <v>444</v>
      </c>
      <c r="B447" s="17">
        <v>46053.599305555559</v>
      </c>
      <c r="C447" s="1">
        <v>82110.509999999995</v>
      </c>
      <c r="D447" s="20">
        <v>82178</v>
      </c>
      <c r="E447" s="20">
        <v>81961.960000000006</v>
      </c>
      <c r="F447" s="1">
        <v>82000.58</v>
      </c>
      <c r="G447" s="18">
        <v>306</v>
      </c>
      <c r="I447" s="21">
        <v>46053.599305555559</v>
      </c>
      <c r="J447" s="26"/>
      <c r="K447" s="26"/>
      <c r="L447" s="27">
        <v>82212.761329999994</v>
      </c>
      <c r="M447" s="27">
        <v>81647.19</v>
      </c>
      <c r="N447" s="28" t="s">
        <v>6</v>
      </c>
      <c r="O447" s="28" t="s">
        <v>13</v>
      </c>
      <c r="P447"/>
    </row>
    <row r="448" spans="1:16" x14ac:dyDescent="0.35">
      <c r="A448" s="4">
        <v>445</v>
      </c>
      <c r="B448" s="17">
        <v>46053.599999999999</v>
      </c>
      <c r="C448" s="1">
        <v>82001.350000000006</v>
      </c>
      <c r="D448" s="20">
        <v>82093.16</v>
      </c>
      <c r="E448" s="20">
        <v>81918.039999999994</v>
      </c>
      <c r="F448" s="1">
        <v>81927.3</v>
      </c>
      <c r="G448" s="18">
        <v>308</v>
      </c>
      <c r="I448" s="21">
        <v>46053.599999999999</v>
      </c>
      <c r="J448" s="26"/>
      <c r="K448" s="26"/>
      <c r="L448" s="27">
        <v>82160.271999999997</v>
      </c>
      <c r="M448" s="27">
        <v>81511.289999999994</v>
      </c>
      <c r="N448" s="28" t="s">
        <v>6</v>
      </c>
      <c r="O448" s="28" t="s">
        <v>13</v>
      </c>
      <c r="P448"/>
    </row>
    <row r="449" spans="1:16" x14ac:dyDescent="0.35">
      <c r="A449" s="4">
        <v>446</v>
      </c>
      <c r="B449" s="17">
        <v>46053.600694444445</v>
      </c>
      <c r="C449" s="1">
        <v>81926.58</v>
      </c>
      <c r="D449" s="20">
        <v>82057.320000000007</v>
      </c>
      <c r="E449" s="20">
        <v>81907.45</v>
      </c>
      <c r="F449" s="1">
        <v>81952.5</v>
      </c>
      <c r="G449" s="18">
        <v>297</v>
      </c>
      <c r="I449" s="21">
        <v>46053.600694444445</v>
      </c>
      <c r="J449" s="26"/>
      <c r="K449" s="26"/>
      <c r="L449" s="27">
        <v>82107.782670000001</v>
      </c>
      <c r="M449" s="27">
        <v>81375.39</v>
      </c>
      <c r="N449" s="28" t="s">
        <v>6</v>
      </c>
      <c r="O449" s="28" t="s">
        <v>13</v>
      </c>
      <c r="P449"/>
    </row>
    <row r="450" spans="1:16" x14ac:dyDescent="0.35">
      <c r="A450" s="4">
        <v>447</v>
      </c>
      <c r="B450" s="17">
        <v>46053.601388888892</v>
      </c>
      <c r="C450" s="1">
        <v>81941.55</v>
      </c>
      <c r="D450" s="20">
        <v>82004.009999999995</v>
      </c>
      <c r="E450" s="20">
        <v>81239.490000000005</v>
      </c>
      <c r="F450" s="1">
        <v>81532.800000000003</v>
      </c>
      <c r="G450" s="18">
        <v>295</v>
      </c>
      <c r="I450" s="21">
        <v>46053.601388888892</v>
      </c>
      <c r="J450" s="26"/>
      <c r="K450" s="26">
        <v>81239.490000000005</v>
      </c>
      <c r="L450" s="27">
        <v>82055.29333</v>
      </c>
      <c r="M450" s="27">
        <v>81239.490000000005</v>
      </c>
      <c r="N450" s="28" t="s">
        <v>6</v>
      </c>
      <c r="O450" s="28" t="s">
        <v>13</v>
      </c>
      <c r="P450"/>
    </row>
    <row r="451" spans="1:16" x14ac:dyDescent="0.35">
      <c r="A451" s="4">
        <v>448</v>
      </c>
      <c r="B451" s="17">
        <v>46053.602083333331</v>
      </c>
      <c r="C451" s="1">
        <v>81530.12</v>
      </c>
      <c r="D451" s="20">
        <v>81728.7</v>
      </c>
      <c r="E451" s="20">
        <v>81257.919999999998</v>
      </c>
      <c r="F451" s="1">
        <v>81488.66</v>
      </c>
      <c r="G451" s="18">
        <v>309</v>
      </c>
      <c r="I451" s="21">
        <v>46053.602083333331</v>
      </c>
      <c r="J451" s="26"/>
      <c r="K451" s="26"/>
      <c r="L451" s="27">
        <v>82002.804000000004</v>
      </c>
      <c r="M451" s="27">
        <v>81211.838000000003</v>
      </c>
      <c r="N451" s="28" t="s">
        <v>6</v>
      </c>
      <c r="O451" s="28" t="s">
        <v>13</v>
      </c>
      <c r="P451"/>
    </row>
    <row r="452" spans="1:16" x14ac:dyDescent="0.35">
      <c r="A452" s="4">
        <v>449</v>
      </c>
      <c r="B452" s="17">
        <v>46053.602777777778</v>
      </c>
      <c r="C452" s="1">
        <v>81503.94</v>
      </c>
      <c r="D452" s="20">
        <v>81674.600000000006</v>
      </c>
      <c r="E452" s="20">
        <v>81324.88</v>
      </c>
      <c r="F452" s="1">
        <v>81543.929999999993</v>
      </c>
      <c r="G452" s="18">
        <v>305</v>
      </c>
      <c r="I452" s="21">
        <v>46053.602777777778</v>
      </c>
      <c r="J452" s="26"/>
      <c r="K452" s="26"/>
      <c r="L452" s="27">
        <v>81950.314670000007</v>
      </c>
      <c r="M452" s="27">
        <v>81184.186000000002</v>
      </c>
      <c r="N452" s="28" t="s">
        <v>6</v>
      </c>
      <c r="O452" s="28" t="s">
        <v>13</v>
      </c>
      <c r="P452"/>
    </row>
    <row r="453" spans="1:16" x14ac:dyDescent="0.35">
      <c r="A453" s="4">
        <v>450</v>
      </c>
      <c r="B453" s="17">
        <v>46053.603472222225</v>
      </c>
      <c r="C453" s="1">
        <v>81543.87</v>
      </c>
      <c r="D453" s="20">
        <v>81612.039999999994</v>
      </c>
      <c r="E453" s="20">
        <v>81349.67</v>
      </c>
      <c r="F453" s="1">
        <v>81556.12</v>
      </c>
      <c r="G453" s="18">
        <v>306</v>
      </c>
      <c r="I453" s="21">
        <v>46053.603472222225</v>
      </c>
      <c r="J453" s="26"/>
      <c r="K453" s="26"/>
      <c r="L453" s="27">
        <v>81897.825330000007</v>
      </c>
      <c r="M453" s="27">
        <v>81156.534</v>
      </c>
      <c r="N453" s="28" t="s">
        <v>6</v>
      </c>
      <c r="O453" s="28" t="s">
        <v>13</v>
      </c>
      <c r="P453"/>
    </row>
    <row r="454" spans="1:16" x14ac:dyDescent="0.35">
      <c r="A454" s="4">
        <v>451</v>
      </c>
      <c r="B454" s="17">
        <v>46053.604166666664</v>
      </c>
      <c r="C454" s="1">
        <v>81549.2</v>
      </c>
      <c r="D454" s="20">
        <v>81590.240000000005</v>
      </c>
      <c r="E454" s="20">
        <v>81360.289999999994</v>
      </c>
      <c r="F454" s="1">
        <v>81402.13</v>
      </c>
      <c r="G454" s="18">
        <v>302</v>
      </c>
      <c r="I454" s="21">
        <v>46053.604166666664</v>
      </c>
      <c r="J454" s="26"/>
      <c r="K454" s="26"/>
      <c r="L454" s="27">
        <v>81845.335999999996</v>
      </c>
      <c r="M454" s="27">
        <v>81128.881999999998</v>
      </c>
      <c r="N454" s="28" t="s">
        <v>6</v>
      </c>
      <c r="O454" s="28" t="s">
        <v>13</v>
      </c>
      <c r="P454"/>
    </row>
    <row r="455" spans="1:16" x14ac:dyDescent="0.35">
      <c r="A455" s="4">
        <v>452</v>
      </c>
      <c r="B455" s="17">
        <v>46053.604861111111</v>
      </c>
      <c r="C455" s="1">
        <v>81396.75</v>
      </c>
      <c r="D455" s="20">
        <v>81442.8</v>
      </c>
      <c r="E455" s="20">
        <v>81101.23</v>
      </c>
      <c r="F455" s="1">
        <v>81101.23</v>
      </c>
      <c r="G455" s="18">
        <v>312</v>
      </c>
      <c r="I455" s="21">
        <v>46053.604861111111</v>
      </c>
      <c r="J455" s="26"/>
      <c r="K455" s="26">
        <v>81101.23</v>
      </c>
      <c r="L455" s="27">
        <v>81792.846669999999</v>
      </c>
      <c r="M455" s="27">
        <v>81101.23</v>
      </c>
      <c r="N455" s="28" t="s">
        <v>6</v>
      </c>
      <c r="O455" s="28" t="s">
        <v>13</v>
      </c>
      <c r="P455"/>
    </row>
    <row r="456" spans="1:16" x14ac:dyDescent="0.35">
      <c r="A456" s="4">
        <v>453</v>
      </c>
      <c r="B456" s="17">
        <v>46053.605555555558</v>
      </c>
      <c r="C456" s="1">
        <v>81108.97</v>
      </c>
      <c r="D456" s="20">
        <v>81372.210000000006</v>
      </c>
      <c r="E456" s="20">
        <v>81101.460000000006</v>
      </c>
      <c r="F456" s="1">
        <v>81368.52</v>
      </c>
      <c r="G456" s="18">
        <v>310</v>
      </c>
      <c r="I456" s="21">
        <v>46053.605555555558</v>
      </c>
      <c r="J456" s="26"/>
      <c r="K456" s="26"/>
      <c r="L456" s="27">
        <v>81740.357329999999</v>
      </c>
      <c r="M456" s="27">
        <v>81051.644289999997</v>
      </c>
      <c r="N456" s="28" t="s">
        <v>6</v>
      </c>
      <c r="O456" s="28" t="s">
        <v>13</v>
      </c>
      <c r="P456"/>
    </row>
    <row r="457" spans="1:16" x14ac:dyDescent="0.35">
      <c r="A457" s="4">
        <v>454</v>
      </c>
      <c r="B457" s="17">
        <v>46053.606249999997</v>
      </c>
      <c r="C457" s="1">
        <v>81368.600000000006</v>
      </c>
      <c r="D457" s="20">
        <v>81494.740000000005</v>
      </c>
      <c r="E457" s="20">
        <v>81297.64</v>
      </c>
      <c r="F457" s="1">
        <v>81323.789999999994</v>
      </c>
      <c r="G457" s="18">
        <v>315</v>
      </c>
      <c r="I457" s="21">
        <v>46053.606249999997</v>
      </c>
      <c r="J457" s="26"/>
      <c r="K457" s="26"/>
      <c r="L457" s="27">
        <v>81687.868000000002</v>
      </c>
      <c r="M457" s="27">
        <v>81002.058569999994</v>
      </c>
      <c r="N457" s="28" t="s">
        <v>6</v>
      </c>
      <c r="O457" s="28" t="s">
        <v>13</v>
      </c>
      <c r="P457"/>
    </row>
    <row r="458" spans="1:16" x14ac:dyDescent="0.35">
      <c r="A458" s="4">
        <v>455</v>
      </c>
      <c r="B458" s="17">
        <v>46053.606944444444</v>
      </c>
      <c r="C458" s="1">
        <v>81321.509999999995</v>
      </c>
      <c r="D458" s="20">
        <v>81420.509999999995</v>
      </c>
      <c r="E458" s="20">
        <v>81260.179999999993</v>
      </c>
      <c r="F458" s="1">
        <v>81413.87</v>
      </c>
      <c r="G458" s="18">
        <v>298</v>
      </c>
      <c r="I458" s="21">
        <v>46053.606944444444</v>
      </c>
      <c r="J458" s="26"/>
      <c r="K458" s="26"/>
      <c r="L458" s="27">
        <v>81635.378670000006</v>
      </c>
      <c r="M458" s="27">
        <v>80952.472859999994</v>
      </c>
      <c r="N458" s="28" t="s">
        <v>6</v>
      </c>
      <c r="O458" s="28" t="s">
        <v>13</v>
      </c>
      <c r="P458"/>
    </row>
    <row r="459" spans="1:16" x14ac:dyDescent="0.35">
      <c r="A459" s="4">
        <v>456</v>
      </c>
      <c r="B459" s="17">
        <v>46053.607638888891</v>
      </c>
      <c r="C459" s="1">
        <v>81416.740000000005</v>
      </c>
      <c r="D459" s="20">
        <v>81514.11</v>
      </c>
      <c r="E459" s="20">
        <v>81348.17</v>
      </c>
      <c r="F459" s="1">
        <v>81494.47</v>
      </c>
      <c r="G459" s="18">
        <v>303</v>
      </c>
      <c r="I459" s="21">
        <v>46053.607638888891</v>
      </c>
      <c r="J459" s="26"/>
      <c r="K459" s="26"/>
      <c r="L459" s="27">
        <v>81582.889330000005</v>
      </c>
      <c r="M459" s="27">
        <v>80902.887140000006</v>
      </c>
      <c r="N459" s="28" t="s">
        <v>6</v>
      </c>
      <c r="O459" s="28" t="s">
        <v>13</v>
      </c>
      <c r="P459"/>
    </row>
    <row r="460" spans="1:16" x14ac:dyDescent="0.35">
      <c r="A460" s="4">
        <v>457</v>
      </c>
      <c r="B460" s="17">
        <v>46053.60833333333</v>
      </c>
      <c r="C460" s="1">
        <v>81487.259999999995</v>
      </c>
      <c r="D460" s="20">
        <v>81530.399999999994</v>
      </c>
      <c r="E460" s="20">
        <v>81145.55</v>
      </c>
      <c r="F460" s="1">
        <v>81188.240000000005</v>
      </c>
      <c r="G460" s="18">
        <v>309</v>
      </c>
      <c r="I460" s="21">
        <v>46053.60833333333</v>
      </c>
      <c r="J460" s="26">
        <v>81530.399999999994</v>
      </c>
      <c r="K460" s="26"/>
      <c r="L460" s="27">
        <v>81530.399999999994</v>
      </c>
      <c r="M460" s="27">
        <v>80853.301430000007</v>
      </c>
      <c r="N460" s="28" t="s">
        <v>6</v>
      </c>
      <c r="O460" s="28" t="s">
        <v>13</v>
      </c>
      <c r="P460"/>
    </row>
    <row r="461" spans="1:16" x14ac:dyDescent="0.35">
      <c r="A461" s="4">
        <v>458</v>
      </c>
      <c r="B461" s="17">
        <v>46053.609027777777</v>
      </c>
      <c r="C461" s="1">
        <v>81180.740000000005</v>
      </c>
      <c r="D461" s="20">
        <v>81243.710000000006</v>
      </c>
      <c r="E461" s="20">
        <v>81080.06</v>
      </c>
      <c r="F461" s="1">
        <v>81145.81</v>
      </c>
      <c r="G461" s="18">
        <v>299</v>
      </c>
      <c r="I461" s="21">
        <v>46053.609027777777</v>
      </c>
      <c r="J461" s="26"/>
      <c r="K461" s="26"/>
      <c r="L461" s="27">
        <v>81501.899000000005</v>
      </c>
      <c r="M461" s="27">
        <v>80803.715710000004</v>
      </c>
      <c r="N461" s="28" t="s">
        <v>6</v>
      </c>
      <c r="O461" s="28" t="s">
        <v>13</v>
      </c>
      <c r="P461"/>
    </row>
    <row r="462" spans="1:16" x14ac:dyDescent="0.35">
      <c r="A462" s="4">
        <v>459</v>
      </c>
      <c r="B462" s="17">
        <v>46053.609722222223</v>
      </c>
      <c r="C462" s="1">
        <v>81130.84</v>
      </c>
      <c r="D462" s="20">
        <v>81196.38</v>
      </c>
      <c r="E462" s="20">
        <v>80754.13</v>
      </c>
      <c r="F462" s="1">
        <v>81136.91</v>
      </c>
      <c r="G462" s="18">
        <v>303</v>
      </c>
      <c r="I462" s="21">
        <v>46053.609722222223</v>
      </c>
      <c r="J462" s="26"/>
      <c r="K462" s="26">
        <v>80754.13</v>
      </c>
      <c r="L462" s="27">
        <v>81473.398000000001</v>
      </c>
      <c r="M462" s="27">
        <v>80754.13</v>
      </c>
      <c r="N462" s="28" t="s">
        <v>6</v>
      </c>
      <c r="O462" s="28" t="s">
        <v>13</v>
      </c>
      <c r="P462"/>
    </row>
    <row r="463" spans="1:16" x14ac:dyDescent="0.35">
      <c r="A463" s="4">
        <v>460</v>
      </c>
      <c r="B463" s="17">
        <v>46053.61041666667</v>
      </c>
      <c r="C463" s="1">
        <v>81136.960000000006</v>
      </c>
      <c r="D463" s="20">
        <v>81136.960000000006</v>
      </c>
      <c r="E463" s="20">
        <v>80895.72</v>
      </c>
      <c r="F463" s="1">
        <v>81017.440000000002</v>
      </c>
      <c r="G463" s="18">
        <v>311</v>
      </c>
      <c r="I463" s="21">
        <v>46053.61041666667</v>
      </c>
      <c r="J463" s="26"/>
      <c r="K463" s="26"/>
      <c r="L463" s="27">
        <v>81444.896999999997</v>
      </c>
      <c r="M463" s="27">
        <v>80777.837499999994</v>
      </c>
      <c r="N463" s="28" t="s">
        <v>6</v>
      </c>
      <c r="O463" s="28" t="s">
        <v>8</v>
      </c>
      <c r="P463"/>
    </row>
    <row r="464" spans="1:16" x14ac:dyDescent="0.35">
      <c r="A464" s="4">
        <v>461</v>
      </c>
      <c r="B464" s="17">
        <v>46053.611111111109</v>
      </c>
      <c r="C464" s="1">
        <v>81001.3</v>
      </c>
      <c r="D464" s="20">
        <v>81062.31</v>
      </c>
      <c r="E464" s="20">
        <v>80959.75</v>
      </c>
      <c r="F464" s="1">
        <v>80970.009999999995</v>
      </c>
      <c r="G464" s="18">
        <v>305</v>
      </c>
      <c r="I464" s="21">
        <v>46053.611111111109</v>
      </c>
      <c r="J464" s="26"/>
      <c r="K464" s="26"/>
      <c r="L464" s="27">
        <v>81416.395999999993</v>
      </c>
      <c r="M464" s="27">
        <v>80801.544999999998</v>
      </c>
      <c r="N464" s="28" t="s">
        <v>6</v>
      </c>
      <c r="O464" s="28" t="s">
        <v>8</v>
      </c>
      <c r="P464"/>
    </row>
    <row r="465" spans="1:16" x14ac:dyDescent="0.35">
      <c r="A465" s="4">
        <v>462</v>
      </c>
      <c r="B465" s="17">
        <v>46053.611805555556</v>
      </c>
      <c r="C465" s="1">
        <v>80957.2</v>
      </c>
      <c r="D465" s="20">
        <v>81067.61</v>
      </c>
      <c r="E465" s="20">
        <v>80927.31</v>
      </c>
      <c r="F465" s="1">
        <v>80959.56</v>
      </c>
      <c r="G465" s="18">
        <v>303</v>
      </c>
      <c r="I465" s="21">
        <v>46053.611805555556</v>
      </c>
      <c r="J465" s="26"/>
      <c r="K465" s="26"/>
      <c r="L465" s="27">
        <v>81387.895000000004</v>
      </c>
      <c r="M465" s="27">
        <v>80825.252500000002</v>
      </c>
      <c r="N465" s="28" t="s">
        <v>6</v>
      </c>
      <c r="O465" s="28" t="s">
        <v>8</v>
      </c>
      <c r="P465"/>
    </row>
    <row r="466" spans="1:16" x14ac:dyDescent="0.35">
      <c r="A466" s="4">
        <v>463</v>
      </c>
      <c r="B466" s="17">
        <v>46053.612500000003</v>
      </c>
      <c r="C466" s="1">
        <v>80959.520000000004</v>
      </c>
      <c r="D466" s="20">
        <v>81008.14</v>
      </c>
      <c r="E466" s="20">
        <v>80848.960000000006</v>
      </c>
      <c r="F466" s="1">
        <v>80947.520000000004</v>
      </c>
      <c r="G466" s="18">
        <v>305</v>
      </c>
      <c r="I466" s="21">
        <v>46053.612500000003</v>
      </c>
      <c r="J466" s="26"/>
      <c r="K466" s="26">
        <v>80848.960000000006</v>
      </c>
      <c r="L466" s="27">
        <v>81359.394</v>
      </c>
      <c r="M466" s="27">
        <v>80848.960000000006</v>
      </c>
      <c r="N466" s="28" t="s">
        <v>6</v>
      </c>
      <c r="O466" s="28" t="s">
        <v>8</v>
      </c>
      <c r="P466"/>
    </row>
    <row r="467" spans="1:16" x14ac:dyDescent="0.35">
      <c r="A467" s="4">
        <v>464</v>
      </c>
      <c r="B467" s="17">
        <v>46053.613194444442</v>
      </c>
      <c r="C467" s="1">
        <v>80949.350000000006</v>
      </c>
      <c r="D467" s="20">
        <v>81008.2</v>
      </c>
      <c r="E467" s="20">
        <v>80919.710000000006</v>
      </c>
      <c r="F467" s="1">
        <v>80974.399999999994</v>
      </c>
      <c r="G467" s="18">
        <v>296</v>
      </c>
      <c r="I467" s="21">
        <v>46053.613194444442</v>
      </c>
      <c r="J467" s="26"/>
      <c r="K467" s="26"/>
      <c r="L467" s="27">
        <v>81330.892999999996</v>
      </c>
      <c r="M467" s="27">
        <v>80846.146670000002</v>
      </c>
      <c r="N467" s="28" t="s">
        <v>6</v>
      </c>
      <c r="O467" s="28" t="s">
        <v>13</v>
      </c>
      <c r="P467"/>
    </row>
    <row r="468" spans="1:16" x14ac:dyDescent="0.35">
      <c r="A468" s="4">
        <v>465</v>
      </c>
      <c r="B468" s="17">
        <v>46053.613888888889</v>
      </c>
      <c r="C468" s="1">
        <v>80971.03</v>
      </c>
      <c r="D468" s="20">
        <v>81013.73</v>
      </c>
      <c r="E468" s="20">
        <v>80891.92</v>
      </c>
      <c r="F468" s="1">
        <v>80953.5</v>
      </c>
      <c r="G468" s="18">
        <v>289</v>
      </c>
      <c r="I468" s="21">
        <v>46053.613888888889</v>
      </c>
      <c r="J468" s="26"/>
      <c r="K468" s="26"/>
      <c r="L468" s="27">
        <v>81302.392000000007</v>
      </c>
      <c r="M468" s="27">
        <v>80843.333329999994</v>
      </c>
      <c r="N468" s="28" t="s">
        <v>6</v>
      </c>
      <c r="O468" s="28" t="s">
        <v>13</v>
      </c>
      <c r="P468"/>
    </row>
    <row r="469" spans="1:16" x14ac:dyDescent="0.35">
      <c r="A469" s="4">
        <v>466</v>
      </c>
      <c r="B469" s="17">
        <v>46053.614583333336</v>
      </c>
      <c r="C469" s="1">
        <v>80954.34</v>
      </c>
      <c r="D469" s="20">
        <v>81034.83</v>
      </c>
      <c r="E469" s="20">
        <v>80840.52</v>
      </c>
      <c r="F469" s="1">
        <v>80995.06</v>
      </c>
      <c r="G469" s="18">
        <v>299</v>
      </c>
      <c r="I469" s="21">
        <v>46053.614583333336</v>
      </c>
      <c r="J469" s="26"/>
      <c r="K469" s="26">
        <v>80840.52</v>
      </c>
      <c r="L469" s="27">
        <v>81273.891000000003</v>
      </c>
      <c r="M469" s="27">
        <v>80840.52</v>
      </c>
      <c r="N469" s="28" t="s">
        <v>6</v>
      </c>
      <c r="O469" s="28" t="s">
        <v>13</v>
      </c>
      <c r="P469"/>
    </row>
    <row r="470" spans="1:16" x14ac:dyDescent="0.35">
      <c r="A470" s="4">
        <v>467</v>
      </c>
      <c r="B470" s="17">
        <v>46053.615277777775</v>
      </c>
      <c r="C470" s="1">
        <v>80992.61</v>
      </c>
      <c r="D470" s="20">
        <v>81245.39</v>
      </c>
      <c r="E470" s="20">
        <v>80955.98</v>
      </c>
      <c r="F470" s="1">
        <v>81154.259999999995</v>
      </c>
      <c r="G470" s="18">
        <v>304</v>
      </c>
      <c r="I470" s="21">
        <v>46053.615277777775</v>
      </c>
      <c r="J470" s="26">
        <v>81245.39</v>
      </c>
      <c r="K470" s="26"/>
      <c r="L470" s="27">
        <v>81245.39</v>
      </c>
      <c r="M470" s="27">
        <v>80858.714120000004</v>
      </c>
      <c r="N470" s="28" t="s">
        <v>6</v>
      </c>
      <c r="O470" s="28" t="s">
        <v>8</v>
      </c>
      <c r="P470"/>
    </row>
    <row r="471" spans="1:16" x14ac:dyDescent="0.35">
      <c r="A471" s="4">
        <v>468</v>
      </c>
      <c r="B471" s="17">
        <v>46053.615972222222</v>
      </c>
      <c r="C471" s="1">
        <v>81154.460000000006</v>
      </c>
      <c r="D471" s="20">
        <v>81174.509999999995</v>
      </c>
      <c r="E471" s="20">
        <v>81026.53</v>
      </c>
      <c r="F471" s="1">
        <v>81045.899999999994</v>
      </c>
      <c r="G471" s="18">
        <v>277</v>
      </c>
      <c r="I471" s="21">
        <v>46053.615972222222</v>
      </c>
      <c r="J471" s="26"/>
      <c r="K471" s="26"/>
      <c r="L471" s="27">
        <v>81276.638890000002</v>
      </c>
      <c r="M471" s="27">
        <v>80876.908240000004</v>
      </c>
      <c r="N471" s="28" t="s">
        <v>7</v>
      </c>
      <c r="O471" s="28" t="s">
        <v>8</v>
      </c>
      <c r="P471"/>
    </row>
    <row r="472" spans="1:16" x14ac:dyDescent="0.35">
      <c r="A472" s="4">
        <v>469</v>
      </c>
      <c r="B472" s="17">
        <v>46053.616666666669</v>
      </c>
      <c r="C472" s="1">
        <v>81045.95</v>
      </c>
      <c r="D472" s="20">
        <v>81193.03</v>
      </c>
      <c r="E472" s="20">
        <v>81028.3</v>
      </c>
      <c r="F472" s="1">
        <v>81192.09</v>
      </c>
      <c r="G472" s="18">
        <v>274</v>
      </c>
      <c r="I472" s="21">
        <v>46053.616666666669</v>
      </c>
      <c r="J472" s="26"/>
      <c r="K472" s="26"/>
      <c r="L472" s="27">
        <v>81307.887780000005</v>
      </c>
      <c r="M472" s="27">
        <v>80895.102350000001</v>
      </c>
      <c r="N472" s="28" t="s">
        <v>7</v>
      </c>
      <c r="O472" s="28" t="s">
        <v>8</v>
      </c>
      <c r="P472"/>
    </row>
    <row r="473" spans="1:16" x14ac:dyDescent="0.35">
      <c r="A473" s="4">
        <v>470</v>
      </c>
      <c r="B473" s="17">
        <v>46053.617361111108</v>
      </c>
      <c r="C473" s="1">
        <v>81192.06</v>
      </c>
      <c r="D473" s="20">
        <v>81205.7</v>
      </c>
      <c r="E473" s="20">
        <v>81054.61</v>
      </c>
      <c r="F473" s="1">
        <v>81060.08</v>
      </c>
      <c r="G473" s="18">
        <v>270</v>
      </c>
      <c r="I473" s="21">
        <v>46053.617361111108</v>
      </c>
      <c r="J473" s="26"/>
      <c r="K473" s="26"/>
      <c r="L473" s="27">
        <v>81339.136670000007</v>
      </c>
      <c r="M473" s="27">
        <v>80913.296470000001</v>
      </c>
      <c r="N473" s="28" t="s">
        <v>7</v>
      </c>
      <c r="O473" s="28" t="s">
        <v>8</v>
      </c>
      <c r="P473"/>
    </row>
    <row r="474" spans="1:16" x14ac:dyDescent="0.35">
      <c r="A474" s="4">
        <v>471</v>
      </c>
      <c r="B474" s="17">
        <v>46053.618055555555</v>
      </c>
      <c r="C474" s="1">
        <v>81072.100000000006</v>
      </c>
      <c r="D474" s="20">
        <v>81127.83</v>
      </c>
      <c r="E474" s="20">
        <v>81040.52</v>
      </c>
      <c r="F474" s="1">
        <v>81074.75</v>
      </c>
      <c r="G474" s="18">
        <v>282</v>
      </c>
      <c r="I474" s="21">
        <v>46053.618055555555</v>
      </c>
      <c r="J474" s="26"/>
      <c r="K474" s="26"/>
      <c r="L474" s="27">
        <v>81370.385559999995</v>
      </c>
      <c r="M474" s="27">
        <v>80931.490590000001</v>
      </c>
      <c r="N474" s="28" t="s">
        <v>7</v>
      </c>
      <c r="O474" s="28" t="s">
        <v>8</v>
      </c>
      <c r="P474"/>
    </row>
    <row r="475" spans="1:16" x14ac:dyDescent="0.35">
      <c r="A475" s="4">
        <v>472</v>
      </c>
      <c r="B475" s="17">
        <v>46053.618750000001</v>
      </c>
      <c r="C475" s="1">
        <v>81061.210000000006</v>
      </c>
      <c r="D475" s="20">
        <v>81210.5</v>
      </c>
      <c r="E475" s="20">
        <v>81060.84</v>
      </c>
      <c r="F475" s="1">
        <v>81198.3</v>
      </c>
      <c r="G475" s="18">
        <v>280</v>
      </c>
      <c r="I475" s="21">
        <v>46053.618750000001</v>
      </c>
      <c r="J475" s="26"/>
      <c r="K475" s="26"/>
      <c r="L475" s="27">
        <v>81401.634439999994</v>
      </c>
      <c r="M475" s="27">
        <v>80949.684710000001</v>
      </c>
      <c r="N475" s="28" t="s">
        <v>7</v>
      </c>
      <c r="O475" s="28" t="s">
        <v>8</v>
      </c>
      <c r="P475"/>
    </row>
    <row r="476" spans="1:16" x14ac:dyDescent="0.35">
      <c r="A476" s="4">
        <v>473</v>
      </c>
      <c r="B476" s="17">
        <v>46053.619444444441</v>
      </c>
      <c r="C476" s="1">
        <v>81198.63</v>
      </c>
      <c r="D476" s="20">
        <v>81210.649999999994</v>
      </c>
      <c r="E476" s="20">
        <v>81172.86</v>
      </c>
      <c r="F476" s="1">
        <v>81200.570000000007</v>
      </c>
      <c r="G476" s="18">
        <v>249</v>
      </c>
      <c r="I476" s="21">
        <v>46053.619444444441</v>
      </c>
      <c r="J476" s="26"/>
      <c r="K476" s="26"/>
      <c r="L476" s="27">
        <v>81432.883329999997</v>
      </c>
      <c r="M476" s="27">
        <v>80967.878819999998</v>
      </c>
      <c r="N476" s="28" t="s">
        <v>7</v>
      </c>
      <c r="O476" s="28" t="s">
        <v>8</v>
      </c>
      <c r="P476"/>
    </row>
    <row r="477" spans="1:16" x14ac:dyDescent="0.35">
      <c r="A477" s="4">
        <v>474</v>
      </c>
      <c r="B477" s="17">
        <v>46053.620138888888</v>
      </c>
      <c r="C477" s="1">
        <v>81200.92</v>
      </c>
      <c r="D477" s="20">
        <v>81215.070000000007</v>
      </c>
      <c r="E477" s="20">
        <v>81168.67</v>
      </c>
      <c r="F477" s="1">
        <v>81215.070000000007</v>
      </c>
      <c r="G477" s="18">
        <v>224</v>
      </c>
      <c r="I477" s="21">
        <v>46053.620138888888</v>
      </c>
      <c r="J477" s="26"/>
      <c r="K477" s="26"/>
      <c r="L477" s="27">
        <v>81464.13222</v>
      </c>
      <c r="M477" s="27">
        <v>80986.072939999998</v>
      </c>
      <c r="N477" s="28" t="s">
        <v>7</v>
      </c>
      <c r="O477" s="28" t="s">
        <v>8</v>
      </c>
      <c r="P477"/>
    </row>
    <row r="478" spans="1:16" x14ac:dyDescent="0.35">
      <c r="A478" s="4">
        <v>475</v>
      </c>
      <c r="B478" s="17">
        <v>46053.620833333334</v>
      </c>
      <c r="C478" s="1">
        <v>81215.11</v>
      </c>
      <c r="D478" s="20">
        <v>81421.02</v>
      </c>
      <c r="E478" s="20">
        <v>81207</v>
      </c>
      <c r="F478" s="1">
        <v>81388.320000000007</v>
      </c>
      <c r="G478" s="18">
        <v>270</v>
      </c>
      <c r="I478" s="21">
        <v>46053.620833333334</v>
      </c>
      <c r="J478" s="26"/>
      <c r="K478" s="26"/>
      <c r="L478" s="27">
        <v>81495.381110000002</v>
      </c>
      <c r="M478" s="27">
        <v>81004.267059999998</v>
      </c>
      <c r="N478" s="28" t="s">
        <v>7</v>
      </c>
      <c r="O478" s="28" t="s">
        <v>8</v>
      </c>
      <c r="P478"/>
    </row>
    <row r="479" spans="1:16" x14ac:dyDescent="0.35">
      <c r="A479" s="4">
        <v>476</v>
      </c>
      <c r="B479" s="17">
        <v>46053.621527777781</v>
      </c>
      <c r="C479" s="1">
        <v>81388.12</v>
      </c>
      <c r="D479" s="20">
        <v>81526.63</v>
      </c>
      <c r="E479" s="20">
        <v>81365.27</v>
      </c>
      <c r="F479" s="1">
        <v>81502.039999999994</v>
      </c>
      <c r="G479" s="18">
        <v>285</v>
      </c>
      <c r="I479" s="21">
        <v>46053.621527777781</v>
      </c>
      <c r="J479" s="26">
        <v>81526.63</v>
      </c>
      <c r="K479" s="26"/>
      <c r="L479" s="27">
        <v>81526.63</v>
      </c>
      <c r="M479" s="27">
        <v>81022.461179999998</v>
      </c>
      <c r="N479" s="28" t="s">
        <v>7</v>
      </c>
      <c r="O479" s="28" t="s">
        <v>8</v>
      </c>
      <c r="P479"/>
    </row>
    <row r="480" spans="1:16" x14ac:dyDescent="0.35">
      <c r="A480" s="4">
        <v>477</v>
      </c>
      <c r="B480" s="17">
        <v>46053.62222222222</v>
      </c>
      <c r="C480" s="1">
        <v>81494.149999999994</v>
      </c>
      <c r="D480" s="20">
        <v>81494.149999999994</v>
      </c>
      <c r="E480" s="20">
        <v>81373.05</v>
      </c>
      <c r="F480" s="1">
        <v>81401.350000000006</v>
      </c>
      <c r="G480" s="18">
        <v>268</v>
      </c>
      <c r="I480" s="21">
        <v>46053.62222222222</v>
      </c>
      <c r="J480" s="26"/>
      <c r="K480" s="26"/>
      <c r="L480" s="27">
        <v>81520.096669999999</v>
      </c>
      <c r="M480" s="27">
        <v>81040.655289999995</v>
      </c>
      <c r="N480" s="28" t="s">
        <v>6</v>
      </c>
      <c r="O480" s="28" t="s">
        <v>8</v>
      </c>
      <c r="P480"/>
    </row>
    <row r="481" spans="1:16" x14ac:dyDescent="0.35">
      <c r="A481" s="4">
        <v>478</v>
      </c>
      <c r="B481" s="17">
        <v>46053.622916666667</v>
      </c>
      <c r="C481" s="1">
        <v>81400.94</v>
      </c>
      <c r="D481" s="20">
        <v>81499.39</v>
      </c>
      <c r="E481" s="20">
        <v>81400.94</v>
      </c>
      <c r="F481" s="1">
        <v>81488.47</v>
      </c>
      <c r="G481" s="18">
        <v>275</v>
      </c>
      <c r="I481" s="21">
        <v>46053.622916666667</v>
      </c>
      <c r="J481" s="26"/>
      <c r="K481" s="26"/>
      <c r="L481" s="27">
        <v>81513.563330000004</v>
      </c>
      <c r="M481" s="27">
        <v>81058.849409999995</v>
      </c>
      <c r="N481" s="28" t="s">
        <v>6</v>
      </c>
      <c r="O481" s="28" t="s">
        <v>8</v>
      </c>
      <c r="P481"/>
    </row>
    <row r="482" spans="1:16" x14ac:dyDescent="0.35">
      <c r="A482" s="4">
        <v>479</v>
      </c>
      <c r="B482" s="17">
        <v>46053.623611111114</v>
      </c>
      <c r="C482" s="1">
        <v>81488.37</v>
      </c>
      <c r="D482" s="20">
        <v>81507.03</v>
      </c>
      <c r="E482" s="20">
        <v>81424.800000000003</v>
      </c>
      <c r="F482" s="1">
        <v>81427.509999999995</v>
      </c>
      <c r="G482" s="18">
        <v>252</v>
      </c>
      <c r="I482" s="21">
        <v>46053.623611111114</v>
      </c>
      <c r="J482" s="26">
        <v>81507.03</v>
      </c>
      <c r="K482" s="26"/>
      <c r="L482" s="27">
        <v>81507.03</v>
      </c>
      <c r="M482" s="27">
        <v>81077.043529999995</v>
      </c>
      <c r="N482" s="28" t="s">
        <v>6</v>
      </c>
      <c r="O482" s="28" t="s">
        <v>8</v>
      </c>
      <c r="P482"/>
    </row>
    <row r="483" spans="1:16" x14ac:dyDescent="0.35">
      <c r="A483" s="4">
        <v>480</v>
      </c>
      <c r="B483" s="17">
        <v>46053.624305555553</v>
      </c>
      <c r="C483" s="1">
        <v>81426.720000000001</v>
      </c>
      <c r="D483" s="20">
        <v>81486.429999999993</v>
      </c>
      <c r="E483" s="20">
        <v>81426.66</v>
      </c>
      <c r="F483" s="1">
        <v>81442.37</v>
      </c>
      <c r="G483" s="18">
        <v>225</v>
      </c>
      <c r="I483" s="21">
        <v>46053.624305555553</v>
      </c>
      <c r="J483" s="26"/>
      <c r="K483" s="26"/>
      <c r="L483" s="27">
        <v>81535.876250000001</v>
      </c>
      <c r="M483" s="27">
        <v>81095.237649999995</v>
      </c>
      <c r="N483" s="28" t="s">
        <v>7</v>
      </c>
      <c r="O483" s="28" t="s">
        <v>8</v>
      </c>
      <c r="P483"/>
    </row>
    <row r="484" spans="1:16" x14ac:dyDescent="0.35">
      <c r="A484" s="4">
        <v>481</v>
      </c>
      <c r="B484" s="17">
        <v>46053.625</v>
      </c>
      <c r="C484" s="1">
        <v>81440.899999999994</v>
      </c>
      <c r="D484" s="20">
        <v>81502.399999999994</v>
      </c>
      <c r="E484" s="20">
        <v>81367.89</v>
      </c>
      <c r="F484" s="1">
        <v>81372.83</v>
      </c>
      <c r="G484" s="18">
        <v>272</v>
      </c>
      <c r="I484" s="21">
        <v>46053.625</v>
      </c>
      <c r="J484" s="26"/>
      <c r="K484" s="26"/>
      <c r="L484" s="27">
        <v>81564.722500000003</v>
      </c>
      <c r="M484" s="27">
        <v>81113.431760000007</v>
      </c>
      <c r="N484" s="28" t="s">
        <v>7</v>
      </c>
      <c r="O484" s="28" t="s">
        <v>8</v>
      </c>
      <c r="P484"/>
    </row>
    <row r="485" spans="1:16" x14ac:dyDescent="0.35">
      <c r="A485" s="4">
        <v>482</v>
      </c>
      <c r="B485" s="17">
        <v>46053.625694444447</v>
      </c>
      <c r="C485" s="1">
        <v>81369.850000000006</v>
      </c>
      <c r="D485" s="20">
        <v>81377.55</v>
      </c>
      <c r="E485" s="20">
        <v>81190.25</v>
      </c>
      <c r="F485" s="1">
        <v>81238.41</v>
      </c>
      <c r="G485" s="18">
        <v>272</v>
      </c>
      <c r="I485" s="21">
        <v>46053.625694444447</v>
      </c>
      <c r="J485" s="26"/>
      <c r="K485" s="26"/>
      <c r="L485" s="27">
        <v>81593.568750000006</v>
      </c>
      <c r="M485" s="27">
        <v>81131.625880000007</v>
      </c>
      <c r="N485" s="28" t="s">
        <v>7</v>
      </c>
      <c r="O485" s="28" t="s">
        <v>8</v>
      </c>
      <c r="P485"/>
    </row>
    <row r="486" spans="1:16" x14ac:dyDescent="0.35">
      <c r="A486" s="4">
        <v>483</v>
      </c>
      <c r="B486" s="17">
        <v>46053.626388888886</v>
      </c>
      <c r="C486" s="1">
        <v>81238.45</v>
      </c>
      <c r="D486" s="20">
        <v>81251.509999999995</v>
      </c>
      <c r="E486" s="20">
        <v>81149.820000000007</v>
      </c>
      <c r="F486" s="1">
        <v>81241.289999999994</v>
      </c>
      <c r="G486" s="18">
        <v>246</v>
      </c>
      <c r="I486" s="21">
        <v>46053.626388888886</v>
      </c>
      <c r="J486" s="26"/>
      <c r="K486" s="26">
        <v>81149.820000000007</v>
      </c>
      <c r="L486" s="27">
        <v>81622.414999999994</v>
      </c>
      <c r="M486" s="27">
        <v>81149.820000000007</v>
      </c>
      <c r="N486" s="28" t="s">
        <v>7</v>
      </c>
      <c r="O486" s="28" t="s">
        <v>8</v>
      </c>
      <c r="P486"/>
    </row>
    <row r="487" spans="1:16" x14ac:dyDescent="0.35">
      <c r="A487" s="4">
        <v>484</v>
      </c>
      <c r="B487" s="17">
        <v>46053.627083333333</v>
      </c>
      <c r="C487" s="1">
        <v>81236.78</v>
      </c>
      <c r="D487" s="20">
        <v>81273.899999999994</v>
      </c>
      <c r="E487" s="20">
        <v>81192.539999999994</v>
      </c>
      <c r="F487" s="1">
        <v>81213.56</v>
      </c>
      <c r="G487" s="18">
        <v>256</v>
      </c>
      <c r="I487" s="21">
        <v>46053.627083333333</v>
      </c>
      <c r="J487" s="26"/>
      <c r="K487" s="26"/>
      <c r="L487" s="27">
        <v>81651.261249999996</v>
      </c>
      <c r="M487" s="27">
        <v>81142.32071</v>
      </c>
      <c r="N487" s="28" t="s">
        <v>7</v>
      </c>
      <c r="O487" s="28" t="s">
        <v>13</v>
      </c>
      <c r="P487"/>
    </row>
    <row r="488" spans="1:16" x14ac:dyDescent="0.35">
      <c r="A488" s="4">
        <v>485</v>
      </c>
      <c r="B488" s="17">
        <v>46053.62777777778</v>
      </c>
      <c r="C488" s="1">
        <v>81219.210000000006</v>
      </c>
      <c r="D488" s="20">
        <v>81304.039999999994</v>
      </c>
      <c r="E488" s="20">
        <v>81193.990000000005</v>
      </c>
      <c r="F488" s="1">
        <v>81266.320000000007</v>
      </c>
      <c r="G488" s="18">
        <v>266</v>
      </c>
      <c r="I488" s="21">
        <v>46053.62777777778</v>
      </c>
      <c r="J488" s="26"/>
      <c r="K488" s="26"/>
      <c r="L488" s="27">
        <v>81680.107499999998</v>
      </c>
      <c r="M488" s="27">
        <v>81134.821429999996</v>
      </c>
      <c r="N488" s="28" t="s">
        <v>7</v>
      </c>
      <c r="O488" s="28" t="s">
        <v>13</v>
      </c>
      <c r="P488"/>
    </row>
    <row r="489" spans="1:16" x14ac:dyDescent="0.35">
      <c r="A489" s="4">
        <v>486</v>
      </c>
      <c r="B489" s="17">
        <v>46053.628472222219</v>
      </c>
      <c r="C489" s="1">
        <v>81269.2</v>
      </c>
      <c r="D489" s="20">
        <v>81668.509999999995</v>
      </c>
      <c r="E489" s="20">
        <v>81269.2</v>
      </c>
      <c r="F489" s="1">
        <v>81646.81</v>
      </c>
      <c r="G489" s="18">
        <v>297</v>
      </c>
      <c r="I489" s="21">
        <v>46053.628472222219</v>
      </c>
      <c r="J489" s="26"/>
      <c r="K489" s="26"/>
      <c r="L489" s="27">
        <v>81708.953750000001</v>
      </c>
      <c r="M489" s="27">
        <v>81127.322140000004</v>
      </c>
      <c r="N489" s="28" t="s">
        <v>7</v>
      </c>
      <c r="O489" s="28" t="s">
        <v>13</v>
      </c>
      <c r="P489"/>
    </row>
    <row r="490" spans="1:16" x14ac:dyDescent="0.35">
      <c r="A490" s="4">
        <v>487</v>
      </c>
      <c r="B490" s="17">
        <v>46053.629166666666</v>
      </c>
      <c r="C490" s="1">
        <v>81628.7</v>
      </c>
      <c r="D490" s="20">
        <v>81737.8</v>
      </c>
      <c r="E490" s="20">
        <v>81590.59</v>
      </c>
      <c r="F490" s="1">
        <v>81601.14</v>
      </c>
      <c r="G490" s="18">
        <v>293</v>
      </c>
      <c r="I490" s="21">
        <v>46053.629166666666</v>
      </c>
      <c r="J490" s="26">
        <v>81737.8</v>
      </c>
      <c r="K490" s="26"/>
      <c r="L490" s="27">
        <v>81737.8</v>
      </c>
      <c r="M490" s="27">
        <v>81119.82286</v>
      </c>
      <c r="N490" s="28" t="s">
        <v>7</v>
      </c>
      <c r="O490" s="28" t="s">
        <v>13</v>
      </c>
      <c r="P490"/>
    </row>
    <row r="491" spans="1:16" x14ac:dyDescent="0.35">
      <c r="A491" s="4">
        <v>488</v>
      </c>
      <c r="B491" s="17">
        <v>46053.629861111112</v>
      </c>
      <c r="C491" s="1">
        <v>81601.14</v>
      </c>
      <c r="D491" s="20">
        <v>81617.75</v>
      </c>
      <c r="E491" s="20">
        <v>81520.08</v>
      </c>
      <c r="F491" s="1">
        <v>81541.98</v>
      </c>
      <c r="G491" s="18">
        <v>261</v>
      </c>
      <c r="I491" s="21">
        <v>46053.629861111112</v>
      </c>
      <c r="J491" s="26"/>
      <c r="K491" s="26"/>
      <c r="L491" s="27">
        <v>81694.390830000004</v>
      </c>
      <c r="M491" s="27">
        <v>81112.323569999993</v>
      </c>
      <c r="N491" s="28" t="s">
        <v>6</v>
      </c>
      <c r="O491" s="28" t="s">
        <v>13</v>
      </c>
      <c r="P491"/>
    </row>
    <row r="492" spans="1:16" x14ac:dyDescent="0.35">
      <c r="A492" s="4">
        <v>489</v>
      </c>
      <c r="B492" s="17">
        <v>46053.630555555559</v>
      </c>
      <c r="C492" s="1">
        <v>81554.850000000006</v>
      </c>
      <c r="D492" s="20">
        <v>81564.14</v>
      </c>
      <c r="E492" s="20">
        <v>81397.509999999995</v>
      </c>
      <c r="F492" s="1">
        <v>81428.929999999993</v>
      </c>
      <c r="G492" s="18">
        <v>282</v>
      </c>
      <c r="I492" s="21">
        <v>46053.630555555559</v>
      </c>
      <c r="J492" s="26"/>
      <c r="K492" s="26"/>
      <c r="L492" s="27">
        <v>81650.981669999994</v>
      </c>
      <c r="M492" s="27">
        <v>81104.824290000004</v>
      </c>
      <c r="N492" s="28" t="s">
        <v>6</v>
      </c>
      <c r="O492" s="28" t="s">
        <v>13</v>
      </c>
      <c r="P492"/>
    </row>
    <row r="493" spans="1:16" x14ac:dyDescent="0.35">
      <c r="A493" s="4">
        <v>490</v>
      </c>
      <c r="B493" s="17">
        <v>46053.631249999999</v>
      </c>
      <c r="C493" s="1">
        <v>81428.929999999993</v>
      </c>
      <c r="D493" s="20">
        <v>81448.850000000006</v>
      </c>
      <c r="E493" s="20">
        <v>81347.63</v>
      </c>
      <c r="F493" s="1">
        <v>81373.91</v>
      </c>
      <c r="G493" s="18">
        <v>281</v>
      </c>
      <c r="I493" s="21">
        <v>46053.631249999999</v>
      </c>
      <c r="J493" s="26"/>
      <c r="K493" s="26"/>
      <c r="L493" s="27">
        <v>81607.572499999995</v>
      </c>
      <c r="M493" s="27">
        <v>81097.324999999997</v>
      </c>
      <c r="N493" s="28" t="s">
        <v>6</v>
      </c>
      <c r="O493" s="28" t="s">
        <v>13</v>
      </c>
      <c r="P493"/>
    </row>
    <row r="494" spans="1:16" x14ac:dyDescent="0.35">
      <c r="A494" s="4">
        <v>491</v>
      </c>
      <c r="B494" s="17">
        <v>46053.631944444445</v>
      </c>
      <c r="C494" s="1">
        <v>81377.289999999994</v>
      </c>
      <c r="D494" s="20">
        <v>81406.23</v>
      </c>
      <c r="E494" s="20">
        <v>81325.789999999994</v>
      </c>
      <c r="F494" s="1">
        <v>81406.12</v>
      </c>
      <c r="G494" s="18">
        <v>220</v>
      </c>
      <c r="I494" s="21">
        <v>46053.631944444445</v>
      </c>
      <c r="J494" s="26"/>
      <c r="K494" s="26"/>
      <c r="L494" s="27">
        <v>81564.163329999996</v>
      </c>
      <c r="M494" s="27">
        <v>81089.825710000005</v>
      </c>
      <c r="N494" s="28" t="s">
        <v>6</v>
      </c>
      <c r="O494" s="28" t="s">
        <v>13</v>
      </c>
      <c r="P494"/>
    </row>
    <row r="495" spans="1:16" x14ac:dyDescent="0.35">
      <c r="A495" s="4">
        <v>492</v>
      </c>
      <c r="B495" s="17">
        <v>46053.632638888892</v>
      </c>
      <c r="C495" s="1">
        <v>81406.350000000006</v>
      </c>
      <c r="D495" s="20">
        <v>81419.62</v>
      </c>
      <c r="E495" s="20">
        <v>81287.03</v>
      </c>
      <c r="F495" s="1">
        <v>81297.53</v>
      </c>
      <c r="G495" s="18">
        <v>225</v>
      </c>
      <c r="I495" s="21">
        <v>46053.632638888892</v>
      </c>
      <c r="J495" s="26"/>
      <c r="K495" s="26"/>
      <c r="L495" s="27">
        <v>81520.75417</v>
      </c>
      <c r="M495" s="27">
        <v>81082.326430000001</v>
      </c>
      <c r="N495" s="28" t="s">
        <v>6</v>
      </c>
      <c r="O495" s="28" t="s">
        <v>13</v>
      </c>
      <c r="P495"/>
    </row>
    <row r="496" spans="1:16" x14ac:dyDescent="0.35">
      <c r="A496" s="4">
        <v>493</v>
      </c>
      <c r="B496" s="17">
        <v>46053.633333333331</v>
      </c>
      <c r="C496" s="1">
        <v>81297.210000000006</v>
      </c>
      <c r="D496" s="20">
        <v>81320.03</v>
      </c>
      <c r="E496" s="20">
        <v>81211.12</v>
      </c>
      <c r="F496" s="1">
        <v>81231.820000000007</v>
      </c>
      <c r="G496" s="18">
        <v>272</v>
      </c>
      <c r="I496" s="21">
        <v>46053.633333333331</v>
      </c>
      <c r="J496" s="26"/>
      <c r="K496" s="26"/>
      <c r="L496" s="27">
        <v>81477.345000000001</v>
      </c>
      <c r="M496" s="27">
        <v>81074.827139999994</v>
      </c>
      <c r="N496" s="28" t="s">
        <v>6</v>
      </c>
      <c r="O496" s="28" t="s">
        <v>13</v>
      </c>
      <c r="P496"/>
    </row>
    <row r="497" spans="1:16" x14ac:dyDescent="0.35">
      <c r="A497" s="4">
        <v>494</v>
      </c>
      <c r="B497" s="17">
        <v>46053.634027777778</v>
      </c>
      <c r="C497" s="1">
        <v>81231.81</v>
      </c>
      <c r="D497" s="20">
        <v>81252.429999999993</v>
      </c>
      <c r="E497" s="20">
        <v>81197.23</v>
      </c>
      <c r="F497" s="1">
        <v>81236.800000000003</v>
      </c>
      <c r="G497" s="18">
        <v>252</v>
      </c>
      <c r="I497" s="21">
        <v>46053.634027777778</v>
      </c>
      <c r="J497" s="26"/>
      <c r="K497" s="26"/>
      <c r="L497" s="27">
        <v>81433.935830000002</v>
      </c>
      <c r="M497" s="27">
        <v>81067.327860000005</v>
      </c>
      <c r="N497" s="28" t="s">
        <v>6</v>
      </c>
      <c r="O497" s="28" t="s">
        <v>13</v>
      </c>
      <c r="P497"/>
    </row>
    <row r="498" spans="1:16" x14ac:dyDescent="0.35">
      <c r="A498" s="4">
        <v>495</v>
      </c>
      <c r="B498" s="17">
        <v>46053.634722222225</v>
      </c>
      <c r="C498" s="1">
        <v>81236.81</v>
      </c>
      <c r="D498" s="20">
        <v>81251.41</v>
      </c>
      <c r="E498" s="20">
        <v>81170.539999999994</v>
      </c>
      <c r="F498" s="1">
        <v>81219.429999999993</v>
      </c>
      <c r="G498" s="18">
        <v>273</v>
      </c>
      <c r="I498" s="21">
        <v>46053.634722222225</v>
      </c>
      <c r="J498" s="26"/>
      <c r="K498" s="26"/>
      <c r="L498" s="27">
        <v>81390.526670000007</v>
      </c>
      <c r="M498" s="27">
        <v>81059.828569999998</v>
      </c>
      <c r="N498" s="28" t="s">
        <v>6</v>
      </c>
      <c r="O498" s="28" t="s">
        <v>13</v>
      </c>
      <c r="P498"/>
    </row>
    <row r="499" spans="1:16" x14ac:dyDescent="0.35">
      <c r="A499" s="4">
        <v>496</v>
      </c>
      <c r="B499" s="17">
        <v>46053.635416666664</v>
      </c>
      <c r="C499" s="1">
        <v>81220.539999999994</v>
      </c>
      <c r="D499" s="20">
        <v>81227.09</v>
      </c>
      <c r="E499" s="20">
        <v>81113.429999999993</v>
      </c>
      <c r="F499" s="1">
        <v>81113.600000000006</v>
      </c>
      <c r="G499" s="18">
        <v>243</v>
      </c>
      <c r="I499" s="21">
        <v>46053.635416666664</v>
      </c>
      <c r="J499" s="26"/>
      <c r="K499" s="26"/>
      <c r="L499" s="27">
        <v>81347.117499999993</v>
      </c>
      <c r="M499" s="27">
        <v>81052.329289999994</v>
      </c>
      <c r="N499" s="28" t="s">
        <v>6</v>
      </c>
      <c r="O499" s="28" t="s">
        <v>13</v>
      </c>
      <c r="P499"/>
    </row>
    <row r="500" spans="1:16" x14ac:dyDescent="0.35">
      <c r="A500" s="4">
        <v>497</v>
      </c>
      <c r="B500" s="17">
        <v>46053.636111111111</v>
      </c>
      <c r="C500" s="1">
        <v>81113.66</v>
      </c>
      <c r="D500" s="20">
        <v>81113.66</v>
      </c>
      <c r="E500" s="20">
        <v>81044.83</v>
      </c>
      <c r="F500" s="1">
        <v>81087.56</v>
      </c>
      <c r="G500" s="18">
        <v>268</v>
      </c>
      <c r="I500" s="21">
        <v>46053.636111111111</v>
      </c>
      <c r="J500" s="26"/>
      <c r="K500" s="26">
        <v>81044.83</v>
      </c>
      <c r="L500" s="27">
        <v>81303.708329999994</v>
      </c>
      <c r="M500" s="27">
        <v>81044.83</v>
      </c>
      <c r="N500" s="28" t="s">
        <v>6</v>
      </c>
      <c r="O500" s="28" t="s">
        <v>13</v>
      </c>
      <c r="P500"/>
    </row>
    <row r="501" spans="1:16" x14ac:dyDescent="0.35">
      <c r="A501" s="4">
        <v>498</v>
      </c>
      <c r="B501" s="17">
        <v>46053.636805555558</v>
      </c>
      <c r="C501" s="1">
        <v>81080.63</v>
      </c>
      <c r="D501" s="20">
        <v>81188.429999999993</v>
      </c>
      <c r="E501" s="20">
        <v>81058.45</v>
      </c>
      <c r="F501" s="1">
        <v>81188.08</v>
      </c>
      <c r="G501" s="18">
        <v>254</v>
      </c>
      <c r="I501" s="21">
        <v>46053.636805555558</v>
      </c>
      <c r="J501" s="26"/>
      <c r="K501" s="26"/>
      <c r="L501" s="27">
        <v>81260.299169999998</v>
      </c>
      <c r="M501" s="27">
        <v>81050.934999999998</v>
      </c>
      <c r="N501" s="28" t="s">
        <v>6</v>
      </c>
      <c r="O501" s="28" t="s">
        <v>8</v>
      </c>
      <c r="P501"/>
    </row>
    <row r="502" spans="1:16" x14ac:dyDescent="0.35">
      <c r="A502" s="4">
        <v>499</v>
      </c>
      <c r="B502" s="17">
        <v>46053.637499999997</v>
      </c>
      <c r="C502" s="1">
        <v>81188.14</v>
      </c>
      <c r="D502" s="20">
        <v>81216.89</v>
      </c>
      <c r="E502" s="20">
        <v>81101.55</v>
      </c>
      <c r="F502" s="1">
        <v>81162.100000000006</v>
      </c>
      <c r="G502" s="18">
        <v>260</v>
      </c>
      <c r="I502" s="21">
        <v>46053.637499999997</v>
      </c>
      <c r="J502" s="26">
        <v>81216.89</v>
      </c>
      <c r="K502" s="26"/>
      <c r="L502" s="27">
        <v>81216.89</v>
      </c>
      <c r="M502" s="27">
        <v>81057.039999999994</v>
      </c>
      <c r="N502" s="28" t="s">
        <v>6</v>
      </c>
      <c r="O502" s="28" t="s">
        <v>8</v>
      </c>
      <c r="P502"/>
    </row>
    <row r="503" spans="1:16" x14ac:dyDescent="0.35">
      <c r="A503" s="4">
        <v>500</v>
      </c>
      <c r="B503" s="17">
        <v>46053.638194444444</v>
      </c>
      <c r="C503" s="1">
        <v>81169.7</v>
      </c>
      <c r="D503" s="20">
        <v>81204.7</v>
      </c>
      <c r="E503" s="20">
        <v>81089.42</v>
      </c>
      <c r="F503" s="1">
        <v>81092.429999999993</v>
      </c>
      <c r="G503" s="18">
        <v>273</v>
      </c>
      <c r="I503" s="21">
        <v>46053.638194444444</v>
      </c>
      <c r="J503" s="26"/>
      <c r="K503" s="26"/>
      <c r="L503" s="27">
        <v>81227.103749999995</v>
      </c>
      <c r="M503" s="27">
        <v>81063.145000000004</v>
      </c>
      <c r="N503" s="28" t="s">
        <v>7</v>
      </c>
      <c r="O503" s="28" t="s">
        <v>8</v>
      </c>
      <c r="P503"/>
    </row>
    <row r="504" spans="1:16" x14ac:dyDescent="0.35">
      <c r="A504" s="4">
        <v>501</v>
      </c>
      <c r="B504" s="17">
        <v>46053.638888888891</v>
      </c>
      <c r="C504" s="1">
        <v>81092.429999999993</v>
      </c>
      <c r="D504" s="20">
        <v>81144.259999999995</v>
      </c>
      <c r="E504" s="20">
        <v>81069.25</v>
      </c>
      <c r="F504" s="1">
        <v>81095.64</v>
      </c>
      <c r="G504" s="18">
        <v>257</v>
      </c>
      <c r="I504" s="21">
        <v>46053.638888888891</v>
      </c>
      <c r="J504" s="26"/>
      <c r="K504" s="26">
        <v>81069.25</v>
      </c>
      <c r="L504" s="27">
        <v>81237.317500000005</v>
      </c>
      <c r="M504" s="27">
        <v>81069.25</v>
      </c>
      <c r="N504" s="28" t="s">
        <v>7</v>
      </c>
      <c r="O504" s="28" t="s">
        <v>8</v>
      </c>
      <c r="P504"/>
    </row>
    <row r="505" spans="1:16" x14ac:dyDescent="0.35">
      <c r="A505" s="4">
        <v>502</v>
      </c>
      <c r="B505" s="17">
        <v>46053.63958333333</v>
      </c>
      <c r="C505" s="1">
        <v>81095.69</v>
      </c>
      <c r="D505" s="20">
        <v>81187.710000000006</v>
      </c>
      <c r="E505" s="20">
        <v>81081.7</v>
      </c>
      <c r="F505" s="1">
        <v>81173.98</v>
      </c>
      <c r="G505" s="18">
        <v>256</v>
      </c>
      <c r="I505" s="21">
        <v>46053.63958333333</v>
      </c>
      <c r="J505" s="26"/>
      <c r="K505" s="29"/>
      <c r="L505" s="27">
        <v>81247.53125</v>
      </c>
      <c r="M505" s="27">
        <v>81077.09</v>
      </c>
      <c r="N505" s="30" t="s">
        <v>7</v>
      </c>
      <c r="O505" s="28" t="s">
        <v>8</v>
      </c>
      <c r="P505"/>
    </row>
    <row r="506" spans="1:16" x14ac:dyDescent="0.35">
      <c r="A506" s="4">
        <v>503</v>
      </c>
      <c r="B506" s="17">
        <v>46053.640277777777</v>
      </c>
      <c r="C506" s="1">
        <v>81174.75</v>
      </c>
      <c r="D506" s="20">
        <v>81187.67</v>
      </c>
      <c r="E506" s="20">
        <v>81101.210000000006</v>
      </c>
      <c r="F506" s="1">
        <v>81182.09</v>
      </c>
      <c r="G506" s="18">
        <v>258</v>
      </c>
      <c r="I506" s="21">
        <v>46053.640277777777</v>
      </c>
      <c r="J506" s="26"/>
      <c r="K506" s="29"/>
      <c r="L506" s="27">
        <v>81257.744999999995</v>
      </c>
      <c r="M506" s="27">
        <v>81084.929999999993</v>
      </c>
      <c r="N506" s="30" t="s">
        <v>7</v>
      </c>
      <c r="O506" s="28" t="s">
        <v>8</v>
      </c>
      <c r="P506"/>
    </row>
    <row r="507" spans="1:16" x14ac:dyDescent="0.35">
      <c r="A507" s="4">
        <v>504</v>
      </c>
      <c r="B507" s="17">
        <v>46053.640972222223</v>
      </c>
      <c r="C507" s="1">
        <v>81178.649999999994</v>
      </c>
      <c r="D507" s="20">
        <v>81188.33</v>
      </c>
      <c r="E507" s="20">
        <v>81103.06</v>
      </c>
      <c r="F507" s="1">
        <v>81124.55</v>
      </c>
      <c r="G507" s="18">
        <v>229</v>
      </c>
      <c r="I507" s="21">
        <v>46053.640972222223</v>
      </c>
      <c r="J507" s="26"/>
      <c r="K507" s="29"/>
      <c r="L507" s="27">
        <v>81267.958750000005</v>
      </c>
      <c r="M507" s="27">
        <v>81092.77</v>
      </c>
      <c r="N507" s="30" t="s">
        <v>7</v>
      </c>
      <c r="O507" s="28" t="s">
        <v>8</v>
      </c>
      <c r="P507"/>
    </row>
    <row r="508" spans="1:16" x14ac:dyDescent="0.35">
      <c r="A508" s="4">
        <v>505</v>
      </c>
      <c r="B508" s="17">
        <v>46053.64166666667</v>
      </c>
      <c r="C508" s="1">
        <v>81124.570000000007</v>
      </c>
      <c r="D508" s="20">
        <v>81171.45</v>
      </c>
      <c r="E508" s="20">
        <v>81100.61</v>
      </c>
      <c r="F508" s="1">
        <v>81106.31</v>
      </c>
      <c r="G508" s="18">
        <v>257</v>
      </c>
      <c r="I508" s="21">
        <v>46053.64166666667</v>
      </c>
      <c r="J508" s="26"/>
      <c r="K508" s="29">
        <v>81100.61</v>
      </c>
      <c r="L508" s="27">
        <v>81278.172500000001</v>
      </c>
      <c r="M508" s="27">
        <v>81100.61</v>
      </c>
      <c r="N508" s="30" t="s">
        <v>7</v>
      </c>
      <c r="O508" s="28" t="s">
        <v>8</v>
      </c>
      <c r="P508"/>
    </row>
    <row r="509" spans="1:16" x14ac:dyDescent="0.35">
      <c r="A509" s="4">
        <v>506</v>
      </c>
      <c r="B509" s="17">
        <v>46053.642361111109</v>
      </c>
      <c r="C509" s="1">
        <v>81115</v>
      </c>
      <c r="D509" s="20">
        <v>81274.73</v>
      </c>
      <c r="E509" s="20">
        <v>81101.600000000006</v>
      </c>
      <c r="F509" s="1">
        <v>81165.62</v>
      </c>
      <c r="G509" s="18">
        <v>278</v>
      </c>
      <c r="I509" s="21">
        <v>46053.642361111109</v>
      </c>
      <c r="J509" s="26"/>
      <c r="K509" s="29"/>
      <c r="L509" s="27">
        <v>81288.386249999996</v>
      </c>
      <c r="M509" s="27">
        <v>81103.065000000002</v>
      </c>
      <c r="N509" s="30" t="s">
        <v>7</v>
      </c>
      <c r="O509" s="28" t="s">
        <v>8</v>
      </c>
      <c r="P509"/>
    </row>
    <row r="510" spans="1:16" x14ac:dyDescent="0.35">
      <c r="A510" s="4">
        <v>507</v>
      </c>
      <c r="B510" s="17">
        <v>46053.643055555556</v>
      </c>
      <c r="C510" s="1">
        <v>81165.62</v>
      </c>
      <c r="D510" s="20">
        <v>81298.600000000006</v>
      </c>
      <c r="E510" s="20">
        <v>81165.62</v>
      </c>
      <c r="F510" s="1">
        <v>81174.350000000006</v>
      </c>
      <c r="G510" s="18">
        <v>249</v>
      </c>
      <c r="I510" s="21">
        <v>46053.643055555556</v>
      </c>
      <c r="J510" s="26">
        <v>81298.600000000006</v>
      </c>
      <c r="K510" s="29"/>
      <c r="L510" s="27">
        <v>81298.600000000006</v>
      </c>
      <c r="M510" s="27">
        <v>81105.52</v>
      </c>
      <c r="N510" s="30" t="s">
        <v>7</v>
      </c>
      <c r="O510" s="28" t="s">
        <v>8</v>
      </c>
      <c r="P510"/>
    </row>
    <row r="511" spans="1:16" x14ac:dyDescent="0.35">
      <c r="A511" s="4">
        <v>508</v>
      </c>
      <c r="B511" s="17">
        <v>46053.643750000003</v>
      </c>
      <c r="C511" s="1">
        <v>81174.86</v>
      </c>
      <c r="D511" s="20">
        <v>81182.38</v>
      </c>
      <c r="E511" s="20">
        <v>81149.95</v>
      </c>
      <c r="F511" s="1">
        <v>81152.78</v>
      </c>
      <c r="G511" s="18">
        <v>218</v>
      </c>
      <c r="I511" s="21">
        <v>46053.643750000003</v>
      </c>
      <c r="J511" s="26"/>
      <c r="K511" s="29"/>
      <c r="L511" s="27">
        <v>81301.732499999998</v>
      </c>
      <c r="M511" s="27">
        <v>81107.975000000006</v>
      </c>
      <c r="N511" s="30" t="s">
        <v>7</v>
      </c>
      <c r="O511" s="28" t="s">
        <v>8</v>
      </c>
      <c r="P511"/>
    </row>
    <row r="512" spans="1:16" x14ac:dyDescent="0.35">
      <c r="A512" s="4">
        <v>509</v>
      </c>
      <c r="B512" s="17">
        <v>46053.644444444442</v>
      </c>
      <c r="C512" s="1">
        <v>81149.429999999993</v>
      </c>
      <c r="D512" s="20">
        <v>81208.91</v>
      </c>
      <c r="E512" s="20">
        <v>81110.429999999993</v>
      </c>
      <c r="F512" s="1">
        <v>81205.2</v>
      </c>
      <c r="G512" s="18">
        <v>225</v>
      </c>
      <c r="I512" s="21">
        <v>46053.644444444442</v>
      </c>
      <c r="J512" s="26"/>
      <c r="K512" s="29">
        <v>81110.429999999993</v>
      </c>
      <c r="L512" s="27">
        <v>81304.865000000005</v>
      </c>
      <c r="M512" s="27">
        <v>81110.429999999993</v>
      </c>
      <c r="N512" s="30" t="s">
        <v>7</v>
      </c>
      <c r="O512" s="28" t="s">
        <v>8</v>
      </c>
      <c r="P512"/>
    </row>
    <row r="513" spans="1:16" x14ac:dyDescent="0.35">
      <c r="A513" s="4">
        <v>510</v>
      </c>
      <c r="B513" s="17">
        <v>46053.645138888889</v>
      </c>
      <c r="C513" s="1">
        <v>81205.2</v>
      </c>
      <c r="D513" s="20">
        <v>81291.850000000006</v>
      </c>
      <c r="E513" s="20">
        <v>81205.179999999993</v>
      </c>
      <c r="F513" s="1">
        <v>81262.41</v>
      </c>
      <c r="G513" s="18">
        <v>219</v>
      </c>
      <c r="I513" s="21">
        <v>46053.645138888889</v>
      </c>
      <c r="J513" s="26"/>
      <c r="K513" s="29"/>
      <c r="L513" s="27">
        <v>81307.997499999998</v>
      </c>
      <c r="M513" s="27">
        <v>81120.514999999999</v>
      </c>
      <c r="N513" s="30" t="s">
        <v>7</v>
      </c>
      <c r="O513" s="28" t="s">
        <v>8</v>
      </c>
      <c r="P513"/>
    </row>
    <row r="514" spans="1:16" x14ac:dyDescent="0.35">
      <c r="A514" s="4">
        <v>511</v>
      </c>
      <c r="B514" s="17">
        <v>46053.645833333336</v>
      </c>
      <c r="C514" s="1">
        <v>81262.41</v>
      </c>
      <c r="D514" s="20">
        <v>81311.13</v>
      </c>
      <c r="E514" s="20">
        <v>81226.179999999993</v>
      </c>
      <c r="F514" s="1">
        <v>81250.53</v>
      </c>
      <c r="G514" s="18">
        <v>246</v>
      </c>
      <c r="I514" s="21">
        <v>46053.645833333336</v>
      </c>
      <c r="J514" s="26">
        <v>81311.13</v>
      </c>
      <c r="K514" s="29"/>
      <c r="L514" s="27">
        <v>81311.13</v>
      </c>
      <c r="M514" s="27">
        <v>81130.600000000006</v>
      </c>
      <c r="N514" s="30" t="s">
        <v>7</v>
      </c>
      <c r="O514" s="28" t="s">
        <v>8</v>
      </c>
      <c r="P514"/>
    </row>
    <row r="515" spans="1:16" x14ac:dyDescent="0.35">
      <c r="A515" s="4">
        <v>512</v>
      </c>
      <c r="B515" s="17">
        <v>46053.646527777775</v>
      </c>
      <c r="C515" s="1">
        <v>81250.27</v>
      </c>
      <c r="D515" s="20">
        <v>81307.72</v>
      </c>
      <c r="E515" s="20">
        <v>81194.69</v>
      </c>
      <c r="F515" s="1">
        <v>81194.69</v>
      </c>
      <c r="G515" s="18">
        <v>234</v>
      </c>
      <c r="I515" s="21">
        <v>46053.646527777775</v>
      </c>
      <c r="J515" s="26"/>
      <c r="K515" s="29"/>
      <c r="L515" s="27">
        <v>81320.2</v>
      </c>
      <c r="M515" s="27">
        <v>81140.684999999998</v>
      </c>
      <c r="N515" s="30" t="s">
        <v>7</v>
      </c>
      <c r="O515" s="28" t="s">
        <v>8</v>
      </c>
      <c r="P515"/>
    </row>
    <row r="516" spans="1:16" x14ac:dyDescent="0.35">
      <c r="A516" s="4">
        <v>513</v>
      </c>
      <c r="B516" s="17">
        <v>46053.647222222222</v>
      </c>
      <c r="C516" s="1">
        <v>81191.149999999994</v>
      </c>
      <c r="D516" s="20">
        <v>81309.42</v>
      </c>
      <c r="E516" s="20">
        <v>81150.77</v>
      </c>
      <c r="F516" s="1">
        <v>81301.89</v>
      </c>
      <c r="G516" s="18">
        <v>247</v>
      </c>
      <c r="I516" s="21">
        <v>46053.647222222222</v>
      </c>
      <c r="J516" s="26"/>
      <c r="K516" s="29">
        <v>81150.77</v>
      </c>
      <c r="L516" s="27">
        <v>81329.27</v>
      </c>
      <c r="M516" s="27">
        <v>81150.77</v>
      </c>
      <c r="N516" s="30" t="s">
        <v>7</v>
      </c>
      <c r="O516" s="28" t="s">
        <v>8</v>
      </c>
      <c r="P516"/>
    </row>
    <row r="517" spans="1:16" x14ac:dyDescent="0.35">
      <c r="A517" s="4">
        <v>514</v>
      </c>
      <c r="B517" s="17">
        <v>46053.647916666669</v>
      </c>
      <c r="C517" s="1">
        <v>81301.91</v>
      </c>
      <c r="D517" s="20">
        <v>81338.34</v>
      </c>
      <c r="E517" s="20">
        <v>81290.539999999994</v>
      </c>
      <c r="F517" s="1">
        <v>81292.22</v>
      </c>
      <c r="G517" s="18">
        <v>213</v>
      </c>
      <c r="I517" s="21">
        <v>46053.647916666669</v>
      </c>
      <c r="J517" s="26">
        <v>81338.34</v>
      </c>
      <c r="K517" s="29"/>
      <c r="L517" s="27">
        <v>81338.34</v>
      </c>
      <c r="M517" s="27">
        <v>81143.313999999998</v>
      </c>
      <c r="N517" s="30" t="s">
        <v>7</v>
      </c>
      <c r="O517" s="28" t="s">
        <v>13</v>
      </c>
      <c r="P517"/>
    </row>
    <row r="518" spans="1:16" x14ac:dyDescent="0.35">
      <c r="A518" s="4">
        <v>515</v>
      </c>
      <c r="B518" s="17">
        <v>46053.648611111108</v>
      </c>
      <c r="C518" s="1">
        <v>81292.83</v>
      </c>
      <c r="D518" s="20">
        <v>81325.3</v>
      </c>
      <c r="E518" s="20">
        <v>81281.929999999993</v>
      </c>
      <c r="F518" s="1">
        <v>81298.37</v>
      </c>
      <c r="G518" s="18">
        <v>186</v>
      </c>
      <c r="I518" s="21">
        <v>46053.648611111108</v>
      </c>
      <c r="J518" s="26"/>
      <c r="K518" s="29"/>
      <c r="L518" s="27">
        <v>81322.016669999997</v>
      </c>
      <c r="M518" s="27">
        <v>81135.857999999993</v>
      </c>
      <c r="N518" s="30" t="s">
        <v>6</v>
      </c>
      <c r="O518" s="28" t="s">
        <v>13</v>
      </c>
      <c r="P518"/>
    </row>
    <row r="519" spans="1:16" x14ac:dyDescent="0.35">
      <c r="A519" s="4">
        <v>516</v>
      </c>
      <c r="B519" s="17">
        <v>46053.649305555555</v>
      </c>
      <c r="C519" s="1">
        <v>81298.53</v>
      </c>
      <c r="D519" s="20">
        <v>81298.53</v>
      </c>
      <c r="E519" s="20">
        <v>81240.5</v>
      </c>
      <c r="F519" s="1">
        <v>81241.509999999995</v>
      </c>
      <c r="G519" s="18">
        <v>208</v>
      </c>
      <c r="I519" s="21">
        <v>46053.649305555555</v>
      </c>
      <c r="J519" s="26"/>
      <c r="K519" s="29"/>
      <c r="L519" s="27">
        <v>81305.693329999995</v>
      </c>
      <c r="M519" s="27">
        <v>81128.402000000002</v>
      </c>
      <c r="N519" s="30" t="s">
        <v>6</v>
      </c>
      <c r="O519" s="28" t="s">
        <v>13</v>
      </c>
      <c r="P519"/>
    </row>
    <row r="520" spans="1:16" x14ac:dyDescent="0.35">
      <c r="A520" s="4">
        <v>517</v>
      </c>
      <c r="B520" s="17">
        <v>46053.65</v>
      </c>
      <c r="C520" s="1">
        <v>81220.429999999993</v>
      </c>
      <c r="D520" s="20">
        <v>81239.600000000006</v>
      </c>
      <c r="E520" s="20">
        <v>81113.86</v>
      </c>
      <c r="F520" s="1">
        <v>81156.67</v>
      </c>
      <c r="G520" s="18">
        <v>241</v>
      </c>
      <c r="I520" s="21">
        <v>46053.65</v>
      </c>
      <c r="J520" s="26"/>
      <c r="K520" s="29"/>
      <c r="L520" s="27">
        <v>81289.37</v>
      </c>
      <c r="M520" s="27">
        <v>81120.945999999996</v>
      </c>
      <c r="N520" s="30" t="s">
        <v>6</v>
      </c>
      <c r="O520" s="28" t="s">
        <v>13</v>
      </c>
      <c r="P520"/>
    </row>
    <row r="521" spans="1:16" x14ac:dyDescent="0.35">
      <c r="A521" s="4">
        <v>518</v>
      </c>
      <c r="B521" s="17">
        <v>46053.650694444441</v>
      </c>
      <c r="C521" s="1">
        <v>81159.710000000006</v>
      </c>
      <c r="D521" s="20">
        <v>81174.679999999993</v>
      </c>
      <c r="E521" s="20">
        <v>81113.490000000005</v>
      </c>
      <c r="F521" s="1">
        <v>81174.62</v>
      </c>
      <c r="G521" s="18">
        <v>208</v>
      </c>
      <c r="I521" s="21">
        <v>46053.650694444441</v>
      </c>
      <c r="J521" s="26"/>
      <c r="K521" s="29">
        <v>81113.490000000005</v>
      </c>
      <c r="L521" s="27">
        <v>81273.046669999996</v>
      </c>
      <c r="M521" s="27">
        <v>81113.490000000005</v>
      </c>
      <c r="N521" s="30" t="s">
        <v>6</v>
      </c>
      <c r="O521" s="28" t="s">
        <v>13</v>
      </c>
      <c r="P521"/>
    </row>
    <row r="522" spans="1:16" x14ac:dyDescent="0.35">
      <c r="A522" s="4">
        <v>519</v>
      </c>
      <c r="B522" s="17">
        <v>46053.651388888888</v>
      </c>
      <c r="C522" s="1">
        <v>81174.63</v>
      </c>
      <c r="D522" s="20">
        <v>81225.91</v>
      </c>
      <c r="E522" s="20">
        <v>81142.070000000007</v>
      </c>
      <c r="F522" s="1">
        <v>81206.429999999993</v>
      </c>
      <c r="G522" s="18">
        <v>234</v>
      </c>
      <c r="I522" s="21">
        <v>46053.651388888888</v>
      </c>
      <c r="J522" s="26"/>
      <c r="K522" s="29"/>
      <c r="L522" s="27">
        <v>81256.723329999993</v>
      </c>
      <c r="M522" s="27">
        <v>81114.992499999993</v>
      </c>
      <c r="N522" s="30" t="s">
        <v>6</v>
      </c>
      <c r="O522" s="28" t="s">
        <v>8</v>
      </c>
      <c r="P522"/>
    </row>
    <row r="523" spans="1:16" x14ac:dyDescent="0.35">
      <c r="A523" s="4">
        <v>520</v>
      </c>
      <c r="B523" s="17">
        <v>46053.652083333334</v>
      </c>
      <c r="C523" s="1">
        <v>81201.210000000006</v>
      </c>
      <c r="D523" s="20">
        <v>81240.399999999994</v>
      </c>
      <c r="E523" s="20">
        <v>81161</v>
      </c>
      <c r="F523" s="1">
        <v>81236.47</v>
      </c>
      <c r="G523" s="18">
        <v>221</v>
      </c>
      <c r="I523" s="21">
        <v>46053.652083333334</v>
      </c>
      <c r="J523" s="26">
        <v>81240.399999999994</v>
      </c>
      <c r="K523" s="29"/>
      <c r="L523" s="27">
        <v>81240.399999999994</v>
      </c>
      <c r="M523" s="27">
        <v>81116.494999999995</v>
      </c>
      <c r="N523" s="30" t="s">
        <v>6</v>
      </c>
      <c r="O523" s="28" t="s">
        <v>8</v>
      </c>
      <c r="P523"/>
    </row>
    <row r="524" spans="1:16" x14ac:dyDescent="0.35">
      <c r="A524" s="4">
        <v>521</v>
      </c>
      <c r="B524" s="17">
        <v>46053.652777777781</v>
      </c>
      <c r="C524" s="1">
        <v>81236.479999999996</v>
      </c>
      <c r="D524" s="20">
        <v>81236.5</v>
      </c>
      <c r="E524" s="20">
        <v>81157.259999999995</v>
      </c>
      <c r="F524" s="1">
        <v>81157.73</v>
      </c>
      <c r="G524" s="18">
        <v>162</v>
      </c>
      <c r="I524" s="21">
        <v>46053.652777777781</v>
      </c>
      <c r="J524" s="26"/>
      <c r="K524" s="29"/>
      <c r="L524" s="27">
        <v>81264.14</v>
      </c>
      <c r="M524" s="27">
        <v>81117.997499999998</v>
      </c>
      <c r="N524" s="30" t="s">
        <v>7</v>
      </c>
      <c r="O524" s="28" t="s">
        <v>8</v>
      </c>
      <c r="P524"/>
    </row>
    <row r="525" spans="1:16" x14ac:dyDescent="0.35">
      <c r="A525" s="4">
        <v>522</v>
      </c>
      <c r="B525" s="17">
        <v>46053.65347222222</v>
      </c>
      <c r="C525" s="1">
        <v>81157.72</v>
      </c>
      <c r="D525" s="20">
        <v>81179.039999999994</v>
      </c>
      <c r="E525" s="20">
        <v>81119.5</v>
      </c>
      <c r="F525" s="1">
        <v>81166.990000000005</v>
      </c>
      <c r="G525" s="18">
        <v>168</v>
      </c>
      <c r="I525" s="21">
        <v>46053.65347222222</v>
      </c>
      <c r="J525" s="26"/>
      <c r="K525" s="29">
        <v>81119.5</v>
      </c>
      <c r="L525" s="27">
        <v>81287.88</v>
      </c>
      <c r="M525" s="27">
        <v>81119.5</v>
      </c>
      <c r="N525" s="30" t="s">
        <v>7</v>
      </c>
      <c r="O525" s="28" t="s">
        <v>8</v>
      </c>
      <c r="P525"/>
    </row>
    <row r="526" spans="1:16" x14ac:dyDescent="0.35">
      <c r="A526" s="4">
        <v>523</v>
      </c>
      <c r="B526" s="17">
        <v>46053.654166666667</v>
      </c>
      <c r="C526" s="1">
        <v>81161.679999999993</v>
      </c>
      <c r="D526" s="20">
        <v>81213.399999999994</v>
      </c>
      <c r="E526" s="20">
        <v>81155.39</v>
      </c>
      <c r="F526" s="1">
        <v>81178.53</v>
      </c>
      <c r="G526" s="18">
        <v>199</v>
      </c>
      <c r="I526" s="21">
        <v>46053.654166666667</v>
      </c>
      <c r="J526" s="26"/>
      <c r="K526" s="29"/>
      <c r="L526" s="27">
        <v>81311.62</v>
      </c>
      <c r="M526" s="27">
        <v>81137.976670000004</v>
      </c>
      <c r="N526" s="30" t="s">
        <v>7</v>
      </c>
      <c r="O526" s="28" t="s">
        <v>8</v>
      </c>
      <c r="P526"/>
    </row>
    <row r="527" spans="1:16" x14ac:dyDescent="0.35">
      <c r="A527" s="4">
        <v>524</v>
      </c>
      <c r="B527" s="17">
        <v>46053.654861111114</v>
      </c>
      <c r="C527" s="1">
        <v>81179.81</v>
      </c>
      <c r="D527" s="20">
        <v>81209.240000000005</v>
      </c>
      <c r="E527" s="20">
        <v>81156.44</v>
      </c>
      <c r="F527" s="1">
        <v>81206.350000000006</v>
      </c>
      <c r="G527" s="18">
        <v>165</v>
      </c>
      <c r="I527" s="21">
        <v>46053.654861111114</v>
      </c>
      <c r="J527" s="26"/>
      <c r="K527" s="29"/>
      <c r="L527" s="27">
        <v>81335.360000000001</v>
      </c>
      <c r="M527" s="27">
        <v>81156.453330000004</v>
      </c>
      <c r="N527" s="30" t="s">
        <v>7</v>
      </c>
      <c r="O527" s="28" t="s">
        <v>8</v>
      </c>
      <c r="P527"/>
    </row>
    <row r="528" spans="1:16" x14ac:dyDescent="0.35">
      <c r="A528" s="4">
        <v>525</v>
      </c>
      <c r="B528" s="17">
        <v>46053.655555555553</v>
      </c>
      <c r="C528" s="1">
        <v>81206.37</v>
      </c>
      <c r="D528" s="20">
        <v>81302.559999999998</v>
      </c>
      <c r="E528" s="20">
        <v>81206.37</v>
      </c>
      <c r="F528" s="1">
        <v>81295.199999999997</v>
      </c>
      <c r="G528" s="18">
        <v>199</v>
      </c>
      <c r="I528" s="21">
        <v>46053.655555555553</v>
      </c>
      <c r="J528" s="26"/>
      <c r="K528" s="29"/>
      <c r="L528" s="27">
        <v>81359.100000000006</v>
      </c>
      <c r="M528" s="27">
        <v>81174.929999999993</v>
      </c>
      <c r="N528" s="30" t="s">
        <v>7</v>
      </c>
      <c r="O528" s="28" t="s">
        <v>8</v>
      </c>
      <c r="P528"/>
    </row>
    <row r="529" spans="1:16" x14ac:dyDescent="0.35">
      <c r="A529" s="4">
        <v>526</v>
      </c>
      <c r="B529" s="17">
        <v>46053.65625</v>
      </c>
      <c r="C529" s="1">
        <v>81301.100000000006</v>
      </c>
      <c r="D529" s="20">
        <v>81341.3</v>
      </c>
      <c r="E529" s="20">
        <v>81289.27</v>
      </c>
      <c r="F529" s="1">
        <v>81310.399999999994</v>
      </c>
      <c r="G529" s="18">
        <v>160</v>
      </c>
      <c r="I529" s="21">
        <v>46053.65625</v>
      </c>
      <c r="J529" s="26"/>
      <c r="K529" s="29"/>
      <c r="L529" s="27">
        <v>81382.84</v>
      </c>
      <c r="M529" s="27">
        <v>81193.406669999997</v>
      </c>
      <c r="N529" s="30" t="s">
        <v>7</v>
      </c>
      <c r="O529" s="28" t="s">
        <v>8</v>
      </c>
      <c r="P529"/>
    </row>
    <row r="530" spans="1:16" x14ac:dyDescent="0.35">
      <c r="A530" s="4">
        <v>527</v>
      </c>
      <c r="B530" s="17">
        <v>46053.656944444447</v>
      </c>
      <c r="C530" s="1">
        <v>81313.22</v>
      </c>
      <c r="D530" s="20">
        <v>81344.600000000006</v>
      </c>
      <c r="E530" s="20">
        <v>81240.679999999993</v>
      </c>
      <c r="F530" s="1">
        <v>81246.69</v>
      </c>
      <c r="G530" s="18">
        <v>228</v>
      </c>
      <c r="I530" s="21">
        <v>46053.656944444447</v>
      </c>
      <c r="J530" s="26"/>
      <c r="K530" s="29"/>
      <c r="L530" s="27">
        <v>81406.58</v>
      </c>
      <c r="M530" s="27">
        <v>81211.883329999997</v>
      </c>
      <c r="N530" s="30" t="s">
        <v>7</v>
      </c>
      <c r="O530" s="28" t="s">
        <v>8</v>
      </c>
      <c r="P530"/>
    </row>
    <row r="531" spans="1:16" x14ac:dyDescent="0.35">
      <c r="A531" s="4">
        <v>528</v>
      </c>
      <c r="B531" s="17">
        <v>46053.657638888886</v>
      </c>
      <c r="C531" s="1">
        <v>81246.78</v>
      </c>
      <c r="D531" s="20">
        <v>81307.61</v>
      </c>
      <c r="E531" s="20">
        <v>81230.36</v>
      </c>
      <c r="F531" s="1">
        <v>81269.31</v>
      </c>
      <c r="G531" s="18">
        <v>209</v>
      </c>
      <c r="I531" s="21">
        <v>46053.657638888886</v>
      </c>
      <c r="J531" s="26"/>
      <c r="K531" s="29">
        <v>81230.36</v>
      </c>
      <c r="L531" s="27">
        <v>81430.320000000007</v>
      </c>
      <c r="M531" s="27">
        <v>81230.36</v>
      </c>
      <c r="N531" s="30" t="s">
        <v>7</v>
      </c>
      <c r="O531" s="28" t="s">
        <v>8</v>
      </c>
      <c r="P531"/>
    </row>
    <row r="532" spans="1:16" x14ac:dyDescent="0.35">
      <c r="A532" s="4">
        <v>529</v>
      </c>
      <c r="B532" s="17">
        <v>46053.658333333333</v>
      </c>
      <c r="C532" s="1">
        <v>81269.289999999994</v>
      </c>
      <c r="D532" s="20">
        <v>81453.13</v>
      </c>
      <c r="E532" s="20">
        <v>81269.289999999994</v>
      </c>
      <c r="F532" s="1">
        <v>81453.119999999995</v>
      </c>
      <c r="G532" s="18">
        <v>227</v>
      </c>
      <c r="I532" s="21">
        <v>46053.658333333333</v>
      </c>
      <c r="J532" s="26"/>
      <c r="K532" s="29"/>
      <c r="L532" s="27">
        <v>81454.06</v>
      </c>
      <c r="M532" s="27">
        <v>81263</v>
      </c>
      <c r="N532" s="30" t="s">
        <v>7</v>
      </c>
      <c r="O532" s="28" t="s">
        <v>8</v>
      </c>
      <c r="P532"/>
    </row>
    <row r="533" spans="1:16" x14ac:dyDescent="0.35">
      <c r="A533" s="4">
        <v>530</v>
      </c>
      <c r="B533" s="17">
        <v>46053.65902777778</v>
      </c>
      <c r="C533" s="1">
        <v>81453.119999999995</v>
      </c>
      <c r="D533" s="20">
        <v>81477.8</v>
      </c>
      <c r="E533" s="20">
        <v>81397.11</v>
      </c>
      <c r="F533" s="1">
        <v>81435.92</v>
      </c>
      <c r="G533" s="18">
        <v>219</v>
      </c>
      <c r="I533" s="21">
        <v>46053.65902777778</v>
      </c>
      <c r="J533" s="26">
        <v>81477.8</v>
      </c>
      <c r="K533" s="29"/>
      <c r="L533" s="27">
        <v>81477.8</v>
      </c>
      <c r="M533" s="27">
        <v>81295.64</v>
      </c>
      <c r="N533" s="30" t="s">
        <v>7</v>
      </c>
      <c r="O533" s="28" t="s">
        <v>8</v>
      </c>
      <c r="P533"/>
    </row>
    <row r="534" spans="1:16" x14ac:dyDescent="0.35">
      <c r="A534" s="4">
        <v>531</v>
      </c>
      <c r="B534" s="17">
        <v>46053.659722222219</v>
      </c>
      <c r="C534" s="1">
        <v>81439.100000000006</v>
      </c>
      <c r="D534" s="20">
        <v>81440.399999999994</v>
      </c>
      <c r="E534" s="20">
        <v>81369.55</v>
      </c>
      <c r="F534" s="1">
        <v>81401.039999999994</v>
      </c>
      <c r="G534" s="18">
        <v>199</v>
      </c>
      <c r="I534" s="21">
        <v>46053.659722222219</v>
      </c>
      <c r="J534" s="26"/>
      <c r="K534" s="29"/>
      <c r="L534" s="27">
        <v>81469.916670000006</v>
      </c>
      <c r="M534" s="27">
        <v>81328.28</v>
      </c>
      <c r="N534" s="30" t="s">
        <v>6</v>
      </c>
      <c r="O534" s="28" t="s">
        <v>8</v>
      </c>
      <c r="P534"/>
    </row>
    <row r="535" spans="1:16" x14ac:dyDescent="0.35">
      <c r="A535" s="4">
        <v>532</v>
      </c>
      <c r="B535" s="17">
        <v>46053.660416666666</v>
      </c>
      <c r="C535" s="1">
        <v>81400.710000000006</v>
      </c>
      <c r="D535" s="20">
        <v>81402.62</v>
      </c>
      <c r="E535" s="20">
        <v>81360.92</v>
      </c>
      <c r="F535" s="1">
        <v>81372.210000000006</v>
      </c>
      <c r="G535" s="18">
        <v>189</v>
      </c>
      <c r="I535" s="21">
        <v>46053.660416666666</v>
      </c>
      <c r="J535" s="26"/>
      <c r="K535" s="29">
        <v>81360.92</v>
      </c>
      <c r="L535" s="27">
        <v>81462.033330000006</v>
      </c>
      <c r="M535" s="27">
        <v>81360.92</v>
      </c>
      <c r="N535" s="30" t="s">
        <v>6</v>
      </c>
      <c r="O535" s="28" t="s">
        <v>8</v>
      </c>
      <c r="P535"/>
    </row>
    <row r="536" spans="1:16" x14ac:dyDescent="0.35">
      <c r="A536" s="4">
        <v>533</v>
      </c>
      <c r="B536" s="17">
        <v>46053.661111111112</v>
      </c>
      <c r="C536" s="1">
        <v>81372.23</v>
      </c>
      <c r="D536" s="20">
        <v>81396.3</v>
      </c>
      <c r="E536" s="20">
        <v>81362.2</v>
      </c>
      <c r="F536" s="1">
        <v>81392.12</v>
      </c>
      <c r="G536" s="18">
        <v>170</v>
      </c>
      <c r="I536" s="21">
        <v>46053.661111111112</v>
      </c>
      <c r="J536" s="26"/>
      <c r="K536" s="29"/>
      <c r="L536" s="27">
        <v>81454.149999999994</v>
      </c>
      <c r="M536" s="27">
        <v>81354.393330000006</v>
      </c>
      <c r="N536" s="30" t="s">
        <v>6</v>
      </c>
      <c r="O536" s="28" t="s">
        <v>13</v>
      </c>
      <c r="P536"/>
    </row>
    <row r="537" spans="1:16" x14ac:dyDescent="0.35">
      <c r="A537" s="4">
        <v>534</v>
      </c>
      <c r="B537" s="17">
        <v>46053.661805555559</v>
      </c>
      <c r="C537" s="1">
        <v>81392.12</v>
      </c>
      <c r="D537" s="20">
        <v>81402.539999999994</v>
      </c>
      <c r="E537" s="20">
        <v>81367.98</v>
      </c>
      <c r="F537" s="1">
        <v>81378.259999999995</v>
      </c>
      <c r="G537" s="18">
        <v>176</v>
      </c>
      <c r="I537" s="21">
        <v>46053.661805555559</v>
      </c>
      <c r="J537" s="26"/>
      <c r="K537" s="29"/>
      <c r="L537" s="27">
        <v>81446.266669999997</v>
      </c>
      <c r="M537" s="27">
        <v>81347.866670000003</v>
      </c>
      <c r="N537" s="30" t="s">
        <v>6</v>
      </c>
      <c r="O537" s="28" t="s">
        <v>13</v>
      </c>
      <c r="P537"/>
    </row>
    <row r="538" spans="1:16" x14ac:dyDescent="0.35">
      <c r="A538" s="4">
        <v>535</v>
      </c>
      <c r="B538" s="17">
        <v>46053.662499999999</v>
      </c>
      <c r="C538" s="1">
        <v>81379.64</v>
      </c>
      <c r="D538" s="20">
        <v>81406.559999999998</v>
      </c>
      <c r="E538" s="20">
        <v>81341.34</v>
      </c>
      <c r="F538" s="1">
        <v>81368.479999999996</v>
      </c>
      <c r="G538" s="18">
        <v>172</v>
      </c>
      <c r="I538" s="21">
        <v>46053.662499999999</v>
      </c>
      <c r="J538" s="26"/>
      <c r="K538" s="29">
        <v>81341.34</v>
      </c>
      <c r="L538" s="27">
        <v>81438.383329999997</v>
      </c>
      <c r="M538" s="27">
        <v>81341.34</v>
      </c>
      <c r="N538" s="30" t="s">
        <v>6</v>
      </c>
      <c r="O538" s="28" t="s">
        <v>13</v>
      </c>
      <c r="P538"/>
    </row>
    <row r="539" spans="1:16" x14ac:dyDescent="0.35">
      <c r="A539" s="4">
        <v>536</v>
      </c>
      <c r="B539" s="17">
        <v>46053.663194444445</v>
      </c>
      <c r="C539" s="1">
        <v>81378</v>
      </c>
      <c r="D539" s="20">
        <v>81430.5</v>
      </c>
      <c r="E539" s="20">
        <v>81377.86</v>
      </c>
      <c r="F539" s="1">
        <v>81430.5</v>
      </c>
      <c r="G539" s="18">
        <v>165</v>
      </c>
      <c r="I539" s="21">
        <v>46053.663194444445</v>
      </c>
      <c r="J539" s="26">
        <v>81430.5</v>
      </c>
      <c r="K539" s="29"/>
      <c r="L539" s="27">
        <v>81430.5</v>
      </c>
      <c r="M539" s="27">
        <v>81303.607499999998</v>
      </c>
      <c r="N539" s="30" t="s">
        <v>6</v>
      </c>
      <c r="O539" s="28" t="s">
        <v>13</v>
      </c>
      <c r="P539"/>
    </row>
    <row r="540" spans="1:16" x14ac:dyDescent="0.35">
      <c r="A540" s="4">
        <v>537</v>
      </c>
      <c r="B540" s="17">
        <v>46053.663888888892</v>
      </c>
      <c r="C540" s="1">
        <v>81430.41</v>
      </c>
      <c r="D540" s="20">
        <v>81430.42</v>
      </c>
      <c r="E540" s="20">
        <v>81388</v>
      </c>
      <c r="F540" s="1">
        <v>81396.33</v>
      </c>
      <c r="G540" s="18">
        <v>181</v>
      </c>
      <c r="I540" s="21">
        <v>46053.663888888892</v>
      </c>
      <c r="J540" s="26"/>
      <c r="K540" s="29"/>
      <c r="L540" s="27">
        <v>81427.712499999994</v>
      </c>
      <c r="M540" s="27">
        <v>81265.875</v>
      </c>
      <c r="N540" s="30" t="s">
        <v>6</v>
      </c>
      <c r="O540" s="28" t="s">
        <v>13</v>
      </c>
      <c r="P540"/>
    </row>
    <row r="541" spans="1:16" x14ac:dyDescent="0.35">
      <c r="A541" s="4">
        <v>538</v>
      </c>
      <c r="B541" s="17">
        <v>46053.664583333331</v>
      </c>
      <c r="C541" s="1">
        <v>81396.33</v>
      </c>
      <c r="D541" s="20">
        <v>81396.33</v>
      </c>
      <c r="E541" s="20">
        <v>81203.850000000006</v>
      </c>
      <c r="F541" s="1">
        <v>81262.23</v>
      </c>
      <c r="G541" s="18">
        <v>210</v>
      </c>
      <c r="I541" s="21">
        <v>46053.664583333331</v>
      </c>
      <c r="J541" s="26"/>
      <c r="K541" s="29"/>
      <c r="L541" s="27">
        <v>81424.925000000003</v>
      </c>
      <c r="M541" s="27">
        <v>81228.142500000002</v>
      </c>
      <c r="N541" s="30" t="s">
        <v>6</v>
      </c>
      <c r="O541" s="28" t="s">
        <v>13</v>
      </c>
      <c r="P541"/>
    </row>
    <row r="542" spans="1:16" x14ac:dyDescent="0.35">
      <c r="A542" s="4">
        <v>539</v>
      </c>
      <c r="B542" s="17">
        <v>46053.665277777778</v>
      </c>
      <c r="C542" s="1">
        <v>81262.23</v>
      </c>
      <c r="D542" s="20">
        <v>81293.649999999994</v>
      </c>
      <c r="E542" s="20">
        <v>81190.41</v>
      </c>
      <c r="F542" s="1">
        <v>81225.3</v>
      </c>
      <c r="G542" s="18">
        <v>249</v>
      </c>
      <c r="I542" s="21">
        <v>46053.665277777778</v>
      </c>
      <c r="J542" s="26"/>
      <c r="K542" s="29">
        <v>81190.41</v>
      </c>
      <c r="L542" s="27">
        <v>81422.137499999997</v>
      </c>
      <c r="M542" s="27">
        <v>81190.41</v>
      </c>
      <c r="N542" s="30" t="s">
        <v>6</v>
      </c>
      <c r="O542" s="28" t="s">
        <v>13</v>
      </c>
      <c r="P542"/>
    </row>
    <row r="543" spans="1:16" x14ac:dyDescent="0.35">
      <c r="A543" s="4">
        <v>540</v>
      </c>
      <c r="B543" s="17">
        <v>46053.665972222225</v>
      </c>
      <c r="C543" s="1">
        <v>81225.33</v>
      </c>
      <c r="D543" s="20">
        <v>81303.7</v>
      </c>
      <c r="E543" s="20">
        <v>81225.320000000007</v>
      </c>
      <c r="F543" s="1">
        <v>81256.820000000007</v>
      </c>
      <c r="G543" s="18">
        <v>230</v>
      </c>
      <c r="I543" s="21">
        <v>46053.665972222225</v>
      </c>
      <c r="J543" s="26"/>
      <c r="K543" s="29"/>
      <c r="L543" s="27">
        <v>81419.350000000006</v>
      </c>
      <c r="M543" s="27">
        <v>81144.129090000002</v>
      </c>
      <c r="N543" s="30" t="s">
        <v>6</v>
      </c>
      <c r="O543" s="28" t="s">
        <v>13</v>
      </c>
      <c r="P543"/>
    </row>
    <row r="544" spans="1:16" x14ac:dyDescent="0.35">
      <c r="A544" s="4">
        <v>541</v>
      </c>
      <c r="B544" s="17">
        <v>46053.666666666664</v>
      </c>
      <c r="C544" s="1">
        <v>81259.03</v>
      </c>
      <c r="D544" s="20">
        <v>81332.210000000006</v>
      </c>
      <c r="E544" s="20">
        <v>81240.91</v>
      </c>
      <c r="F544" s="1">
        <v>81332.210000000006</v>
      </c>
      <c r="G544" s="18">
        <v>144</v>
      </c>
      <c r="I544" s="21">
        <v>46053.666666666664</v>
      </c>
      <c r="J544" s="26"/>
      <c r="K544" s="29"/>
      <c r="L544" s="27">
        <v>81416.5625</v>
      </c>
      <c r="M544" s="27">
        <v>81097.848180000001</v>
      </c>
      <c r="N544" s="30" t="s">
        <v>6</v>
      </c>
      <c r="O544" s="28" t="s">
        <v>13</v>
      </c>
      <c r="P544"/>
    </row>
    <row r="545" spans="1:16" x14ac:dyDescent="0.35">
      <c r="A545" s="4">
        <v>542</v>
      </c>
      <c r="B545" s="17">
        <v>46053.667361111111</v>
      </c>
      <c r="C545" s="1">
        <v>81332.210000000006</v>
      </c>
      <c r="D545" s="20">
        <v>81336.800000000003</v>
      </c>
      <c r="E545" s="20">
        <v>81248.52</v>
      </c>
      <c r="F545" s="1">
        <v>81248.52</v>
      </c>
      <c r="G545" s="18">
        <v>226</v>
      </c>
      <c r="I545" s="21">
        <v>46053.667361111111</v>
      </c>
      <c r="J545" s="26"/>
      <c r="K545" s="29"/>
      <c r="L545" s="27">
        <v>81413.774999999994</v>
      </c>
      <c r="M545" s="27">
        <v>81051.56727</v>
      </c>
      <c r="N545" s="30" t="s">
        <v>6</v>
      </c>
      <c r="O545" s="28" t="s">
        <v>13</v>
      </c>
      <c r="P545"/>
    </row>
    <row r="546" spans="1:16" x14ac:dyDescent="0.35">
      <c r="A546" s="4">
        <v>543</v>
      </c>
      <c r="B546" s="17">
        <v>46053.668055555558</v>
      </c>
      <c r="C546" s="1">
        <v>81252.5</v>
      </c>
      <c r="D546" s="20">
        <v>81313.3</v>
      </c>
      <c r="E546" s="20">
        <v>81252.490000000005</v>
      </c>
      <c r="F546" s="1">
        <v>81313.14</v>
      </c>
      <c r="G546" s="18">
        <v>175</v>
      </c>
      <c r="I546" s="21">
        <v>46053.668055555558</v>
      </c>
      <c r="J546" s="26"/>
      <c r="K546" s="29"/>
      <c r="L546" s="27">
        <v>81410.987500000003</v>
      </c>
      <c r="M546" s="27">
        <v>81005.286359999998</v>
      </c>
      <c r="N546" s="30" t="s">
        <v>6</v>
      </c>
      <c r="O546" s="28" t="s">
        <v>13</v>
      </c>
      <c r="P546"/>
    </row>
    <row r="547" spans="1:16" x14ac:dyDescent="0.35">
      <c r="A547" s="4">
        <v>544</v>
      </c>
      <c r="B547" s="17">
        <v>46053.668749999997</v>
      </c>
      <c r="C547" s="1">
        <v>81313.100000000006</v>
      </c>
      <c r="D547" s="20">
        <v>81408.2</v>
      </c>
      <c r="E547" s="20">
        <v>81291.33</v>
      </c>
      <c r="F547" s="1">
        <v>81350.73</v>
      </c>
      <c r="G547" s="18">
        <v>219</v>
      </c>
      <c r="I547" s="21">
        <v>46053.668749999997</v>
      </c>
      <c r="J547" s="26">
        <v>81408.2</v>
      </c>
      <c r="K547" s="29"/>
      <c r="L547" s="27">
        <v>81408.2</v>
      </c>
      <c r="M547" s="27">
        <v>80959.005449999997</v>
      </c>
      <c r="N547" s="30" t="s">
        <v>6</v>
      </c>
      <c r="O547" s="28" t="s">
        <v>13</v>
      </c>
      <c r="P547"/>
    </row>
    <row r="548" spans="1:16" x14ac:dyDescent="0.35">
      <c r="A548" s="4">
        <v>545</v>
      </c>
      <c r="B548" s="17">
        <v>46053.669444444444</v>
      </c>
      <c r="C548" s="1">
        <v>81351.27</v>
      </c>
      <c r="D548" s="20">
        <v>81377.8</v>
      </c>
      <c r="E548" s="20">
        <v>81276.53</v>
      </c>
      <c r="F548" s="1">
        <v>81297.679999999993</v>
      </c>
      <c r="G548" s="18">
        <v>181</v>
      </c>
      <c r="I548" s="21">
        <v>46053.669444444444</v>
      </c>
      <c r="J548" s="26"/>
      <c r="K548" s="29"/>
      <c r="L548" s="27">
        <v>81376.2</v>
      </c>
      <c r="M548" s="27">
        <v>80912.724549999999</v>
      </c>
      <c r="N548" s="30" t="s">
        <v>6</v>
      </c>
      <c r="O548" s="28" t="s">
        <v>13</v>
      </c>
      <c r="P548"/>
    </row>
    <row r="549" spans="1:16" x14ac:dyDescent="0.35">
      <c r="A549" s="4">
        <v>546</v>
      </c>
      <c r="B549" s="17">
        <v>46053.670138888891</v>
      </c>
      <c r="C549" s="1">
        <v>81290.990000000005</v>
      </c>
      <c r="D549" s="20">
        <v>81333.600000000006</v>
      </c>
      <c r="E549" s="20">
        <v>81289.86</v>
      </c>
      <c r="F549" s="1">
        <v>81292.31</v>
      </c>
      <c r="G549" s="18">
        <v>212</v>
      </c>
      <c r="I549" s="21">
        <v>46053.670138888891</v>
      </c>
      <c r="J549" s="26"/>
      <c r="K549" s="29"/>
      <c r="L549" s="27">
        <v>81344.2</v>
      </c>
      <c r="M549" s="27">
        <v>80866.443639999998</v>
      </c>
      <c r="N549" s="30" t="s">
        <v>6</v>
      </c>
      <c r="O549" s="28" t="s">
        <v>13</v>
      </c>
      <c r="P549"/>
    </row>
    <row r="550" spans="1:16" x14ac:dyDescent="0.35">
      <c r="A550" s="4">
        <v>547</v>
      </c>
      <c r="B550" s="17">
        <v>46053.67083333333</v>
      </c>
      <c r="C550" s="1">
        <v>81293.740000000005</v>
      </c>
      <c r="D550" s="20">
        <v>81299.73</v>
      </c>
      <c r="E550" s="20">
        <v>81225.240000000005</v>
      </c>
      <c r="F550" s="1">
        <v>81239.73</v>
      </c>
      <c r="G550" s="18">
        <v>235</v>
      </c>
      <c r="I550" s="21">
        <v>46053.67083333333</v>
      </c>
      <c r="J550" s="26"/>
      <c r="K550" s="29"/>
      <c r="L550" s="27">
        <v>81312.2</v>
      </c>
      <c r="M550" s="27">
        <v>80820.162729999996</v>
      </c>
      <c r="N550" s="30" t="s">
        <v>6</v>
      </c>
      <c r="O550" s="28" t="s">
        <v>13</v>
      </c>
      <c r="P550"/>
    </row>
    <row r="551" spans="1:16" x14ac:dyDescent="0.35">
      <c r="A551" s="4">
        <v>548</v>
      </c>
      <c r="B551" s="17">
        <v>46053.671527777777</v>
      </c>
      <c r="C551" s="1">
        <v>81239.97</v>
      </c>
      <c r="D551" s="20">
        <v>81239.97</v>
      </c>
      <c r="E551" s="20">
        <v>80938.92</v>
      </c>
      <c r="F551" s="1">
        <v>81042.720000000001</v>
      </c>
      <c r="G551" s="18">
        <v>281</v>
      </c>
      <c r="I551" s="21">
        <v>46053.671527777777</v>
      </c>
      <c r="J551" s="26"/>
      <c r="K551" s="29"/>
      <c r="L551" s="27">
        <v>81280.2</v>
      </c>
      <c r="M551" s="27">
        <v>80773.881819999995</v>
      </c>
      <c r="N551" s="30" t="s">
        <v>6</v>
      </c>
      <c r="O551" s="28" t="s">
        <v>13</v>
      </c>
      <c r="P551"/>
    </row>
    <row r="552" spans="1:16" x14ac:dyDescent="0.35">
      <c r="A552" s="4">
        <v>549</v>
      </c>
      <c r="B552" s="17">
        <v>46053.672222222223</v>
      </c>
      <c r="C552" s="1">
        <v>81042.720000000001</v>
      </c>
      <c r="D552" s="20">
        <v>81070.070000000007</v>
      </c>
      <c r="E552" s="20">
        <v>80922.289999999994</v>
      </c>
      <c r="F552" s="1">
        <v>80956.69</v>
      </c>
      <c r="G552" s="18">
        <v>292</v>
      </c>
      <c r="I552" s="21">
        <v>46053.672222222223</v>
      </c>
      <c r="J552" s="26"/>
      <c r="K552" s="29"/>
      <c r="L552" s="27">
        <v>81248.2</v>
      </c>
      <c r="M552" s="27">
        <v>80727.600909999994</v>
      </c>
      <c r="N552" s="30" t="s">
        <v>6</v>
      </c>
      <c r="O552" s="28" t="s">
        <v>13</v>
      </c>
      <c r="P552"/>
    </row>
    <row r="553" spans="1:16" x14ac:dyDescent="0.35">
      <c r="A553" s="4">
        <v>550</v>
      </c>
      <c r="B553" s="17">
        <v>46053.67291666667</v>
      </c>
      <c r="C553" s="1">
        <v>80956.649999999994</v>
      </c>
      <c r="D553" s="20">
        <v>80958.320000000007</v>
      </c>
      <c r="E553" s="20">
        <v>80681.320000000007</v>
      </c>
      <c r="F553" s="1">
        <v>80698.42</v>
      </c>
      <c r="G553" s="18">
        <v>278</v>
      </c>
      <c r="I553" s="21">
        <v>46053.67291666667</v>
      </c>
      <c r="J553" s="26"/>
      <c r="K553" s="29">
        <v>80681.320000000007</v>
      </c>
      <c r="L553" s="27">
        <v>81216.2</v>
      </c>
      <c r="M553" s="27">
        <v>80681.320000000007</v>
      </c>
      <c r="N553" s="30" t="s">
        <v>6</v>
      </c>
      <c r="O553" s="28" t="s">
        <v>13</v>
      </c>
      <c r="P553"/>
    </row>
    <row r="554" spans="1:16" x14ac:dyDescent="0.35">
      <c r="A554" s="4">
        <v>551</v>
      </c>
      <c r="B554" s="17">
        <v>46053.673611111109</v>
      </c>
      <c r="C554" s="1">
        <v>80729.02</v>
      </c>
      <c r="D554" s="20">
        <v>81001.210000000006</v>
      </c>
      <c r="E554" s="20">
        <v>80729.02</v>
      </c>
      <c r="F554" s="1">
        <v>80926.320000000007</v>
      </c>
      <c r="G554" s="18">
        <v>293</v>
      </c>
      <c r="I554" s="21">
        <v>46053.673611111109</v>
      </c>
      <c r="J554" s="26"/>
      <c r="K554" s="29"/>
      <c r="L554" s="27">
        <v>81184.2</v>
      </c>
      <c r="M554" s="27">
        <v>80656.138749999998</v>
      </c>
      <c r="N554" s="30" t="s">
        <v>6</v>
      </c>
      <c r="O554" s="28" t="s">
        <v>13</v>
      </c>
      <c r="P554"/>
    </row>
    <row r="555" spans="1:16" x14ac:dyDescent="0.35">
      <c r="A555" s="4">
        <v>552</v>
      </c>
      <c r="B555" s="17">
        <v>46053.674305555556</v>
      </c>
      <c r="C555" s="1">
        <v>80926.31</v>
      </c>
      <c r="D555" s="20">
        <v>81038.899999999994</v>
      </c>
      <c r="E555" s="20">
        <v>80915.58</v>
      </c>
      <c r="F555" s="1">
        <v>80987.94</v>
      </c>
      <c r="G555" s="18">
        <v>279</v>
      </c>
      <c r="I555" s="21">
        <v>46053.674305555556</v>
      </c>
      <c r="J555" s="26"/>
      <c r="K555" s="29"/>
      <c r="L555" s="27">
        <v>81152.2</v>
      </c>
      <c r="M555" s="27">
        <v>80630.957500000004</v>
      </c>
      <c r="N555" s="30" t="s">
        <v>6</v>
      </c>
      <c r="O555" s="28" t="s">
        <v>13</v>
      </c>
      <c r="P555"/>
    </row>
    <row r="556" spans="1:16" x14ac:dyDescent="0.35">
      <c r="A556" s="4">
        <v>553</v>
      </c>
      <c r="B556" s="17">
        <v>46053.675000000003</v>
      </c>
      <c r="C556" s="1">
        <v>80990.34</v>
      </c>
      <c r="D556" s="20">
        <v>81120.2</v>
      </c>
      <c r="E556" s="20">
        <v>80964.5</v>
      </c>
      <c r="F556" s="1">
        <v>81021.72</v>
      </c>
      <c r="G556" s="18">
        <v>279</v>
      </c>
      <c r="I556" s="21">
        <v>46053.675000000003</v>
      </c>
      <c r="J556" s="26">
        <v>81120.2</v>
      </c>
      <c r="K556" s="29"/>
      <c r="L556" s="27">
        <v>81120.2</v>
      </c>
      <c r="M556" s="27">
        <v>80605.776249999995</v>
      </c>
      <c r="N556" s="30" t="s">
        <v>6</v>
      </c>
      <c r="O556" s="28" t="s">
        <v>13</v>
      </c>
      <c r="P556"/>
    </row>
    <row r="557" spans="1:16" x14ac:dyDescent="0.35">
      <c r="A557" s="4">
        <v>554</v>
      </c>
      <c r="B557" s="17">
        <v>46053.675694444442</v>
      </c>
      <c r="C557" s="1">
        <v>81025.94</v>
      </c>
      <c r="D557" s="20">
        <v>81060.23</v>
      </c>
      <c r="E557" s="20">
        <v>80919.91</v>
      </c>
      <c r="F557" s="1">
        <v>80977.210000000006</v>
      </c>
      <c r="G557" s="18">
        <v>252</v>
      </c>
      <c r="I557" s="21">
        <v>46053.675694444442</v>
      </c>
      <c r="J557" s="26"/>
      <c r="K557" s="29"/>
      <c r="L557" s="27">
        <v>81236.62444</v>
      </c>
      <c r="M557" s="27">
        <v>80580.595000000001</v>
      </c>
      <c r="N557" s="30" t="s">
        <v>7</v>
      </c>
      <c r="O557" s="28" t="s">
        <v>13</v>
      </c>
      <c r="P557"/>
    </row>
    <row r="558" spans="1:16" x14ac:dyDescent="0.35">
      <c r="A558" s="4">
        <v>555</v>
      </c>
      <c r="B558" s="17">
        <v>46053.676388888889</v>
      </c>
      <c r="C558" s="1">
        <v>80972.899999999994</v>
      </c>
      <c r="D558" s="20">
        <v>81013.820000000007</v>
      </c>
      <c r="E558" s="20">
        <v>80920.33</v>
      </c>
      <c r="F558" s="1">
        <v>80950.649999999994</v>
      </c>
      <c r="G558" s="18">
        <v>237</v>
      </c>
      <c r="I558" s="21">
        <v>46053.676388888889</v>
      </c>
      <c r="J558" s="26"/>
      <c r="K558" s="29"/>
      <c r="L558" s="27">
        <v>81353.048890000005</v>
      </c>
      <c r="M558" s="27">
        <v>80555.413750000007</v>
      </c>
      <c r="N558" s="30" t="s">
        <v>7</v>
      </c>
      <c r="O558" s="28" t="s">
        <v>13</v>
      </c>
      <c r="P558"/>
    </row>
    <row r="559" spans="1:16" x14ac:dyDescent="0.35">
      <c r="A559" s="4">
        <v>556</v>
      </c>
      <c r="B559" s="17">
        <v>46053.677083333336</v>
      </c>
      <c r="C559" s="1">
        <v>80951.320000000007</v>
      </c>
      <c r="D559" s="20">
        <v>81006.36</v>
      </c>
      <c r="E559" s="20">
        <v>80950.66</v>
      </c>
      <c r="F559" s="1">
        <v>80971.960000000006</v>
      </c>
      <c r="G559" s="18">
        <v>196</v>
      </c>
      <c r="I559" s="21">
        <v>46053.677083333336</v>
      </c>
      <c r="J559" s="26"/>
      <c r="K559" s="29"/>
      <c r="L559" s="27">
        <v>81469.473329999993</v>
      </c>
      <c r="M559" s="27">
        <v>80530.232499999998</v>
      </c>
      <c r="N559" s="30" t="s">
        <v>7</v>
      </c>
      <c r="O559" s="28" t="s">
        <v>13</v>
      </c>
      <c r="P559"/>
    </row>
    <row r="560" spans="1:16" x14ac:dyDescent="0.35">
      <c r="A560" s="4">
        <v>557</v>
      </c>
      <c r="B560" s="17">
        <v>46053.677777777775</v>
      </c>
      <c r="C560" s="1">
        <v>80971.95</v>
      </c>
      <c r="D560" s="20">
        <v>80971.95</v>
      </c>
      <c r="E560" s="20">
        <v>80765.66</v>
      </c>
      <c r="F560" s="1">
        <v>80803.12</v>
      </c>
      <c r="G560" s="18">
        <v>295</v>
      </c>
      <c r="I560" s="21">
        <v>46053.677777777775</v>
      </c>
      <c r="J560" s="26"/>
      <c r="K560" s="29"/>
      <c r="L560" s="27">
        <v>81585.897779999999</v>
      </c>
      <c r="M560" s="27">
        <v>80505.051250000004</v>
      </c>
      <c r="N560" s="30" t="s">
        <v>7</v>
      </c>
      <c r="O560" s="28" t="s">
        <v>13</v>
      </c>
      <c r="P560"/>
    </row>
    <row r="561" spans="1:16" x14ac:dyDescent="0.35">
      <c r="A561" s="4">
        <v>558</v>
      </c>
      <c r="B561" s="17">
        <v>46053.678472222222</v>
      </c>
      <c r="C561" s="1">
        <v>80613.91</v>
      </c>
      <c r="D561" s="20">
        <v>81147.520000000004</v>
      </c>
      <c r="E561" s="20">
        <v>80479.87</v>
      </c>
      <c r="F561" s="1">
        <v>81063.66</v>
      </c>
      <c r="G561" s="18">
        <v>305</v>
      </c>
      <c r="I561" s="21">
        <v>46053.678472222222</v>
      </c>
      <c r="J561" s="26"/>
      <c r="K561" s="29">
        <v>80479.87</v>
      </c>
      <c r="L561" s="27">
        <v>81702.322220000002</v>
      </c>
      <c r="M561" s="27">
        <v>80479.87</v>
      </c>
      <c r="N561" s="30" t="s">
        <v>7</v>
      </c>
      <c r="O561" s="28" t="s">
        <v>13</v>
      </c>
      <c r="P561"/>
    </row>
    <row r="562" spans="1:16" x14ac:dyDescent="0.35">
      <c r="A562" s="4">
        <v>559</v>
      </c>
      <c r="B562" s="17">
        <v>46053.679166666669</v>
      </c>
      <c r="C562" s="1">
        <v>81030.3</v>
      </c>
      <c r="D562" s="20">
        <v>81642.399999999994</v>
      </c>
      <c r="E562" s="20">
        <v>81030.3</v>
      </c>
      <c r="F562" s="1">
        <v>81394.05</v>
      </c>
      <c r="G562" s="18">
        <v>311</v>
      </c>
      <c r="I562" s="21">
        <v>46053.679166666669</v>
      </c>
      <c r="J562" s="26"/>
      <c r="K562" s="29"/>
      <c r="L562" s="27">
        <v>81818.746669999993</v>
      </c>
      <c r="M562" s="27">
        <v>80511.506429999994</v>
      </c>
      <c r="N562" s="30" t="s">
        <v>7</v>
      </c>
      <c r="O562" s="28" t="s">
        <v>8</v>
      </c>
      <c r="P562"/>
    </row>
    <row r="563" spans="1:16" x14ac:dyDescent="0.35">
      <c r="A563" s="4">
        <v>560</v>
      </c>
      <c r="B563" s="17">
        <v>46053.679861111108</v>
      </c>
      <c r="C563" s="1">
        <v>81391.91</v>
      </c>
      <c r="D563" s="20">
        <v>81567.38</v>
      </c>
      <c r="E563" s="20">
        <v>81353.14</v>
      </c>
      <c r="F563" s="1">
        <v>81380.960000000006</v>
      </c>
      <c r="G563" s="18">
        <v>310</v>
      </c>
      <c r="I563" s="21">
        <v>46053.679861111108</v>
      </c>
      <c r="J563" s="26"/>
      <c r="K563" s="29"/>
      <c r="L563" s="27">
        <v>81935.171109999996</v>
      </c>
      <c r="M563" s="27">
        <v>80543.142860000007</v>
      </c>
      <c r="N563" s="30" t="s">
        <v>7</v>
      </c>
      <c r="O563" s="28" t="s">
        <v>8</v>
      </c>
      <c r="P563"/>
    </row>
    <row r="564" spans="1:16" x14ac:dyDescent="0.35">
      <c r="A564" s="4">
        <v>561</v>
      </c>
      <c r="B564" s="17">
        <v>46053.680555555555</v>
      </c>
      <c r="C564" s="1">
        <v>81390.570000000007</v>
      </c>
      <c r="D564" s="20">
        <v>81678.320000000007</v>
      </c>
      <c r="E564" s="20">
        <v>81290.92</v>
      </c>
      <c r="F564" s="1">
        <v>81668</v>
      </c>
      <c r="G564" s="18">
        <v>300</v>
      </c>
      <c r="I564" s="21">
        <v>46053.680555555555</v>
      </c>
      <c r="J564" s="26"/>
      <c r="K564" s="29"/>
      <c r="L564" s="27">
        <v>82051.595560000002</v>
      </c>
      <c r="M564" s="27">
        <v>80574.779290000006</v>
      </c>
      <c r="N564" s="30" t="s">
        <v>7</v>
      </c>
      <c r="O564" s="28" t="s">
        <v>8</v>
      </c>
      <c r="P564"/>
    </row>
    <row r="565" spans="1:16" x14ac:dyDescent="0.35">
      <c r="A565" s="4">
        <v>562</v>
      </c>
      <c r="B565" s="17">
        <v>46053.681250000001</v>
      </c>
      <c r="C565" s="1">
        <v>81708.38</v>
      </c>
      <c r="D565" s="20">
        <v>82168.02</v>
      </c>
      <c r="E565" s="20">
        <v>81593.490000000005</v>
      </c>
      <c r="F565" s="1">
        <v>81770.33</v>
      </c>
      <c r="G565" s="18">
        <v>309</v>
      </c>
      <c r="I565" s="21">
        <v>46053.681250000001</v>
      </c>
      <c r="J565" s="26">
        <v>82168.02</v>
      </c>
      <c r="K565" s="29"/>
      <c r="L565" s="27">
        <v>82168.02</v>
      </c>
      <c r="M565" s="27">
        <v>80606.415710000001</v>
      </c>
      <c r="N565" s="30" t="s">
        <v>7</v>
      </c>
      <c r="O565" s="28" t="s">
        <v>8</v>
      </c>
      <c r="P565"/>
    </row>
    <row r="566" spans="1:16" x14ac:dyDescent="0.35">
      <c r="A566" s="4">
        <v>563</v>
      </c>
      <c r="B566" s="17">
        <v>46053.681944444441</v>
      </c>
      <c r="C566" s="1">
        <v>81768.61</v>
      </c>
      <c r="D566" s="20">
        <v>81768.61</v>
      </c>
      <c r="E566" s="20">
        <v>81637.740000000005</v>
      </c>
      <c r="F566" s="1">
        <v>81699.83</v>
      </c>
      <c r="G566" s="18">
        <v>294</v>
      </c>
      <c r="I566" s="21">
        <v>46053.681944444441</v>
      </c>
      <c r="J566" s="26"/>
      <c r="K566" s="29"/>
      <c r="L566" s="27">
        <v>82068.506670000002</v>
      </c>
      <c r="M566" s="27">
        <v>80638.05214</v>
      </c>
      <c r="N566" s="30" t="s">
        <v>6</v>
      </c>
      <c r="O566" s="28" t="s">
        <v>8</v>
      </c>
      <c r="P566"/>
    </row>
    <row r="567" spans="1:16" x14ac:dyDescent="0.35">
      <c r="A567" s="4">
        <v>564</v>
      </c>
      <c r="B567" s="17">
        <v>46053.682638888888</v>
      </c>
      <c r="C567" s="1">
        <v>81698.98</v>
      </c>
      <c r="D567" s="20">
        <v>81862.100000000006</v>
      </c>
      <c r="E567" s="20">
        <v>81698.98</v>
      </c>
      <c r="F567" s="1">
        <v>81751.460000000006</v>
      </c>
      <c r="G567" s="18">
        <v>309</v>
      </c>
      <c r="I567" s="21">
        <v>46053.682638888888</v>
      </c>
      <c r="J567" s="26"/>
      <c r="K567" s="29"/>
      <c r="L567" s="27">
        <v>81968.993329999998</v>
      </c>
      <c r="M567" s="27">
        <v>80669.688569999998</v>
      </c>
      <c r="N567" s="30" t="s">
        <v>6</v>
      </c>
      <c r="O567" s="28" t="s">
        <v>8</v>
      </c>
      <c r="P567"/>
    </row>
    <row r="568" spans="1:16" x14ac:dyDescent="0.35">
      <c r="A568" s="4">
        <v>565</v>
      </c>
      <c r="B568" s="17">
        <v>46053.683333333334</v>
      </c>
      <c r="C568" s="1">
        <v>81747.600000000006</v>
      </c>
      <c r="D568" s="20">
        <v>81869.48</v>
      </c>
      <c r="E568" s="20">
        <v>81698.990000000005</v>
      </c>
      <c r="F568" s="1">
        <v>81701.27</v>
      </c>
      <c r="G568" s="18">
        <v>283</v>
      </c>
      <c r="I568" s="21">
        <v>46053.683333333334</v>
      </c>
      <c r="J568" s="26">
        <v>81869.48</v>
      </c>
      <c r="K568" s="29"/>
      <c r="L568" s="27">
        <v>81869.48</v>
      </c>
      <c r="M568" s="27">
        <v>80701.324999999997</v>
      </c>
      <c r="N568" s="30" t="s">
        <v>6</v>
      </c>
      <c r="O568" s="28" t="s">
        <v>8</v>
      </c>
      <c r="P568"/>
    </row>
    <row r="569" spans="1:16" x14ac:dyDescent="0.35">
      <c r="A569" s="4">
        <v>566</v>
      </c>
      <c r="B569" s="17">
        <v>46053.684027777781</v>
      </c>
      <c r="C569" s="1">
        <v>81701.279999999999</v>
      </c>
      <c r="D569" s="20">
        <v>81789.16</v>
      </c>
      <c r="E569" s="20">
        <v>81463.199999999997</v>
      </c>
      <c r="F569" s="1">
        <v>81495.240000000005</v>
      </c>
      <c r="G569" s="18">
        <v>274</v>
      </c>
      <c r="I569" s="21">
        <v>46053.684027777781</v>
      </c>
      <c r="J569" s="26"/>
      <c r="K569" s="29"/>
      <c r="L569" s="27">
        <v>81790.460000000006</v>
      </c>
      <c r="M569" s="27">
        <v>80732.961429999996</v>
      </c>
      <c r="N569" s="30" t="s">
        <v>6</v>
      </c>
      <c r="O569" s="28" t="s">
        <v>8</v>
      </c>
      <c r="P569"/>
    </row>
    <row r="570" spans="1:16" x14ac:dyDescent="0.35">
      <c r="A570" s="4">
        <v>567</v>
      </c>
      <c r="B570" s="17">
        <v>46053.68472222222</v>
      </c>
      <c r="C570" s="1">
        <v>81489.89</v>
      </c>
      <c r="D570" s="20">
        <v>81505.38</v>
      </c>
      <c r="E570" s="20">
        <v>81336.11</v>
      </c>
      <c r="F570" s="1">
        <v>81418.69</v>
      </c>
      <c r="G570" s="18">
        <v>287</v>
      </c>
      <c r="I570" s="21">
        <v>46053.68472222222</v>
      </c>
      <c r="J570" s="26"/>
      <c r="K570" s="29"/>
      <c r="L570" s="27">
        <v>81711.44</v>
      </c>
      <c r="M570" s="27">
        <v>80764.597859999994</v>
      </c>
      <c r="N570" s="30" t="s">
        <v>6</v>
      </c>
      <c r="O570" s="28" t="s">
        <v>8</v>
      </c>
      <c r="P570"/>
    </row>
    <row r="571" spans="1:16" x14ac:dyDescent="0.35">
      <c r="A571" s="4">
        <v>568</v>
      </c>
      <c r="B571" s="17">
        <v>46053.685416666667</v>
      </c>
      <c r="C571" s="1">
        <v>81419.210000000006</v>
      </c>
      <c r="D571" s="20">
        <v>81419.210000000006</v>
      </c>
      <c r="E571" s="20">
        <v>81167.820000000007</v>
      </c>
      <c r="F571" s="1">
        <v>81220.58</v>
      </c>
      <c r="G571" s="18">
        <v>301</v>
      </c>
      <c r="I571" s="21">
        <v>46053.685416666667</v>
      </c>
      <c r="J571" s="26"/>
      <c r="K571" s="29"/>
      <c r="L571" s="27">
        <v>81632.42</v>
      </c>
      <c r="M571" s="27">
        <v>80796.234289999993</v>
      </c>
      <c r="N571" s="30" t="s">
        <v>6</v>
      </c>
      <c r="O571" s="28" t="s">
        <v>8</v>
      </c>
      <c r="P571"/>
    </row>
    <row r="572" spans="1:16" x14ac:dyDescent="0.35">
      <c r="A572" s="4">
        <v>569</v>
      </c>
      <c r="B572" s="17">
        <v>46053.686111111114</v>
      </c>
      <c r="C572" s="1">
        <v>81222.210000000006</v>
      </c>
      <c r="D572" s="20">
        <v>81238.600000000006</v>
      </c>
      <c r="E572" s="20">
        <v>81037.53</v>
      </c>
      <c r="F572" s="1">
        <v>81093.81</v>
      </c>
      <c r="G572" s="18">
        <v>295</v>
      </c>
      <c r="I572" s="21">
        <v>46053.686111111114</v>
      </c>
      <c r="J572" s="26"/>
      <c r="K572" s="29"/>
      <c r="L572" s="27">
        <v>81553.399999999994</v>
      </c>
      <c r="M572" s="27">
        <v>80827.870710000003</v>
      </c>
      <c r="N572" s="30" t="s">
        <v>6</v>
      </c>
      <c r="O572" s="28" t="s">
        <v>8</v>
      </c>
      <c r="P572"/>
    </row>
    <row r="573" spans="1:16" x14ac:dyDescent="0.35">
      <c r="A573" s="4">
        <v>570</v>
      </c>
      <c r="B573" s="17">
        <v>46053.686805555553</v>
      </c>
      <c r="C573" s="1">
        <v>81111.429999999993</v>
      </c>
      <c r="D573" s="20">
        <v>81153.61</v>
      </c>
      <c r="E573" s="20">
        <v>81055.61</v>
      </c>
      <c r="F573" s="1">
        <v>81064.52</v>
      </c>
      <c r="G573" s="18">
        <v>286</v>
      </c>
      <c r="I573" s="21">
        <v>46053.686805555553</v>
      </c>
      <c r="J573" s="26"/>
      <c r="K573" s="29"/>
      <c r="L573" s="27">
        <v>81474.38</v>
      </c>
      <c r="M573" s="27">
        <v>80859.507140000002</v>
      </c>
      <c r="N573" s="30" t="s">
        <v>6</v>
      </c>
      <c r="O573" s="28" t="s">
        <v>8</v>
      </c>
      <c r="P573"/>
    </row>
    <row r="574" spans="1:16" x14ac:dyDescent="0.35">
      <c r="A574" s="4">
        <v>571</v>
      </c>
      <c r="B574" s="17">
        <v>46053.6875</v>
      </c>
      <c r="C574" s="1">
        <v>81068.429999999993</v>
      </c>
      <c r="D574" s="20">
        <v>81147.58</v>
      </c>
      <c r="E574" s="20">
        <v>80999.850000000006</v>
      </c>
      <c r="F574" s="1">
        <v>81049.600000000006</v>
      </c>
      <c r="G574" s="18">
        <v>291</v>
      </c>
      <c r="I574" s="21">
        <v>46053.6875</v>
      </c>
      <c r="J574" s="26"/>
      <c r="K574" s="29"/>
      <c r="L574" s="27">
        <v>81395.360000000001</v>
      </c>
      <c r="M574" s="27">
        <v>80891.14357</v>
      </c>
      <c r="N574" s="30" t="s">
        <v>6</v>
      </c>
      <c r="O574" s="28" t="s">
        <v>8</v>
      </c>
      <c r="P574"/>
    </row>
    <row r="575" spans="1:16" x14ac:dyDescent="0.35">
      <c r="A575" s="4">
        <v>572</v>
      </c>
      <c r="B575" s="17">
        <v>46053.688194444447</v>
      </c>
      <c r="C575" s="1">
        <v>81051.429999999993</v>
      </c>
      <c r="D575" s="20">
        <v>81160</v>
      </c>
      <c r="E575" s="20">
        <v>80922.78</v>
      </c>
      <c r="F575" s="1">
        <v>81160</v>
      </c>
      <c r="G575" s="18">
        <v>290</v>
      </c>
      <c r="I575" s="21">
        <v>46053.688194444447</v>
      </c>
      <c r="J575" s="26"/>
      <c r="K575" s="29">
        <v>80922.78</v>
      </c>
      <c r="L575" s="27">
        <v>81316.34</v>
      </c>
      <c r="M575" s="27">
        <v>80922.78</v>
      </c>
      <c r="N575" s="30" t="s">
        <v>6</v>
      </c>
      <c r="O575" s="28" t="s">
        <v>8</v>
      </c>
      <c r="P575"/>
    </row>
    <row r="576" spans="1:16" x14ac:dyDescent="0.35">
      <c r="A576" s="4">
        <v>573</v>
      </c>
      <c r="B576" s="17">
        <v>46053.688888888886</v>
      </c>
      <c r="C576" s="1">
        <v>81182.460000000006</v>
      </c>
      <c r="D576" s="20">
        <v>81237.320000000007</v>
      </c>
      <c r="E576" s="20">
        <v>81091.91</v>
      </c>
      <c r="F576" s="1">
        <v>81124.639999999999</v>
      </c>
      <c r="G576" s="18">
        <v>283</v>
      </c>
      <c r="I576" s="21">
        <v>46053.688888888886</v>
      </c>
      <c r="J576" s="26">
        <v>81237.320000000007</v>
      </c>
      <c r="K576" s="29"/>
      <c r="L576" s="27">
        <v>81237.320000000007</v>
      </c>
      <c r="M576" s="27">
        <v>80917.095560000002</v>
      </c>
      <c r="N576" s="30" t="s">
        <v>6</v>
      </c>
      <c r="O576" s="28" t="s">
        <v>13</v>
      </c>
      <c r="P576"/>
    </row>
    <row r="577" spans="1:16" x14ac:dyDescent="0.35">
      <c r="A577" s="4">
        <v>574</v>
      </c>
      <c r="B577" s="17">
        <v>46053.689583333333</v>
      </c>
      <c r="C577" s="1">
        <v>81117.070000000007</v>
      </c>
      <c r="D577" s="20">
        <v>81212.83</v>
      </c>
      <c r="E577" s="20">
        <v>81100.259999999995</v>
      </c>
      <c r="F577" s="1">
        <v>81192.710000000006</v>
      </c>
      <c r="G577" s="18">
        <v>267</v>
      </c>
      <c r="I577" s="21">
        <v>46053.689583333333</v>
      </c>
      <c r="J577" s="26"/>
      <c r="K577" s="29"/>
      <c r="L577" s="27">
        <v>81226.080000000002</v>
      </c>
      <c r="M577" s="27">
        <v>80911.411110000001</v>
      </c>
      <c r="N577" s="30" t="s">
        <v>6</v>
      </c>
      <c r="O577" s="28" t="s">
        <v>13</v>
      </c>
      <c r="P577"/>
    </row>
    <row r="578" spans="1:16" x14ac:dyDescent="0.35">
      <c r="A578" s="4">
        <v>575</v>
      </c>
      <c r="B578" s="17">
        <v>46053.69027777778</v>
      </c>
      <c r="C578" s="1">
        <v>81186.740000000005</v>
      </c>
      <c r="D578" s="20">
        <v>81223.14</v>
      </c>
      <c r="E578" s="20">
        <v>81099.009999999995</v>
      </c>
      <c r="F578" s="1">
        <v>81132.929999999993</v>
      </c>
      <c r="G578" s="18">
        <v>273</v>
      </c>
      <c r="I578" s="21">
        <v>46053.69027777778</v>
      </c>
      <c r="J578" s="26"/>
      <c r="K578" s="29"/>
      <c r="L578" s="27">
        <v>81214.84</v>
      </c>
      <c r="M578" s="27">
        <v>80905.726670000004</v>
      </c>
      <c r="N578" s="30" t="s">
        <v>6</v>
      </c>
      <c r="O578" s="28" t="s">
        <v>13</v>
      </c>
      <c r="P578"/>
    </row>
    <row r="579" spans="1:16" x14ac:dyDescent="0.35">
      <c r="A579" s="4">
        <v>576</v>
      </c>
      <c r="B579" s="17">
        <v>46053.690972222219</v>
      </c>
      <c r="C579" s="1">
        <v>81128.98</v>
      </c>
      <c r="D579" s="20">
        <v>81174.86</v>
      </c>
      <c r="E579" s="20">
        <v>81058.3</v>
      </c>
      <c r="F579" s="1">
        <v>81063.94</v>
      </c>
      <c r="G579" s="18">
        <v>254</v>
      </c>
      <c r="I579" s="21">
        <v>46053.690972222219</v>
      </c>
      <c r="J579" s="26"/>
      <c r="K579" s="29"/>
      <c r="L579" s="27">
        <v>81203.600000000006</v>
      </c>
      <c r="M579" s="27">
        <v>80900.042220000003</v>
      </c>
      <c r="N579" s="30" t="s">
        <v>6</v>
      </c>
      <c r="O579" s="28" t="s">
        <v>13</v>
      </c>
      <c r="P579"/>
    </row>
    <row r="580" spans="1:16" x14ac:dyDescent="0.35">
      <c r="A580" s="4">
        <v>577</v>
      </c>
      <c r="B580" s="17">
        <v>46053.691666666666</v>
      </c>
      <c r="C580" s="1">
        <v>81062.509999999995</v>
      </c>
      <c r="D580" s="20">
        <v>81087.509999999995</v>
      </c>
      <c r="E580" s="20">
        <v>80998.53</v>
      </c>
      <c r="F580" s="1">
        <v>81037.490000000005</v>
      </c>
      <c r="G580" s="18">
        <v>281</v>
      </c>
      <c r="I580" s="21">
        <v>46053.691666666666</v>
      </c>
      <c r="J580" s="26"/>
      <c r="K580" s="29"/>
      <c r="L580" s="27">
        <v>81192.36</v>
      </c>
      <c r="M580" s="27">
        <v>80894.357780000006</v>
      </c>
      <c r="N580" s="30" t="s">
        <v>6</v>
      </c>
      <c r="O580" s="28" t="s">
        <v>13</v>
      </c>
      <c r="P580"/>
    </row>
    <row r="581" spans="1:16" x14ac:dyDescent="0.35">
      <c r="A581" s="4">
        <v>578</v>
      </c>
      <c r="B581" s="17">
        <v>46053.692361111112</v>
      </c>
      <c r="C581" s="1">
        <v>81037.350000000006</v>
      </c>
      <c r="D581" s="20">
        <v>81181.119999999995</v>
      </c>
      <c r="E581" s="20">
        <v>81016.899999999994</v>
      </c>
      <c r="F581" s="1">
        <v>81090.38</v>
      </c>
      <c r="G581" s="18">
        <v>260</v>
      </c>
      <c r="I581" s="21">
        <v>46053.692361111112</v>
      </c>
      <c r="J581" s="26">
        <v>81181.119999999995</v>
      </c>
      <c r="K581" s="29"/>
      <c r="L581" s="27">
        <v>81181.119999999995</v>
      </c>
      <c r="M581" s="27">
        <v>80888.673330000005</v>
      </c>
      <c r="N581" s="30" t="s">
        <v>6</v>
      </c>
      <c r="O581" s="28" t="s">
        <v>13</v>
      </c>
      <c r="P581"/>
    </row>
    <row r="582" spans="1:16" x14ac:dyDescent="0.35">
      <c r="A582" s="4">
        <v>579</v>
      </c>
      <c r="B582" s="17">
        <v>46053.693055555559</v>
      </c>
      <c r="C582" s="1">
        <v>81082.41</v>
      </c>
      <c r="D582" s="20">
        <v>81095.69</v>
      </c>
      <c r="E582" s="20">
        <v>80928.88</v>
      </c>
      <c r="F582" s="1">
        <v>80967</v>
      </c>
      <c r="G582" s="18">
        <v>259</v>
      </c>
      <c r="I582" s="21">
        <v>46053.693055555559</v>
      </c>
      <c r="J582" s="26"/>
      <c r="K582" s="29"/>
      <c r="L582" s="27">
        <v>81154.990000000005</v>
      </c>
      <c r="M582" s="27">
        <v>80882.988889999993</v>
      </c>
      <c r="N582" s="30" t="s">
        <v>6</v>
      </c>
      <c r="O582" s="28" t="s">
        <v>13</v>
      </c>
      <c r="P582"/>
    </row>
    <row r="583" spans="1:16" x14ac:dyDescent="0.35">
      <c r="A583" s="4">
        <v>580</v>
      </c>
      <c r="B583" s="17">
        <v>46053.693749999999</v>
      </c>
      <c r="C583" s="1">
        <v>80968.11</v>
      </c>
      <c r="D583" s="20">
        <v>81002.95</v>
      </c>
      <c r="E583" s="20">
        <v>80911.820000000007</v>
      </c>
      <c r="F583" s="1">
        <v>80986.73</v>
      </c>
      <c r="G583" s="18">
        <v>273</v>
      </c>
      <c r="I583" s="21">
        <v>46053.693749999999</v>
      </c>
      <c r="J583" s="26"/>
      <c r="K583" s="29"/>
      <c r="L583" s="27">
        <v>81128.86</v>
      </c>
      <c r="M583" s="27">
        <v>80877.304440000007</v>
      </c>
      <c r="N583" s="30" t="s">
        <v>6</v>
      </c>
      <c r="O583" s="28" t="s">
        <v>13</v>
      </c>
      <c r="P583"/>
    </row>
    <row r="584" spans="1:16" x14ac:dyDescent="0.35">
      <c r="A584" s="4">
        <v>581</v>
      </c>
      <c r="B584" s="17">
        <v>46053.694444444445</v>
      </c>
      <c r="C584" s="1">
        <v>80987.23</v>
      </c>
      <c r="D584" s="20">
        <v>81009.38</v>
      </c>
      <c r="E584" s="20">
        <v>80871.62</v>
      </c>
      <c r="F584" s="1">
        <v>80907.14</v>
      </c>
      <c r="G584" s="18">
        <v>278</v>
      </c>
      <c r="I584" s="21">
        <v>46053.694444444445</v>
      </c>
      <c r="J584" s="26"/>
      <c r="K584" s="29">
        <v>80871.62</v>
      </c>
      <c r="L584" s="27">
        <v>81102.73</v>
      </c>
      <c r="M584" s="27">
        <v>80871.62</v>
      </c>
      <c r="N584" s="30" t="s">
        <v>6</v>
      </c>
      <c r="O584" s="28" t="s">
        <v>13</v>
      </c>
      <c r="P584"/>
    </row>
    <row r="585" spans="1:16" x14ac:dyDescent="0.35">
      <c r="A585" s="4">
        <v>582</v>
      </c>
      <c r="B585" s="17">
        <v>46053.695138888892</v>
      </c>
      <c r="C585" s="1">
        <v>80908.84</v>
      </c>
      <c r="D585" s="20">
        <v>80960.42</v>
      </c>
      <c r="E585" s="20">
        <v>80895.28</v>
      </c>
      <c r="F585" s="1">
        <v>80933.91</v>
      </c>
      <c r="G585" s="18">
        <v>228</v>
      </c>
      <c r="I585" s="21">
        <v>46053.695138888892</v>
      </c>
      <c r="J585" s="26"/>
      <c r="K585" s="29"/>
      <c r="L585" s="27">
        <v>81076.600000000006</v>
      </c>
      <c r="M585" s="27">
        <v>80876.553329999995</v>
      </c>
      <c r="N585" s="30" t="s">
        <v>6</v>
      </c>
      <c r="O585" s="28" t="s">
        <v>8</v>
      </c>
      <c r="P585"/>
    </row>
    <row r="586" spans="1:16" x14ac:dyDescent="0.35">
      <c r="A586" s="4">
        <v>583</v>
      </c>
      <c r="B586" s="17">
        <v>46053.695833333331</v>
      </c>
      <c r="C586" s="1">
        <v>80933.91</v>
      </c>
      <c r="D586" s="20">
        <v>81002.259999999995</v>
      </c>
      <c r="E586" s="20">
        <v>80933.899999999994</v>
      </c>
      <c r="F586" s="1">
        <v>81002.11</v>
      </c>
      <c r="G586" s="18">
        <v>226</v>
      </c>
      <c r="I586" s="21">
        <v>46053.695833333331</v>
      </c>
      <c r="J586" s="26"/>
      <c r="K586" s="29"/>
      <c r="L586" s="27">
        <v>81050.47</v>
      </c>
      <c r="M586" s="27">
        <v>80881.486669999998</v>
      </c>
      <c r="N586" s="30" t="s">
        <v>6</v>
      </c>
      <c r="O586" s="28" t="s">
        <v>8</v>
      </c>
      <c r="P586"/>
    </row>
    <row r="587" spans="1:16" x14ac:dyDescent="0.35">
      <c r="A587" s="4">
        <v>584</v>
      </c>
      <c r="B587" s="17">
        <v>46053.696527777778</v>
      </c>
      <c r="C587" s="1">
        <v>81002.11</v>
      </c>
      <c r="D587" s="20">
        <v>81024.34</v>
      </c>
      <c r="E587" s="20">
        <v>80886.42</v>
      </c>
      <c r="F587" s="1">
        <v>80915.210000000006</v>
      </c>
      <c r="G587" s="18">
        <v>238</v>
      </c>
      <c r="I587" s="21">
        <v>46053.696527777778</v>
      </c>
      <c r="J587" s="26">
        <v>81024.34</v>
      </c>
      <c r="K587" s="29">
        <v>80886.42</v>
      </c>
      <c r="L587" s="27">
        <v>81024.34</v>
      </c>
      <c r="M587" s="27">
        <v>80886.42</v>
      </c>
      <c r="N587" s="30" t="s">
        <v>6</v>
      </c>
      <c r="O587" s="28" t="s">
        <v>8</v>
      </c>
      <c r="P587"/>
    </row>
    <row r="588" spans="1:16" x14ac:dyDescent="0.35">
      <c r="A588" s="4">
        <v>585</v>
      </c>
      <c r="B588" s="17">
        <v>46053.697222222225</v>
      </c>
      <c r="C588" s="1">
        <v>80919.839999999997</v>
      </c>
      <c r="D588" s="20">
        <v>80999.33</v>
      </c>
      <c r="E588" s="20">
        <v>80909.759999999995</v>
      </c>
      <c r="F588" s="1">
        <v>80937.539999999994</v>
      </c>
      <c r="G588" s="18">
        <v>255</v>
      </c>
      <c r="I588" s="21">
        <v>46053.697222222225</v>
      </c>
      <c r="J588" s="26"/>
      <c r="K588" s="29"/>
      <c r="L588" s="27">
        <v>80969.136920000004</v>
      </c>
      <c r="M588" s="27">
        <v>80708.692500000005</v>
      </c>
      <c r="N588" s="30" t="s">
        <v>6</v>
      </c>
      <c r="O588" s="28" t="s">
        <v>13</v>
      </c>
      <c r="P588"/>
    </row>
    <row r="589" spans="1:16" x14ac:dyDescent="0.35">
      <c r="A589" s="4">
        <v>586</v>
      </c>
      <c r="B589" s="17">
        <v>46053.697916666664</v>
      </c>
      <c r="C589" s="1">
        <v>80937.509999999995</v>
      </c>
      <c r="D589" s="20">
        <v>80994.789999999994</v>
      </c>
      <c r="E589" s="20">
        <v>80910.64</v>
      </c>
      <c r="F589" s="1">
        <v>80963.31</v>
      </c>
      <c r="G589" s="18">
        <v>221</v>
      </c>
      <c r="I589" s="21">
        <v>46053.697916666664</v>
      </c>
      <c r="J589" s="26"/>
      <c r="K589" s="29"/>
      <c r="L589" s="27">
        <v>80913.933850000001</v>
      </c>
      <c r="M589" s="27">
        <v>80530.964999999997</v>
      </c>
      <c r="N589" s="30" t="s">
        <v>6</v>
      </c>
      <c r="O589" s="28" t="s">
        <v>13</v>
      </c>
      <c r="P589"/>
    </row>
    <row r="590" spans="1:16" x14ac:dyDescent="0.35">
      <c r="A590" s="4">
        <v>587</v>
      </c>
      <c r="B590" s="17">
        <v>46053.698611111111</v>
      </c>
      <c r="C590" s="1">
        <v>80963.81</v>
      </c>
      <c r="D590" s="20">
        <v>80963.81</v>
      </c>
      <c r="E590" s="20">
        <v>80781.710000000006</v>
      </c>
      <c r="F590" s="1">
        <v>80788.3</v>
      </c>
      <c r="G590" s="18">
        <v>280</v>
      </c>
      <c r="I590" s="21">
        <v>46053.698611111111</v>
      </c>
      <c r="J590" s="26"/>
      <c r="K590" s="29"/>
      <c r="L590" s="27">
        <v>80858.730769999995</v>
      </c>
      <c r="M590" s="27">
        <v>80353.237500000003</v>
      </c>
      <c r="N590" s="30" t="s">
        <v>6</v>
      </c>
      <c r="O590" s="28" t="s">
        <v>13</v>
      </c>
      <c r="P590"/>
    </row>
    <row r="591" spans="1:16" x14ac:dyDescent="0.35">
      <c r="A591" s="4">
        <v>588</v>
      </c>
      <c r="B591" s="17">
        <v>46053.699305555558</v>
      </c>
      <c r="C591" s="1">
        <v>80745.06</v>
      </c>
      <c r="D591" s="20">
        <v>80766.14</v>
      </c>
      <c r="E591" s="20">
        <v>80175.509999999995</v>
      </c>
      <c r="F591" s="1">
        <v>80273.509999999995</v>
      </c>
      <c r="G591" s="18">
        <v>310</v>
      </c>
      <c r="I591" s="21">
        <v>46053.699305555558</v>
      </c>
      <c r="J591" s="26"/>
      <c r="K591" s="29">
        <v>80175.509999999995</v>
      </c>
      <c r="L591" s="27">
        <v>80803.527690000003</v>
      </c>
      <c r="M591" s="27">
        <v>80175.509999999995</v>
      </c>
      <c r="N591" s="30" t="s">
        <v>6</v>
      </c>
      <c r="O591" s="28" t="s">
        <v>13</v>
      </c>
      <c r="P591"/>
    </row>
    <row r="592" spans="1:16" x14ac:dyDescent="0.35">
      <c r="A592" s="4">
        <v>589</v>
      </c>
      <c r="B592" s="17">
        <v>46053.7</v>
      </c>
      <c r="C592" s="1">
        <v>80243.62</v>
      </c>
      <c r="D592" s="20">
        <v>80641.02</v>
      </c>
      <c r="E592" s="20">
        <v>80203.320000000007</v>
      </c>
      <c r="F592" s="1">
        <v>80422.509999999995</v>
      </c>
      <c r="G592" s="18">
        <v>311</v>
      </c>
      <c r="I592" s="21">
        <v>46053.7</v>
      </c>
      <c r="J592" s="26"/>
      <c r="K592" s="29"/>
      <c r="L592" s="27">
        <v>80748.324619999999</v>
      </c>
      <c r="M592" s="27">
        <v>80154.115000000005</v>
      </c>
      <c r="N592" s="30" t="s">
        <v>6</v>
      </c>
      <c r="O592" s="28" t="s">
        <v>13</v>
      </c>
      <c r="P592"/>
    </row>
    <row r="593" spans="1:16" x14ac:dyDescent="0.35">
      <c r="A593" s="4">
        <v>590</v>
      </c>
      <c r="B593" s="17">
        <v>46053.700694444444</v>
      </c>
      <c r="C593" s="1">
        <v>80429.710000000006</v>
      </c>
      <c r="D593" s="20">
        <v>80521.83</v>
      </c>
      <c r="E593" s="20">
        <v>80402.490000000005</v>
      </c>
      <c r="F593" s="1">
        <v>80414</v>
      </c>
      <c r="G593" s="18">
        <v>293</v>
      </c>
      <c r="I593" s="21">
        <v>46053.700694444444</v>
      </c>
      <c r="J593" s="26"/>
      <c r="K593" s="29"/>
      <c r="L593" s="27">
        <v>80693.121539999993</v>
      </c>
      <c r="M593" s="27">
        <v>80132.72</v>
      </c>
      <c r="N593" s="30" t="s">
        <v>6</v>
      </c>
      <c r="O593" s="28" t="s">
        <v>13</v>
      </c>
      <c r="P593"/>
    </row>
    <row r="594" spans="1:16" x14ac:dyDescent="0.35">
      <c r="A594" s="4">
        <v>591</v>
      </c>
      <c r="B594" s="17">
        <v>46053.701388888891</v>
      </c>
      <c r="C594" s="1">
        <v>80414</v>
      </c>
      <c r="D594" s="20">
        <v>80451.460000000006</v>
      </c>
      <c r="E594" s="20">
        <v>80302.41</v>
      </c>
      <c r="F594" s="1">
        <v>80352.429999999993</v>
      </c>
      <c r="G594" s="18">
        <v>294</v>
      </c>
      <c r="I594" s="21">
        <v>46053.701388888891</v>
      </c>
      <c r="J594" s="26"/>
      <c r="K594" s="29"/>
      <c r="L594" s="27">
        <v>80637.918460000001</v>
      </c>
      <c r="M594" s="27">
        <v>80111.324999999997</v>
      </c>
      <c r="N594" s="30" t="s">
        <v>6</v>
      </c>
      <c r="O594" s="28" t="s">
        <v>13</v>
      </c>
      <c r="P594"/>
    </row>
    <row r="595" spans="1:16" x14ac:dyDescent="0.35">
      <c r="A595" s="4">
        <v>592</v>
      </c>
      <c r="B595" s="17">
        <v>46053.70208333333</v>
      </c>
      <c r="C595" s="1">
        <v>80354.880000000005</v>
      </c>
      <c r="D595" s="20">
        <v>80474.45</v>
      </c>
      <c r="E595" s="20">
        <v>80167.259999999995</v>
      </c>
      <c r="F595" s="1">
        <v>80177.100000000006</v>
      </c>
      <c r="G595" s="18">
        <v>298</v>
      </c>
      <c r="I595" s="21">
        <v>46053.70208333333</v>
      </c>
      <c r="J595" s="26"/>
      <c r="K595" s="29"/>
      <c r="L595" s="27">
        <v>80582.715379999994</v>
      </c>
      <c r="M595" s="27">
        <v>80089.929999999993</v>
      </c>
      <c r="N595" s="30" t="s">
        <v>6</v>
      </c>
      <c r="O595" s="28" t="s">
        <v>13</v>
      </c>
      <c r="P595"/>
    </row>
    <row r="596" spans="1:16" x14ac:dyDescent="0.35">
      <c r="A596" s="4">
        <v>593</v>
      </c>
      <c r="B596" s="17">
        <v>46053.702777777777</v>
      </c>
      <c r="C596" s="1">
        <v>80176.62</v>
      </c>
      <c r="D596" s="20">
        <v>80373.509999999995</v>
      </c>
      <c r="E596" s="20">
        <v>80176.62</v>
      </c>
      <c r="F596" s="1">
        <v>80310.740000000005</v>
      </c>
      <c r="G596" s="18">
        <v>295</v>
      </c>
      <c r="I596" s="21">
        <v>46053.702777777777</v>
      </c>
      <c r="J596" s="26"/>
      <c r="K596" s="29"/>
      <c r="L596" s="27">
        <v>80527.512310000006</v>
      </c>
      <c r="M596" s="27">
        <v>80068.535000000003</v>
      </c>
      <c r="N596" s="30" t="s">
        <v>6</v>
      </c>
      <c r="O596" s="28" t="s">
        <v>13</v>
      </c>
      <c r="P596"/>
    </row>
    <row r="597" spans="1:16" x14ac:dyDescent="0.35">
      <c r="A597" s="4">
        <v>594</v>
      </c>
      <c r="B597" s="17">
        <v>46053.703472222223</v>
      </c>
      <c r="C597" s="1">
        <v>80304.179999999993</v>
      </c>
      <c r="D597" s="20">
        <v>80304.179999999993</v>
      </c>
      <c r="E597" s="20">
        <v>80047.14</v>
      </c>
      <c r="F597" s="1">
        <v>80088.009999999995</v>
      </c>
      <c r="G597" s="18">
        <v>296</v>
      </c>
      <c r="I597" s="21">
        <v>46053.703472222223</v>
      </c>
      <c r="J597" s="26"/>
      <c r="K597" s="29">
        <v>80047.14</v>
      </c>
      <c r="L597" s="27">
        <v>80472.309229999999</v>
      </c>
      <c r="M597" s="27">
        <v>80047.14</v>
      </c>
      <c r="N597" s="30" t="s">
        <v>6</v>
      </c>
      <c r="O597" s="28" t="s">
        <v>13</v>
      </c>
      <c r="P597"/>
    </row>
    <row r="598" spans="1:16" x14ac:dyDescent="0.35">
      <c r="A598" s="4">
        <v>595</v>
      </c>
      <c r="B598" s="17">
        <v>46053.70416666667</v>
      </c>
      <c r="C598" s="1">
        <v>80060.66</v>
      </c>
      <c r="D598" s="20">
        <v>80228.89</v>
      </c>
      <c r="E598" s="20">
        <v>80060.66</v>
      </c>
      <c r="F598" s="1">
        <v>80109.100000000006</v>
      </c>
      <c r="G598" s="18">
        <v>303</v>
      </c>
      <c r="I598" s="21">
        <v>46053.70416666667</v>
      </c>
      <c r="J598" s="26"/>
      <c r="K598" s="29"/>
      <c r="L598" s="27">
        <v>80417.106150000007</v>
      </c>
      <c r="M598" s="27">
        <v>80046.115000000005</v>
      </c>
      <c r="N598" s="30" t="s">
        <v>6</v>
      </c>
      <c r="O598" s="28" t="s">
        <v>13</v>
      </c>
      <c r="P598"/>
    </row>
    <row r="599" spans="1:16" x14ac:dyDescent="0.35">
      <c r="A599" s="4">
        <v>596</v>
      </c>
      <c r="B599" s="17">
        <v>46053.704861111109</v>
      </c>
      <c r="C599" s="1">
        <v>80109.11</v>
      </c>
      <c r="D599" s="20">
        <v>80254.460000000006</v>
      </c>
      <c r="E599" s="20">
        <v>80097.929999999993</v>
      </c>
      <c r="F599" s="1">
        <v>80120.59</v>
      </c>
      <c r="G599" s="18">
        <v>291</v>
      </c>
      <c r="I599" s="21">
        <v>46053.704861111109</v>
      </c>
      <c r="J599" s="26"/>
      <c r="K599" s="29"/>
      <c r="L599" s="27">
        <v>80361.903080000004</v>
      </c>
      <c r="M599" s="27">
        <v>80045.09</v>
      </c>
      <c r="N599" s="30" t="s">
        <v>6</v>
      </c>
      <c r="O599" s="28" t="s">
        <v>13</v>
      </c>
      <c r="P599"/>
    </row>
    <row r="600" spans="1:16" x14ac:dyDescent="0.35">
      <c r="A600" s="4">
        <v>597</v>
      </c>
      <c r="B600" s="17">
        <v>46053.705555555556</v>
      </c>
      <c r="C600" s="1">
        <v>80120.479999999996</v>
      </c>
      <c r="D600" s="20">
        <v>80306.7</v>
      </c>
      <c r="E600" s="20">
        <v>80120.479999999996</v>
      </c>
      <c r="F600" s="1">
        <v>80200.710000000006</v>
      </c>
      <c r="G600" s="18">
        <v>296</v>
      </c>
      <c r="I600" s="21">
        <v>46053.705555555556</v>
      </c>
      <c r="J600" s="26">
        <v>80306.7</v>
      </c>
      <c r="K600" s="29"/>
      <c r="L600" s="27">
        <v>80306.7</v>
      </c>
      <c r="M600" s="27">
        <v>80044.065000000002</v>
      </c>
      <c r="N600" s="30" t="s">
        <v>6</v>
      </c>
      <c r="O600" s="28" t="s">
        <v>13</v>
      </c>
      <c r="P600"/>
    </row>
    <row r="601" spans="1:16" x14ac:dyDescent="0.35">
      <c r="A601" s="4">
        <v>598</v>
      </c>
      <c r="B601" s="17">
        <v>46053.706250000003</v>
      </c>
      <c r="C601" s="1">
        <v>80204.78</v>
      </c>
      <c r="D601" s="20">
        <v>80237.429999999993</v>
      </c>
      <c r="E601" s="20">
        <v>80043.039999999994</v>
      </c>
      <c r="F601" s="1">
        <v>80117.600000000006</v>
      </c>
      <c r="G601" s="18">
        <v>287</v>
      </c>
      <c r="I601" s="21">
        <v>46053.706250000003</v>
      </c>
      <c r="J601" s="26"/>
      <c r="K601" s="29">
        <v>80043.039999999994</v>
      </c>
      <c r="L601" s="27">
        <v>80333.297139999995</v>
      </c>
      <c r="M601" s="27">
        <v>80043.039999999994</v>
      </c>
      <c r="N601" s="30" t="s">
        <v>7</v>
      </c>
      <c r="O601" s="28" t="s">
        <v>13</v>
      </c>
      <c r="P601"/>
    </row>
    <row r="602" spans="1:16" x14ac:dyDescent="0.35">
      <c r="A602" s="4">
        <v>599</v>
      </c>
      <c r="B602" s="17">
        <v>46053.706944444442</v>
      </c>
      <c r="C602" s="1">
        <v>80144.899999999994</v>
      </c>
      <c r="D602" s="20">
        <v>80276.23</v>
      </c>
      <c r="E602" s="20">
        <v>80123.53</v>
      </c>
      <c r="F602" s="1">
        <v>80225.009999999995</v>
      </c>
      <c r="G602" s="18">
        <v>289</v>
      </c>
      <c r="I602" s="21">
        <v>46053.706944444442</v>
      </c>
      <c r="J602" s="26"/>
      <c r="K602" s="29"/>
      <c r="L602" s="27">
        <v>80359.894289999997</v>
      </c>
      <c r="M602" s="27">
        <v>79913.091329999996</v>
      </c>
      <c r="N602" s="30" t="s">
        <v>7</v>
      </c>
      <c r="O602" s="28" t="s">
        <v>13</v>
      </c>
      <c r="P602"/>
    </row>
    <row r="603" spans="1:16" x14ac:dyDescent="0.35">
      <c r="A603" s="4">
        <v>600</v>
      </c>
      <c r="B603" s="17">
        <v>46053.707638888889</v>
      </c>
      <c r="C603" s="1">
        <v>80225.009999999995</v>
      </c>
      <c r="D603" s="20">
        <v>80384.12</v>
      </c>
      <c r="E603" s="20">
        <v>80224.899999999994</v>
      </c>
      <c r="F603" s="1">
        <v>80311.13</v>
      </c>
      <c r="G603" s="18">
        <v>282</v>
      </c>
      <c r="I603" s="21">
        <v>46053.707638888889</v>
      </c>
      <c r="J603" s="26"/>
      <c r="K603" s="29"/>
      <c r="L603" s="27">
        <v>80386.491429999995</v>
      </c>
      <c r="M603" s="27">
        <v>79783.142670000001</v>
      </c>
      <c r="N603" s="30" t="s">
        <v>7</v>
      </c>
      <c r="O603" s="28" t="s">
        <v>13</v>
      </c>
      <c r="P603"/>
    </row>
    <row r="604" spans="1:16" x14ac:dyDescent="0.35">
      <c r="A604" s="4">
        <v>601</v>
      </c>
      <c r="B604" s="17">
        <v>46053.708333333336</v>
      </c>
      <c r="C604" s="1">
        <v>80311.039999999994</v>
      </c>
      <c r="D604" s="20">
        <v>80474.98</v>
      </c>
      <c r="E604" s="20">
        <v>80295.23</v>
      </c>
      <c r="F604" s="1">
        <v>80474.98</v>
      </c>
      <c r="G604" s="18">
        <v>300</v>
      </c>
      <c r="I604" s="21">
        <v>46053.708333333336</v>
      </c>
      <c r="J604" s="26"/>
      <c r="K604" s="29"/>
      <c r="L604" s="27">
        <v>80413.088570000007</v>
      </c>
      <c r="M604" s="27">
        <v>79653.194000000003</v>
      </c>
      <c r="N604" s="30" t="s">
        <v>7</v>
      </c>
      <c r="O604" s="28" t="s">
        <v>13</v>
      </c>
      <c r="P604"/>
    </row>
    <row r="605" spans="1:16" x14ac:dyDescent="0.35">
      <c r="A605" s="4">
        <v>602</v>
      </c>
      <c r="B605" s="17">
        <v>46053.709027777775</v>
      </c>
      <c r="C605" s="1">
        <v>80474.94</v>
      </c>
      <c r="D605" s="20">
        <v>80488.73</v>
      </c>
      <c r="E605" s="20">
        <v>80290.5</v>
      </c>
      <c r="F605" s="1">
        <v>80291.22</v>
      </c>
      <c r="G605" s="18">
        <v>296</v>
      </c>
      <c r="I605" s="21">
        <v>46053.709027777775</v>
      </c>
      <c r="J605" s="26"/>
      <c r="K605" s="29"/>
      <c r="L605" s="27">
        <v>80439.685710000005</v>
      </c>
      <c r="M605" s="27">
        <v>79523.245330000005</v>
      </c>
      <c r="N605" s="30" t="s">
        <v>7</v>
      </c>
      <c r="O605" s="28" t="s">
        <v>13</v>
      </c>
      <c r="P605"/>
    </row>
    <row r="606" spans="1:16" x14ac:dyDescent="0.35">
      <c r="A606" s="4">
        <v>603</v>
      </c>
      <c r="B606" s="17">
        <v>46053.709722222222</v>
      </c>
      <c r="C606" s="1">
        <v>80291.240000000005</v>
      </c>
      <c r="D606" s="20">
        <v>80406.61</v>
      </c>
      <c r="E606" s="20">
        <v>80291.240000000005</v>
      </c>
      <c r="F606" s="1">
        <v>80406.61</v>
      </c>
      <c r="G606" s="18">
        <v>266</v>
      </c>
      <c r="I606" s="21">
        <v>46053.709722222222</v>
      </c>
      <c r="J606" s="26"/>
      <c r="K606" s="29"/>
      <c r="L606" s="27">
        <v>80466.282860000007</v>
      </c>
      <c r="M606" s="27">
        <v>79393.296669999996</v>
      </c>
      <c r="N606" s="30" t="s">
        <v>7</v>
      </c>
      <c r="O606" s="28" t="s">
        <v>13</v>
      </c>
      <c r="P606"/>
    </row>
    <row r="607" spans="1:16" x14ac:dyDescent="0.35">
      <c r="A607" s="4">
        <v>604</v>
      </c>
      <c r="B607" s="17">
        <v>46053.710416666669</v>
      </c>
      <c r="C607" s="1">
        <v>80408</v>
      </c>
      <c r="D607" s="20">
        <v>80492.88</v>
      </c>
      <c r="E607" s="20">
        <v>80373.41</v>
      </c>
      <c r="F607" s="1">
        <v>80485.210000000006</v>
      </c>
      <c r="G607" s="18">
        <v>286</v>
      </c>
      <c r="I607" s="21">
        <v>46053.710416666669</v>
      </c>
      <c r="J607" s="26">
        <v>80492.88</v>
      </c>
      <c r="K607" s="29"/>
      <c r="L607" s="27">
        <v>80492.88</v>
      </c>
      <c r="M607" s="27">
        <v>79263.347999999998</v>
      </c>
      <c r="N607" s="30" t="s">
        <v>7</v>
      </c>
      <c r="O607" s="28" t="s">
        <v>13</v>
      </c>
      <c r="P607"/>
    </row>
    <row r="608" spans="1:16" x14ac:dyDescent="0.35">
      <c r="A608" s="4">
        <v>605</v>
      </c>
      <c r="B608" s="17">
        <v>46053.711111111108</v>
      </c>
      <c r="C608" s="1">
        <v>80475.070000000007</v>
      </c>
      <c r="D608" s="20">
        <v>80489.84</v>
      </c>
      <c r="E608" s="20">
        <v>80290.62</v>
      </c>
      <c r="F608" s="1">
        <v>80290.62</v>
      </c>
      <c r="G608" s="18">
        <v>292</v>
      </c>
      <c r="I608" s="21">
        <v>46053.711111111108</v>
      </c>
      <c r="J608" s="26"/>
      <c r="K608" s="29"/>
      <c r="L608" s="27">
        <v>80395.045450000005</v>
      </c>
      <c r="M608" s="27">
        <v>79133.39933</v>
      </c>
      <c r="N608" s="30" t="s">
        <v>6</v>
      </c>
      <c r="O608" s="28" t="s">
        <v>13</v>
      </c>
      <c r="P608"/>
    </row>
    <row r="609" spans="1:16" x14ac:dyDescent="0.35">
      <c r="A609" s="4">
        <v>606</v>
      </c>
      <c r="B609" s="17">
        <v>46053.711805555555</v>
      </c>
      <c r="C609" s="1">
        <v>80289.759999999995</v>
      </c>
      <c r="D609" s="20">
        <v>80289.87</v>
      </c>
      <c r="E609" s="20">
        <v>80050.98</v>
      </c>
      <c r="F609" s="1">
        <v>80087.320000000007</v>
      </c>
      <c r="G609" s="18">
        <v>301</v>
      </c>
      <c r="I609" s="21">
        <v>46053.711805555555</v>
      </c>
      <c r="J609" s="26"/>
      <c r="K609" s="29"/>
      <c r="L609" s="27">
        <v>80297.210909999994</v>
      </c>
      <c r="M609" s="27">
        <v>79003.450670000006</v>
      </c>
      <c r="N609" s="30" t="s">
        <v>6</v>
      </c>
      <c r="O609" s="28" t="s">
        <v>13</v>
      </c>
      <c r="P609"/>
    </row>
    <row r="610" spans="1:16" x14ac:dyDescent="0.35">
      <c r="A610" s="4">
        <v>607</v>
      </c>
      <c r="B610" s="17">
        <v>46053.712500000001</v>
      </c>
      <c r="C610" s="1">
        <v>80070.7</v>
      </c>
      <c r="D610" s="20">
        <v>80317.52</v>
      </c>
      <c r="E610" s="20">
        <v>80023.3</v>
      </c>
      <c r="F610" s="1">
        <v>80102.73</v>
      </c>
      <c r="G610" s="18">
        <v>299</v>
      </c>
      <c r="I610" s="21">
        <v>46053.712500000001</v>
      </c>
      <c r="J610" s="26"/>
      <c r="K610" s="29"/>
      <c r="L610" s="27">
        <v>80199.376359999995</v>
      </c>
      <c r="M610" s="27">
        <v>78873.501999999993</v>
      </c>
      <c r="N610" s="30" t="s">
        <v>6</v>
      </c>
      <c r="O610" s="28" t="s">
        <v>13</v>
      </c>
      <c r="P610"/>
    </row>
    <row r="611" spans="1:16" x14ac:dyDescent="0.35">
      <c r="A611" s="4">
        <v>608</v>
      </c>
      <c r="B611" s="17">
        <v>46053.713194444441</v>
      </c>
      <c r="C611" s="1">
        <v>80113.06</v>
      </c>
      <c r="D611" s="20">
        <v>80183.990000000005</v>
      </c>
      <c r="E611" s="20">
        <v>80088.33</v>
      </c>
      <c r="F611" s="1">
        <v>80118.05</v>
      </c>
      <c r="G611" s="18">
        <v>291</v>
      </c>
      <c r="I611" s="21">
        <v>46053.713194444441</v>
      </c>
      <c r="J611" s="26"/>
      <c r="K611" s="29"/>
      <c r="L611" s="27">
        <v>80101.541819999999</v>
      </c>
      <c r="M611" s="27">
        <v>78743.553329999995</v>
      </c>
      <c r="N611" s="30" t="s">
        <v>6</v>
      </c>
      <c r="O611" s="28" t="s">
        <v>13</v>
      </c>
      <c r="P611"/>
    </row>
    <row r="612" spans="1:16" x14ac:dyDescent="0.35">
      <c r="A612" s="4">
        <v>609</v>
      </c>
      <c r="B612" s="17">
        <v>46053.713888888888</v>
      </c>
      <c r="C612" s="1">
        <v>80118.52</v>
      </c>
      <c r="D612" s="20">
        <v>80146.710000000006</v>
      </c>
      <c r="E612" s="20">
        <v>79340.81</v>
      </c>
      <c r="F612" s="1">
        <v>79360.47</v>
      </c>
      <c r="G612" s="18">
        <v>310</v>
      </c>
      <c r="I612" s="21">
        <v>46053.713888888888</v>
      </c>
      <c r="J612" s="26"/>
      <c r="K612" s="29"/>
      <c r="L612" s="27">
        <v>80003.707269999999</v>
      </c>
      <c r="M612" s="27">
        <v>78613.604670000001</v>
      </c>
      <c r="N612" s="30" t="s">
        <v>6</v>
      </c>
      <c r="O612" s="28" t="s">
        <v>13</v>
      </c>
      <c r="P612"/>
    </row>
    <row r="613" spans="1:16" x14ac:dyDescent="0.35">
      <c r="A613" s="4">
        <v>610</v>
      </c>
      <c r="B613" s="17">
        <v>46053.714583333334</v>
      </c>
      <c r="C613" s="1">
        <v>79401.8</v>
      </c>
      <c r="D613" s="20">
        <v>79755.199999999997</v>
      </c>
      <c r="E613" s="20">
        <v>79374.3</v>
      </c>
      <c r="F613" s="1">
        <v>79459.259999999995</v>
      </c>
      <c r="G613" s="18">
        <v>313</v>
      </c>
      <c r="I613" s="21">
        <v>46053.714583333334</v>
      </c>
      <c r="J613" s="26"/>
      <c r="K613" s="29"/>
      <c r="L613" s="27">
        <v>79905.872730000003</v>
      </c>
      <c r="M613" s="27">
        <v>78483.656000000003</v>
      </c>
      <c r="N613" s="30" t="s">
        <v>6</v>
      </c>
      <c r="O613" s="28" t="s">
        <v>13</v>
      </c>
      <c r="P613"/>
    </row>
    <row r="614" spans="1:16" x14ac:dyDescent="0.35">
      <c r="A614" s="4">
        <v>611</v>
      </c>
      <c r="B614" s="17">
        <v>46053.715277777781</v>
      </c>
      <c r="C614" s="1">
        <v>79456.78</v>
      </c>
      <c r="D614" s="20">
        <v>79511.47</v>
      </c>
      <c r="E614" s="20">
        <v>79019.759999999995</v>
      </c>
      <c r="F614" s="1">
        <v>79356.12</v>
      </c>
      <c r="G614" s="18">
        <v>308</v>
      </c>
      <c r="I614" s="21">
        <v>46053.715277777781</v>
      </c>
      <c r="J614" s="26"/>
      <c r="K614" s="29"/>
      <c r="L614" s="27">
        <v>79808.038180000003</v>
      </c>
      <c r="M614" s="27">
        <v>78353.707330000005</v>
      </c>
      <c r="N614" s="30" t="s">
        <v>6</v>
      </c>
      <c r="O614" s="28" t="s">
        <v>13</v>
      </c>
      <c r="P614"/>
    </row>
    <row r="615" spans="1:16" x14ac:dyDescent="0.35">
      <c r="A615" s="4">
        <v>612</v>
      </c>
      <c r="B615" s="17">
        <v>46053.71597222222</v>
      </c>
      <c r="C615" s="1">
        <v>79373.03</v>
      </c>
      <c r="D615" s="20">
        <v>79480.78</v>
      </c>
      <c r="E615" s="20">
        <v>78707.39</v>
      </c>
      <c r="F615" s="1">
        <v>78708.52</v>
      </c>
      <c r="G615" s="18">
        <v>303</v>
      </c>
      <c r="I615" s="21">
        <v>46053.71597222222</v>
      </c>
      <c r="J615" s="26"/>
      <c r="K615" s="29"/>
      <c r="L615" s="27">
        <v>79710.203640000007</v>
      </c>
      <c r="M615" s="27">
        <v>78223.758669999996</v>
      </c>
      <c r="N615" s="30" t="s">
        <v>6</v>
      </c>
      <c r="O615" s="28" t="s">
        <v>13</v>
      </c>
      <c r="P615"/>
    </row>
    <row r="616" spans="1:16" x14ac:dyDescent="0.35">
      <c r="A616" s="4">
        <v>613</v>
      </c>
      <c r="B616" s="17">
        <v>46053.716666666667</v>
      </c>
      <c r="C616" s="1">
        <v>78778.06</v>
      </c>
      <c r="D616" s="20">
        <v>79156.320000000007</v>
      </c>
      <c r="E616" s="20">
        <v>78093.81</v>
      </c>
      <c r="F616" s="1">
        <v>78736.679999999993</v>
      </c>
      <c r="G616" s="18">
        <v>302</v>
      </c>
      <c r="I616" s="21">
        <v>46053.716666666667</v>
      </c>
      <c r="J616" s="26"/>
      <c r="K616" s="29">
        <v>78093.81</v>
      </c>
      <c r="L616" s="27">
        <v>79612.369089999993</v>
      </c>
      <c r="M616" s="27">
        <v>78093.81</v>
      </c>
      <c r="N616" s="30" t="s">
        <v>6</v>
      </c>
      <c r="O616" s="28" t="s">
        <v>13</v>
      </c>
      <c r="P616"/>
    </row>
    <row r="617" spans="1:16" x14ac:dyDescent="0.35">
      <c r="A617" s="4">
        <v>614</v>
      </c>
      <c r="B617" s="17">
        <v>46053.717361111114</v>
      </c>
      <c r="C617" s="1">
        <v>78756.7</v>
      </c>
      <c r="D617" s="20">
        <v>79260.62</v>
      </c>
      <c r="E617" s="20">
        <v>78434.350000000006</v>
      </c>
      <c r="F617" s="1">
        <v>79231.39</v>
      </c>
      <c r="G617" s="18">
        <v>309</v>
      </c>
      <c r="I617" s="21">
        <v>46053.717361111114</v>
      </c>
      <c r="J617" s="26"/>
      <c r="K617" s="29"/>
      <c r="L617" s="27">
        <v>79514.534549999997</v>
      </c>
      <c r="M617" s="27">
        <v>78157.591249999998</v>
      </c>
      <c r="N617" s="30" t="s">
        <v>6</v>
      </c>
      <c r="O617" s="28" t="s">
        <v>8</v>
      </c>
      <c r="P617"/>
    </row>
    <row r="618" spans="1:16" x14ac:dyDescent="0.35">
      <c r="A618" s="4">
        <v>615</v>
      </c>
      <c r="B618" s="17">
        <v>46053.718055555553</v>
      </c>
      <c r="C618" s="1">
        <v>79264.94</v>
      </c>
      <c r="D618" s="20">
        <v>79416.7</v>
      </c>
      <c r="E618" s="20">
        <v>78750.5</v>
      </c>
      <c r="F618" s="1">
        <v>78750.5</v>
      </c>
      <c r="G618" s="18">
        <v>305</v>
      </c>
      <c r="I618" s="21">
        <v>46053.718055555553</v>
      </c>
      <c r="J618" s="26">
        <v>79416.7</v>
      </c>
      <c r="K618" s="29"/>
      <c r="L618" s="27">
        <v>79416.7</v>
      </c>
      <c r="M618" s="27">
        <v>78221.372499999998</v>
      </c>
      <c r="N618" s="30" t="s">
        <v>6</v>
      </c>
      <c r="O618" s="28" t="s">
        <v>8</v>
      </c>
      <c r="P618"/>
    </row>
    <row r="619" spans="1:16" x14ac:dyDescent="0.35">
      <c r="A619" s="4">
        <v>616</v>
      </c>
      <c r="B619" s="17">
        <v>46053.71875</v>
      </c>
      <c r="C619" s="1">
        <v>78759.27</v>
      </c>
      <c r="D619" s="20">
        <v>79173.48</v>
      </c>
      <c r="E619" s="20">
        <v>78759.27</v>
      </c>
      <c r="F619" s="1">
        <v>79027.259999999995</v>
      </c>
      <c r="G619" s="18">
        <v>313</v>
      </c>
      <c r="I619" s="21">
        <v>46053.71875</v>
      </c>
      <c r="J619" s="26"/>
      <c r="K619" s="29"/>
      <c r="L619" s="27">
        <v>79401.896670000002</v>
      </c>
      <c r="M619" s="27">
        <v>78285.153749999998</v>
      </c>
      <c r="N619" s="30" t="s">
        <v>6</v>
      </c>
      <c r="O619" s="28" t="s">
        <v>8</v>
      </c>
      <c r="P619"/>
    </row>
    <row r="620" spans="1:16" x14ac:dyDescent="0.35">
      <c r="A620" s="4">
        <v>617</v>
      </c>
      <c r="B620" s="17">
        <v>46053.719444444447</v>
      </c>
      <c r="C620" s="1">
        <v>79027.92</v>
      </c>
      <c r="D620" s="20">
        <v>79258.720000000001</v>
      </c>
      <c r="E620" s="20">
        <v>78929.279999999999</v>
      </c>
      <c r="F620" s="1">
        <v>79046.06</v>
      </c>
      <c r="G620" s="18">
        <v>308</v>
      </c>
      <c r="I620" s="21">
        <v>46053.719444444447</v>
      </c>
      <c r="J620" s="26"/>
      <c r="K620" s="29"/>
      <c r="L620" s="27">
        <v>79387.093330000003</v>
      </c>
      <c r="M620" s="27">
        <v>78348.934999999998</v>
      </c>
      <c r="N620" s="30" t="s">
        <v>6</v>
      </c>
      <c r="O620" s="28" t="s">
        <v>8</v>
      </c>
      <c r="P620"/>
    </row>
    <row r="621" spans="1:16" x14ac:dyDescent="0.35">
      <c r="A621" s="4">
        <v>618</v>
      </c>
      <c r="B621" s="17">
        <v>46053.720138888886</v>
      </c>
      <c r="C621" s="1">
        <v>79038.600000000006</v>
      </c>
      <c r="D621" s="20">
        <v>79372.289999999994</v>
      </c>
      <c r="E621" s="20">
        <v>79038.600000000006</v>
      </c>
      <c r="F621" s="1">
        <v>79153.600000000006</v>
      </c>
      <c r="G621" s="18">
        <v>313</v>
      </c>
      <c r="I621" s="21">
        <v>46053.720138888886</v>
      </c>
      <c r="J621" s="26">
        <v>79372.289999999994</v>
      </c>
      <c r="K621" s="29"/>
      <c r="L621" s="27">
        <v>79372.289999999994</v>
      </c>
      <c r="M621" s="27">
        <v>78412.716249999998</v>
      </c>
      <c r="N621" s="30" t="s">
        <v>6</v>
      </c>
      <c r="O621" s="28" t="s">
        <v>8</v>
      </c>
      <c r="P621"/>
    </row>
    <row r="622" spans="1:16" x14ac:dyDescent="0.35">
      <c r="A622" s="4">
        <v>619</v>
      </c>
      <c r="B622" s="17">
        <v>46053.720833333333</v>
      </c>
      <c r="C622" s="1">
        <v>79147.679999999993</v>
      </c>
      <c r="D622" s="20">
        <v>79281.710000000006</v>
      </c>
      <c r="E622" s="20">
        <v>79105.649999999994</v>
      </c>
      <c r="F622" s="1">
        <v>79188.81</v>
      </c>
      <c r="G622" s="18">
        <v>306</v>
      </c>
      <c r="I622" s="21">
        <v>46053.720833333333</v>
      </c>
      <c r="J622" s="26"/>
      <c r="K622" s="29"/>
      <c r="L622" s="27">
        <v>79341.710000000006</v>
      </c>
      <c r="M622" s="27">
        <v>78476.497499999998</v>
      </c>
      <c r="N622" s="30" t="s">
        <v>6</v>
      </c>
      <c r="O622" s="28" t="s">
        <v>8</v>
      </c>
      <c r="P622"/>
    </row>
    <row r="623" spans="1:16" x14ac:dyDescent="0.35">
      <c r="A623" s="4">
        <v>620</v>
      </c>
      <c r="B623" s="17">
        <v>46053.72152777778</v>
      </c>
      <c r="C623" s="1">
        <v>79181.210000000006</v>
      </c>
      <c r="D623" s="20">
        <v>79288.84</v>
      </c>
      <c r="E623" s="20">
        <v>78999.03</v>
      </c>
      <c r="F623" s="1">
        <v>79024.149999999994</v>
      </c>
      <c r="G623" s="18">
        <v>303</v>
      </c>
      <c r="I623" s="21">
        <v>46053.72152777778</v>
      </c>
      <c r="J623" s="26"/>
      <c r="K623" s="29"/>
      <c r="L623" s="27">
        <v>79311.13</v>
      </c>
      <c r="M623" s="27">
        <v>78540.278749999998</v>
      </c>
      <c r="N623" s="30" t="s">
        <v>6</v>
      </c>
      <c r="O623" s="28" t="s">
        <v>8</v>
      </c>
      <c r="P623"/>
    </row>
    <row r="624" spans="1:16" x14ac:dyDescent="0.35">
      <c r="A624" s="4">
        <v>621</v>
      </c>
      <c r="B624" s="17">
        <v>46053.722222222219</v>
      </c>
      <c r="C624" s="1">
        <v>79014.77</v>
      </c>
      <c r="D624" s="20">
        <v>79040.070000000007</v>
      </c>
      <c r="E624" s="20">
        <v>78604.06</v>
      </c>
      <c r="F624" s="1">
        <v>78889.19</v>
      </c>
      <c r="G624" s="18">
        <v>306</v>
      </c>
      <c r="I624" s="21">
        <v>46053.722222222219</v>
      </c>
      <c r="J624" s="26"/>
      <c r="K624" s="29">
        <v>78604.06</v>
      </c>
      <c r="L624" s="27">
        <v>79280.55</v>
      </c>
      <c r="M624" s="27">
        <v>78604.06</v>
      </c>
      <c r="N624" s="30" t="s">
        <v>6</v>
      </c>
      <c r="O624" s="28" t="s">
        <v>8</v>
      </c>
      <c r="P624"/>
    </row>
    <row r="625" spans="1:16" x14ac:dyDescent="0.35">
      <c r="A625" s="4">
        <v>622</v>
      </c>
      <c r="B625" s="17">
        <v>46053.722916666666</v>
      </c>
      <c r="C625" s="1">
        <v>78864.149999999994</v>
      </c>
      <c r="D625" s="20">
        <v>79056.320000000007</v>
      </c>
      <c r="E625" s="20">
        <v>78759.95</v>
      </c>
      <c r="F625" s="1">
        <v>78927.360000000001</v>
      </c>
      <c r="G625" s="18">
        <v>310</v>
      </c>
      <c r="I625" s="21">
        <v>46053.722916666666</v>
      </c>
      <c r="J625" s="26"/>
      <c r="K625" s="29"/>
      <c r="L625" s="27">
        <v>79249.97</v>
      </c>
      <c r="M625" s="27">
        <v>78592.3</v>
      </c>
      <c r="N625" s="30" t="s">
        <v>6</v>
      </c>
      <c r="O625" s="28" t="s">
        <v>13</v>
      </c>
      <c r="P625"/>
    </row>
    <row r="626" spans="1:16" x14ac:dyDescent="0.35">
      <c r="A626" s="4">
        <v>623</v>
      </c>
      <c r="B626" s="17">
        <v>46053.723611111112</v>
      </c>
      <c r="C626" s="1">
        <v>78914.11</v>
      </c>
      <c r="D626" s="20">
        <v>79024.7</v>
      </c>
      <c r="E626" s="20">
        <v>78806.94</v>
      </c>
      <c r="F626" s="1">
        <v>79005.2</v>
      </c>
      <c r="G626" s="18">
        <v>314</v>
      </c>
      <c r="I626" s="21">
        <v>46053.723611111112</v>
      </c>
      <c r="J626" s="26"/>
      <c r="K626" s="29"/>
      <c r="L626" s="27">
        <v>79219.39</v>
      </c>
      <c r="M626" s="27">
        <v>78580.539999999994</v>
      </c>
      <c r="N626" s="30" t="s">
        <v>6</v>
      </c>
      <c r="O626" s="28" t="s">
        <v>13</v>
      </c>
      <c r="P626"/>
    </row>
    <row r="627" spans="1:16" x14ac:dyDescent="0.35">
      <c r="A627" s="4">
        <v>624</v>
      </c>
      <c r="B627" s="17">
        <v>46053.724305555559</v>
      </c>
      <c r="C627" s="1">
        <v>79005.03</v>
      </c>
      <c r="D627" s="20">
        <v>79060</v>
      </c>
      <c r="E627" s="20">
        <v>78830.240000000005</v>
      </c>
      <c r="F627" s="1">
        <v>78883.44</v>
      </c>
      <c r="G627" s="18">
        <v>301</v>
      </c>
      <c r="I627" s="21">
        <v>46053.724305555559</v>
      </c>
      <c r="J627" s="26"/>
      <c r="K627" s="29"/>
      <c r="L627" s="27">
        <v>79188.81</v>
      </c>
      <c r="M627" s="27">
        <v>78568.78</v>
      </c>
      <c r="N627" s="30" t="s">
        <v>6</v>
      </c>
      <c r="O627" s="28" t="s">
        <v>13</v>
      </c>
      <c r="P627"/>
    </row>
    <row r="628" spans="1:16" x14ac:dyDescent="0.35">
      <c r="A628" s="4">
        <v>625</v>
      </c>
      <c r="B628" s="17">
        <v>46053.724999999999</v>
      </c>
      <c r="C628" s="1">
        <v>78897.899999999994</v>
      </c>
      <c r="D628" s="20">
        <v>79158.23</v>
      </c>
      <c r="E628" s="20">
        <v>78878.8</v>
      </c>
      <c r="F628" s="1">
        <v>78960.039999999994</v>
      </c>
      <c r="G628" s="18">
        <v>306</v>
      </c>
      <c r="I628" s="21">
        <v>46053.724999999999</v>
      </c>
      <c r="J628" s="26">
        <v>79158.23</v>
      </c>
      <c r="K628" s="29"/>
      <c r="L628" s="27">
        <v>79158.23</v>
      </c>
      <c r="M628" s="27">
        <v>78557.02</v>
      </c>
      <c r="N628" s="30" t="s">
        <v>6</v>
      </c>
      <c r="O628" s="28" t="s">
        <v>13</v>
      </c>
      <c r="P628"/>
    </row>
    <row r="629" spans="1:16" x14ac:dyDescent="0.35">
      <c r="A629" s="4">
        <v>626</v>
      </c>
      <c r="B629" s="17">
        <v>46053.725694444445</v>
      </c>
      <c r="C629" s="1">
        <v>78967.360000000001</v>
      </c>
      <c r="D629" s="20">
        <v>79090.33</v>
      </c>
      <c r="E629" s="20">
        <v>78926.19</v>
      </c>
      <c r="F629" s="1">
        <v>79023.009999999995</v>
      </c>
      <c r="G629" s="18">
        <v>298</v>
      </c>
      <c r="I629" s="21">
        <v>46053.725694444445</v>
      </c>
      <c r="J629" s="26"/>
      <c r="K629" s="29"/>
      <c r="L629" s="27">
        <v>79156.686669999996</v>
      </c>
      <c r="M629" s="27">
        <v>78545.259999999995</v>
      </c>
      <c r="N629" s="30" t="s">
        <v>6</v>
      </c>
      <c r="O629" s="28" t="s">
        <v>13</v>
      </c>
      <c r="P629"/>
    </row>
    <row r="630" spans="1:16" x14ac:dyDescent="0.35">
      <c r="A630" s="4">
        <v>627</v>
      </c>
      <c r="B630" s="17">
        <v>46053.726388888892</v>
      </c>
      <c r="C630" s="1">
        <v>79024.350000000006</v>
      </c>
      <c r="D630" s="20">
        <v>79085.37</v>
      </c>
      <c r="E630" s="20">
        <v>78903.149999999994</v>
      </c>
      <c r="F630" s="1">
        <v>79004.42</v>
      </c>
      <c r="G630" s="18">
        <v>300</v>
      </c>
      <c r="I630" s="21">
        <v>46053.726388888892</v>
      </c>
      <c r="J630" s="26"/>
      <c r="K630" s="29"/>
      <c r="L630" s="27">
        <v>79155.143330000006</v>
      </c>
      <c r="M630" s="27">
        <v>78533.5</v>
      </c>
      <c r="N630" s="30" t="s">
        <v>6</v>
      </c>
      <c r="O630" s="28" t="s">
        <v>13</v>
      </c>
      <c r="P630"/>
    </row>
    <row r="631" spans="1:16" x14ac:dyDescent="0.35">
      <c r="A631" s="4">
        <v>628</v>
      </c>
      <c r="B631" s="17">
        <v>46053.727083333331</v>
      </c>
      <c r="C631" s="1">
        <v>79003.289999999994</v>
      </c>
      <c r="D631" s="20">
        <v>79153.600000000006</v>
      </c>
      <c r="E631" s="20">
        <v>78943.62</v>
      </c>
      <c r="F631" s="1">
        <v>79069.75</v>
      </c>
      <c r="G631" s="18">
        <v>296</v>
      </c>
      <c r="I631" s="21">
        <v>46053.727083333331</v>
      </c>
      <c r="J631" s="26">
        <v>79153.600000000006</v>
      </c>
      <c r="K631" s="29"/>
      <c r="L631" s="27">
        <v>79153.600000000006</v>
      </c>
      <c r="M631" s="27">
        <v>78521.740000000005</v>
      </c>
      <c r="N631" s="30" t="s">
        <v>6</v>
      </c>
      <c r="O631" s="28" t="s">
        <v>13</v>
      </c>
      <c r="P631"/>
    </row>
    <row r="632" spans="1:16" x14ac:dyDescent="0.35">
      <c r="A632" s="4">
        <v>629</v>
      </c>
      <c r="B632" s="17">
        <v>46053.727777777778</v>
      </c>
      <c r="C632" s="1">
        <v>79087.53</v>
      </c>
      <c r="D632" s="20">
        <v>79125.440000000002</v>
      </c>
      <c r="E632" s="20">
        <v>78980.31</v>
      </c>
      <c r="F632" s="1">
        <v>79033.600000000006</v>
      </c>
      <c r="G632" s="18">
        <v>295</v>
      </c>
      <c r="I632" s="21">
        <v>46053.727777777778</v>
      </c>
      <c r="J632" s="26"/>
      <c r="K632" s="29"/>
      <c r="L632" s="27">
        <v>79180.77</v>
      </c>
      <c r="M632" s="27">
        <v>78509.98</v>
      </c>
      <c r="N632" s="30" t="s">
        <v>7</v>
      </c>
      <c r="O632" s="28" t="s">
        <v>13</v>
      </c>
      <c r="P632"/>
    </row>
    <row r="633" spans="1:16" x14ac:dyDescent="0.35">
      <c r="A633" s="4">
        <v>630</v>
      </c>
      <c r="B633" s="17">
        <v>46053.728472222225</v>
      </c>
      <c r="C633" s="1">
        <v>79036.210000000006</v>
      </c>
      <c r="D633" s="20">
        <v>79117.009999999995</v>
      </c>
      <c r="E633" s="20">
        <v>78985.53</v>
      </c>
      <c r="F633" s="1">
        <v>79073.02</v>
      </c>
      <c r="G633" s="18">
        <v>284</v>
      </c>
      <c r="I633" s="21">
        <v>46053.728472222225</v>
      </c>
      <c r="J633" s="26"/>
      <c r="K633" s="29"/>
      <c r="L633" s="27">
        <v>79207.94</v>
      </c>
      <c r="M633" s="27">
        <v>78498.22</v>
      </c>
      <c r="N633" s="30" t="s">
        <v>7</v>
      </c>
      <c r="O633" s="28" t="s">
        <v>13</v>
      </c>
      <c r="P633"/>
    </row>
    <row r="634" spans="1:16" x14ac:dyDescent="0.35">
      <c r="A634" s="4">
        <v>631</v>
      </c>
      <c r="B634" s="17">
        <v>46053.729166666664</v>
      </c>
      <c r="C634" s="1">
        <v>79087.83</v>
      </c>
      <c r="D634" s="20">
        <v>79235.11</v>
      </c>
      <c r="E634" s="20">
        <v>78990.5</v>
      </c>
      <c r="F634" s="1">
        <v>78996.37</v>
      </c>
      <c r="G634" s="18">
        <v>307</v>
      </c>
      <c r="I634" s="21">
        <v>46053.729166666664</v>
      </c>
      <c r="J634" s="26">
        <v>79235.11</v>
      </c>
      <c r="K634" s="29"/>
      <c r="L634" s="27">
        <v>79235.11</v>
      </c>
      <c r="M634" s="27">
        <v>78486.460000000006</v>
      </c>
      <c r="N634" s="30" t="s">
        <v>7</v>
      </c>
      <c r="O634" s="28" t="s">
        <v>13</v>
      </c>
      <c r="P634"/>
    </row>
    <row r="635" spans="1:16" x14ac:dyDescent="0.35">
      <c r="A635" s="4">
        <v>632</v>
      </c>
      <c r="B635" s="17">
        <v>46053.729861111111</v>
      </c>
      <c r="C635" s="1">
        <v>78996.69</v>
      </c>
      <c r="D635" s="20">
        <v>79079.92</v>
      </c>
      <c r="E635" s="20">
        <v>78896.61</v>
      </c>
      <c r="F635" s="1">
        <v>78896.61</v>
      </c>
      <c r="G635" s="18">
        <v>299</v>
      </c>
      <c r="I635" s="21">
        <v>46053.729861111111</v>
      </c>
      <c r="J635" s="26"/>
      <c r="K635" s="29"/>
      <c r="L635" s="27">
        <v>79226.208570000003</v>
      </c>
      <c r="M635" s="27">
        <v>78474.7</v>
      </c>
      <c r="N635" s="30" t="s">
        <v>6</v>
      </c>
      <c r="O635" s="28" t="s">
        <v>13</v>
      </c>
      <c r="P635"/>
    </row>
    <row r="636" spans="1:16" x14ac:dyDescent="0.35">
      <c r="A636" s="4">
        <v>633</v>
      </c>
      <c r="B636" s="17">
        <v>46053.730555555558</v>
      </c>
      <c r="C636" s="1">
        <v>78890.62</v>
      </c>
      <c r="D636" s="20">
        <v>78958.81</v>
      </c>
      <c r="E636" s="20">
        <v>78890.62</v>
      </c>
      <c r="F636" s="1">
        <v>78903.759999999995</v>
      </c>
      <c r="G636" s="18">
        <v>292</v>
      </c>
      <c r="I636" s="21">
        <v>46053.730555555558</v>
      </c>
      <c r="J636" s="26"/>
      <c r="K636" s="29"/>
      <c r="L636" s="27">
        <v>79217.307140000004</v>
      </c>
      <c r="M636" s="27">
        <v>78462.94</v>
      </c>
      <c r="N636" s="30" t="s">
        <v>6</v>
      </c>
      <c r="O636" s="28" t="s">
        <v>13</v>
      </c>
      <c r="P636"/>
    </row>
    <row r="637" spans="1:16" x14ac:dyDescent="0.35">
      <c r="A637" s="4">
        <v>634</v>
      </c>
      <c r="B637" s="17">
        <v>46053.731249999997</v>
      </c>
      <c r="C637" s="1">
        <v>78891.27</v>
      </c>
      <c r="D637" s="20">
        <v>78904.070000000007</v>
      </c>
      <c r="E637" s="20">
        <v>78451.179999999993</v>
      </c>
      <c r="F637" s="1">
        <v>78485.25</v>
      </c>
      <c r="G637" s="18">
        <v>309</v>
      </c>
      <c r="I637" s="21">
        <v>46053.731249999997</v>
      </c>
      <c r="J637" s="26"/>
      <c r="K637" s="29">
        <v>78451.179999999993</v>
      </c>
      <c r="L637" s="27">
        <v>79208.405710000006</v>
      </c>
      <c r="M637" s="27">
        <v>78451.179999999993</v>
      </c>
      <c r="N637" s="30" t="s">
        <v>6</v>
      </c>
      <c r="O637" s="28" t="s">
        <v>13</v>
      </c>
      <c r="P637"/>
    </row>
    <row r="638" spans="1:16" x14ac:dyDescent="0.35">
      <c r="A638" s="4">
        <v>635</v>
      </c>
      <c r="B638" s="17">
        <v>46053.731944444444</v>
      </c>
      <c r="C638" s="1">
        <v>78483.12</v>
      </c>
      <c r="D638" s="20">
        <v>78688.77</v>
      </c>
      <c r="E638" s="20">
        <v>78483.12</v>
      </c>
      <c r="F638" s="1">
        <v>78546.710000000006</v>
      </c>
      <c r="G638" s="18">
        <v>305</v>
      </c>
      <c r="I638" s="21">
        <v>46053.731944444444</v>
      </c>
      <c r="J638" s="26"/>
      <c r="K638" s="29"/>
      <c r="L638" s="27">
        <v>79199.504289999997</v>
      </c>
      <c r="M638" s="27">
        <v>78457.62556</v>
      </c>
      <c r="N638" s="30" t="s">
        <v>6</v>
      </c>
      <c r="O638" s="28" t="s">
        <v>8</v>
      </c>
      <c r="P638"/>
    </row>
    <row r="639" spans="1:16" x14ac:dyDescent="0.35">
      <c r="A639" s="4">
        <v>636</v>
      </c>
      <c r="B639" s="17">
        <v>46053.732638888891</v>
      </c>
      <c r="C639" s="1">
        <v>78549.429999999993</v>
      </c>
      <c r="D639" s="20">
        <v>78792.12</v>
      </c>
      <c r="E639" s="20">
        <v>78507.009999999995</v>
      </c>
      <c r="F639" s="1">
        <v>78680.33</v>
      </c>
      <c r="G639" s="18">
        <v>304</v>
      </c>
      <c r="I639" s="21">
        <v>46053.732638888891</v>
      </c>
      <c r="J639" s="26"/>
      <c r="K639" s="29"/>
      <c r="L639" s="27">
        <v>79190.602859999999</v>
      </c>
      <c r="M639" s="27">
        <v>78464.071110000004</v>
      </c>
      <c r="N639" s="30" t="s">
        <v>6</v>
      </c>
      <c r="O639" s="28" t="s">
        <v>8</v>
      </c>
      <c r="P639"/>
    </row>
    <row r="640" spans="1:16" x14ac:dyDescent="0.35">
      <c r="A640" s="4">
        <v>637</v>
      </c>
      <c r="B640" s="17">
        <v>46053.73333333333</v>
      </c>
      <c r="C640" s="1">
        <v>78684.240000000005</v>
      </c>
      <c r="D640" s="20">
        <v>79095.990000000005</v>
      </c>
      <c r="E640" s="20">
        <v>78683.929999999993</v>
      </c>
      <c r="F640" s="1">
        <v>79069</v>
      </c>
      <c r="G640" s="18">
        <v>310</v>
      </c>
      <c r="I640" s="21">
        <v>46053.73333333333</v>
      </c>
      <c r="J640" s="26"/>
      <c r="K640" s="29"/>
      <c r="L640" s="27">
        <v>79181.701430000001</v>
      </c>
      <c r="M640" s="27">
        <v>78470.516669999997</v>
      </c>
      <c r="N640" s="30" t="s">
        <v>6</v>
      </c>
      <c r="O640" s="28" t="s">
        <v>8</v>
      </c>
      <c r="P640"/>
    </row>
    <row r="641" spans="1:16" x14ac:dyDescent="0.35">
      <c r="A641" s="4">
        <v>638</v>
      </c>
      <c r="B641" s="17">
        <v>46053.734027777777</v>
      </c>
      <c r="C641" s="1">
        <v>79079</v>
      </c>
      <c r="D641" s="20">
        <v>79172.800000000003</v>
      </c>
      <c r="E641" s="20">
        <v>78954.77</v>
      </c>
      <c r="F641" s="1">
        <v>78954.77</v>
      </c>
      <c r="G641" s="18">
        <v>298</v>
      </c>
      <c r="I641" s="21">
        <v>46053.734027777777</v>
      </c>
      <c r="J641" s="26">
        <v>79172.800000000003</v>
      </c>
      <c r="K641" s="29"/>
      <c r="L641" s="27">
        <v>79172.800000000003</v>
      </c>
      <c r="M641" s="27">
        <v>78476.962220000001</v>
      </c>
      <c r="N641" s="30" t="s">
        <v>6</v>
      </c>
      <c r="O641" s="28" t="s">
        <v>8</v>
      </c>
      <c r="P641"/>
    </row>
    <row r="642" spans="1:16" x14ac:dyDescent="0.35">
      <c r="A642" s="4">
        <v>639</v>
      </c>
      <c r="B642" s="17">
        <v>46053.734722222223</v>
      </c>
      <c r="C642" s="1">
        <v>78955.45</v>
      </c>
      <c r="D642" s="20">
        <v>79027.81</v>
      </c>
      <c r="E642" s="20">
        <v>78790.009999999995</v>
      </c>
      <c r="F642" s="1">
        <v>78792.52</v>
      </c>
      <c r="G642" s="18">
        <v>303</v>
      </c>
      <c r="I642" s="21">
        <v>46053.734722222223</v>
      </c>
      <c r="J642" s="26"/>
      <c r="K642" s="29"/>
      <c r="L642" s="27">
        <v>79156.491250000006</v>
      </c>
      <c r="M642" s="27">
        <v>78483.407779999994</v>
      </c>
      <c r="N642" s="30" t="s">
        <v>6</v>
      </c>
      <c r="O642" s="28" t="s">
        <v>8</v>
      </c>
      <c r="P642"/>
    </row>
    <row r="643" spans="1:16" x14ac:dyDescent="0.35">
      <c r="A643" s="4">
        <v>640</v>
      </c>
      <c r="B643" s="17">
        <v>46053.73541666667</v>
      </c>
      <c r="C643" s="1">
        <v>78803.520000000004</v>
      </c>
      <c r="D643" s="20">
        <v>78839.83</v>
      </c>
      <c r="E643" s="20">
        <v>78752.23</v>
      </c>
      <c r="F643" s="1">
        <v>78755.06</v>
      </c>
      <c r="G643" s="18">
        <v>299</v>
      </c>
      <c r="I643" s="21">
        <v>46053.73541666667</v>
      </c>
      <c r="J643" s="26"/>
      <c r="K643" s="29"/>
      <c r="L643" s="27">
        <v>79140.182499999995</v>
      </c>
      <c r="M643" s="27">
        <v>78489.853329999998</v>
      </c>
      <c r="N643" s="30" t="s">
        <v>6</v>
      </c>
      <c r="O643" s="28" t="s">
        <v>8</v>
      </c>
      <c r="P643"/>
    </row>
    <row r="644" spans="1:16" x14ac:dyDescent="0.35">
      <c r="A644" s="4">
        <v>641</v>
      </c>
      <c r="B644" s="17">
        <v>46053.736111111109</v>
      </c>
      <c r="C644" s="1">
        <v>78754.94</v>
      </c>
      <c r="D644" s="20">
        <v>78851.740000000005</v>
      </c>
      <c r="E644" s="20">
        <v>78611.64</v>
      </c>
      <c r="F644" s="1">
        <v>78616.72</v>
      </c>
      <c r="G644" s="18">
        <v>295</v>
      </c>
      <c r="I644" s="21">
        <v>46053.736111111109</v>
      </c>
      <c r="J644" s="26"/>
      <c r="K644" s="29"/>
      <c r="L644" s="27">
        <v>79123.873749999999</v>
      </c>
      <c r="M644" s="27">
        <v>78496.298890000005</v>
      </c>
      <c r="N644" s="30" t="s">
        <v>6</v>
      </c>
      <c r="O644" s="28" t="s">
        <v>8</v>
      </c>
      <c r="P644"/>
    </row>
    <row r="645" spans="1:16" x14ac:dyDescent="0.35">
      <c r="A645" s="4">
        <v>642</v>
      </c>
      <c r="B645" s="17">
        <v>46053.736805555556</v>
      </c>
      <c r="C645" s="1">
        <v>78618.78</v>
      </c>
      <c r="D645" s="20">
        <v>78699.53</v>
      </c>
      <c r="E645" s="20">
        <v>78528.05</v>
      </c>
      <c r="F645" s="1">
        <v>78528.05</v>
      </c>
      <c r="G645" s="18">
        <v>304</v>
      </c>
      <c r="I645" s="21">
        <v>46053.736805555556</v>
      </c>
      <c r="J645" s="26"/>
      <c r="K645" s="29"/>
      <c r="L645" s="27">
        <v>79107.565000000002</v>
      </c>
      <c r="M645" s="27">
        <v>78502.744439999995</v>
      </c>
      <c r="N645" s="30" t="s">
        <v>6</v>
      </c>
      <c r="O645" s="28" t="s">
        <v>8</v>
      </c>
      <c r="P645"/>
    </row>
    <row r="646" spans="1:16" x14ac:dyDescent="0.35">
      <c r="A646" s="4">
        <v>643</v>
      </c>
      <c r="B646" s="17">
        <v>46053.737500000003</v>
      </c>
      <c r="C646" s="1">
        <v>78529.02</v>
      </c>
      <c r="D646" s="20">
        <v>78668.399999999994</v>
      </c>
      <c r="E646" s="20">
        <v>78509.19</v>
      </c>
      <c r="F646" s="1">
        <v>78635.28</v>
      </c>
      <c r="G646" s="18">
        <v>300</v>
      </c>
      <c r="I646" s="21">
        <v>46053.737500000003</v>
      </c>
      <c r="J646" s="26"/>
      <c r="K646" s="29">
        <v>78509.19</v>
      </c>
      <c r="L646" s="27">
        <v>79091.256250000006</v>
      </c>
      <c r="M646" s="27">
        <v>78509.19</v>
      </c>
      <c r="N646" s="30" t="s">
        <v>6</v>
      </c>
      <c r="O646" s="28" t="s">
        <v>8</v>
      </c>
      <c r="P646"/>
    </row>
    <row r="647" spans="1:16" x14ac:dyDescent="0.35">
      <c r="A647" s="4">
        <v>644</v>
      </c>
      <c r="B647" s="17">
        <v>46053.738194444442</v>
      </c>
      <c r="C647" s="1">
        <v>78634.17</v>
      </c>
      <c r="D647" s="20">
        <v>78782.539999999994</v>
      </c>
      <c r="E647" s="20">
        <v>78602.509999999995</v>
      </c>
      <c r="F647" s="1">
        <v>78782.539999999994</v>
      </c>
      <c r="G647" s="18">
        <v>299</v>
      </c>
      <c r="I647" s="21">
        <v>46053.738194444442</v>
      </c>
      <c r="J647" s="26"/>
      <c r="K647" s="29"/>
      <c r="L647" s="27">
        <v>79074.947499999995</v>
      </c>
      <c r="M647" s="27">
        <v>78519.554999999993</v>
      </c>
      <c r="N647" s="30" t="s">
        <v>6</v>
      </c>
      <c r="O647" s="28" t="s">
        <v>8</v>
      </c>
      <c r="P647"/>
    </row>
    <row r="648" spans="1:16" x14ac:dyDescent="0.35">
      <c r="A648" s="4">
        <v>645</v>
      </c>
      <c r="B648" s="17">
        <v>46053.738888888889</v>
      </c>
      <c r="C648" s="1">
        <v>78781.89</v>
      </c>
      <c r="D648" s="20">
        <v>78948.95</v>
      </c>
      <c r="E648" s="20">
        <v>78726.97</v>
      </c>
      <c r="F648" s="1">
        <v>78868.320000000007</v>
      </c>
      <c r="G648" s="18">
        <v>299</v>
      </c>
      <c r="I648" s="21">
        <v>46053.738888888889</v>
      </c>
      <c r="J648" s="26"/>
      <c r="K648" s="29"/>
      <c r="L648" s="27">
        <v>79058.638749999998</v>
      </c>
      <c r="M648" s="27">
        <v>78529.919999999998</v>
      </c>
      <c r="N648" s="30" t="s">
        <v>6</v>
      </c>
      <c r="O648" s="28" t="s">
        <v>8</v>
      </c>
      <c r="P648"/>
    </row>
    <row r="649" spans="1:16" x14ac:dyDescent="0.35">
      <c r="A649" s="4">
        <v>646</v>
      </c>
      <c r="B649" s="17">
        <v>46053.739583333336</v>
      </c>
      <c r="C649" s="1">
        <v>78870.06</v>
      </c>
      <c r="D649" s="20">
        <v>79042.33</v>
      </c>
      <c r="E649" s="20">
        <v>78870.06</v>
      </c>
      <c r="F649" s="1">
        <v>79004.34</v>
      </c>
      <c r="G649" s="18">
        <v>302</v>
      </c>
      <c r="I649" s="21">
        <v>46053.739583333336</v>
      </c>
      <c r="J649" s="26">
        <v>79042.33</v>
      </c>
      <c r="K649" s="29"/>
      <c r="L649" s="27">
        <v>79042.33</v>
      </c>
      <c r="M649" s="27">
        <v>78540.285000000003</v>
      </c>
      <c r="N649" s="30" t="s">
        <v>6</v>
      </c>
      <c r="O649" s="28" t="s">
        <v>8</v>
      </c>
      <c r="P649"/>
    </row>
    <row r="650" spans="1:16" x14ac:dyDescent="0.35">
      <c r="A650" s="4">
        <v>647</v>
      </c>
      <c r="B650" s="17">
        <v>46053.740277777775</v>
      </c>
      <c r="C650" s="1">
        <v>79015.100000000006</v>
      </c>
      <c r="D650" s="20">
        <v>79026.399999999994</v>
      </c>
      <c r="E650" s="20">
        <v>78793.62</v>
      </c>
      <c r="F650" s="1">
        <v>78807.92</v>
      </c>
      <c r="G650" s="18">
        <v>299</v>
      </c>
      <c r="I650" s="21">
        <v>46053.740277777775</v>
      </c>
      <c r="J650" s="26"/>
      <c r="K650" s="29"/>
      <c r="L650" s="27">
        <v>79038.051250000004</v>
      </c>
      <c r="M650" s="27">
        <v>78550.649999999994</v>
      </c>
      <c r="N650" s="30" t="s">
        <v>6</v>
      </c>
      <c r="O650" s="28" t="s">
        <v>8</v>
      </c>
      <c r="P650"/>
    </row>
    <row r="651" spans="1:16" x14ac:dyDescent="0.35">
      <c r="A651" s="4">
        <v>648</v>
      </c>
      <c r="B651" s="17">
        <v>46053.740972222222</v>
      </c>
      <c r="C651" s="1">
        <v>78819.929999999993</v>
      </c>
      <c r="D651" s="20">
        <v>78819.929999999993</v>
      </c>
      <c r="E651" s="20">
        <v>78690.5</v>
      </c>
      <c r="F651" s="1">
        <v>78716.37</v>
      </c>
      <c r="G651" s="18">
        <v>281</v>
      </c>
      <c r="I651" s="21">
        <v>46053.740972222222</v>
      </c>
      <c r="J651" s="26"/>
      <c r="K651" s="29"/>
      <c r="L651" s="27">
        <v>79033.772500000006</v>
      </c>
      <c r="M651" s="27">
        <v>78561.014999999999</v>
      </c>
      <c r="N651" s="30" t="s">
        <v>6</v>
      </c>
      <c r="O651" s="28" t="s">
        <v>8</v>
      </c>
      <c r="P651"/>
    </row>
    <row r="652" spans="1:16" x14ac:dyDescent="0.35">
      <c r="A652" s="4">
        <v>649</v>
      </c>
      <c r="B652" s="17">
        <v>46053.741666666669</v>
      </c>
      <c r="C652" s="1">
        <v>78714.95</v>
      </c>
      <c r="D652" s="20">
        <v>78785.320000000007</v>
      </c>
      <c r="E652" s="20">
        <v>78690.5</v>
      </c>
      <c r="F652" s="1">
        <v>78721.94</v>
      </c>
      <c r="G652" s="18">
        <v>273</v>
      </c>
      <c r="I652" s="21">
        <v>46053.741666666669</v>
      </c>
      <c r="J652" s="26"/>
      <c r="K652" s="29"/>
      <c r="L652" s="27">
        <v>79029.493749999994</v>
      </c>
      <c r="M652" s="27">
        <v>78571.38</v>
      </c>
      <c r="N652" s="30" t="s">
        <v>6</v>
      </c>
      <c r="O652" s="28" t="s">
        <v>8</v>
      </c>
      <c r="P652"/>
    </row>
    <row r="653" spans="1:16" x14ac:dyDescent="0.35">
      <c r="A653" s="4">
        <v>650</v>
      </c>
      <c r="B653" s="17">
        <v>46053.742361111108</v>
      </c>
      <c r="C653" s="1">
        <v>78721.95</v>
      </c>
      <c r="D653" s="20">
        <v>78733.429999999993</v>
      </c>
      <c r="E653" s="20">
        <v>78660.03</v>
      </c>
      <c r="F653" s="1">
        <v>78704.009999999995</v>
      </c>
      <c r="G653" s="18">
        <v>277</v>
      </c>
      <c r="I653" s="21">
        <v>46053.742361111108</v>
      </c>
      <c r="J653" s="26"/>
      <c r="K653" s="29"/>
      <c r="L653" s="27">
        <v>79025.214999999997</v>
      </c>
      <c r="M653" s="27">
        <v>78581.744999999995</v>
      </c>
      <c r="N653" s="30" t="s">
        <v>6</v>
      </c>
      <c r="O653" s="28" t="s">
        <v>8</v>
      </c>
      <c r="P653"/>
    </row>
    <row r="654" spans="1:16" x14ac:dyDescent="0.35">
      <c r="A654" s="4">
        <v>651</v>
      </c>
      <c r="B654" s="17">
        <v>46053.743055555555</v>
      </c>
      <c r="C654" s="1">
        <v>78711.320000000007</v>
      </c>
      <c r="D654" s="20">
        <v>78753.649999999994</v>
      </c>
      <c r="E654" s="20">
        <v>78592.11</v>
      </c>
      <c r="F654" s="1">
        <v>78714.31</v>
      </c>
      <c r="G654" s="18">
        <v>294</v>
      </c>
      <c r="I654" s="21">
        <v>46053.743055555555</v>
      </c>
      <c r="J654" s="26"/>
      <c r="K654" s="29">
        <v>78592.11</v>
      </c>
      <c r="L654" s="27">
        <v>79020.936249999999</v>
      </c>
      <c r="M654" s="27">
        <v>78592.11</v>
      </c>
      <c r="N654" s="30" t="s">
        <v>6</v>
      </c>
      <c r="O654" s="28" t="s">
        <v>8</v>
      </c>
      <c r="P654"/>
    </row>
    <row r="655" spans="1:16" x14ac:dyDescent="0.35">
      <c r="A655" s="4">
        <v>652</v>
      </c>
      <c r="B655" s="17">
        <v>46053.743750000001</v>
      </c>
      <c r="C655" s="1">
        <v>78712.210000000006</v>
      </c>
      <c r="D655" s="20">
        <v>78913.320000000007</v>
      </c>
      <c r="E655" s="20">
        <v>78691.199999999997</v>
      </c>
      <c r="F655" s="1">
        <v>78875.009999999995</v>
      </c>
      <c r="G655" s="18">
        <v>281</v>
      </c>
      <c r="I655" s="21">
        <v>46053.743750000001</v>
      </c>
      <c r="J655" s="26"/>
      <c r="K655" s="29"/>
      <c r="L655" s="27">
        <v>79016.657500000001</v>
      </c>
      <c r="M655" s="27">
        <v>78612.05</v>
      </c>
      <c r="N655" s="30" t="s">
        <v>6</v>
      </c>
      <c r="O655" s="28" t="s">
        <v>8</v>
      </c>
      <c r="P655"/>
    </row>
    <row r="656" spans="1:16" x14ac:dyDescent="0.35">
      <c r="A656" s="4">
        <v>653</v>
      </c>
      <c r="B656" s="17">
        <v>46053.744444444441</v>
      </c>
      <c r="C656" s="1">
        <v>78875</v>
      </c>
      <c r="D656" s="20">
        <v>79006.28</v>
      </c>
      <c r="E656" s="20">
        <v>78796.87</v>
      </c>
      <c r="F656" s="1">
        <v>78988.72</v>
      </c>
      <c r="G656" s="18">
        <v>289</v>
      </c>
      <c r="I656" s="21">
        <v>46053.744444444441</v>
      </c>
      <c r="J656" s="26"/>
      <c r="K656" s="29"/>
      <c r="L656" s="27">
        <v>79012.378750000003</v>
      </c>
      <c r="M656" s="27">
        <v>78631.990000000005</v>
      </c>
      <c r="N656" s="30" t="s">
        <v>6</v>
      </c>
      <c r="O656" s="28" t="s">
        <v>8</v>
      </c>
      <c r="P656"/>
    </row>
    <row r="657" spans="1:16" x14ac:dyDescent="0.35">
      <c r="A657" s="4">
        <v>654</v>
      </c>
      <c r="B657" s="17">
        <v>46053.745138888888</v>
      </c>
      <c r="C657" s="1">
        <v>78991.100000000006</v>
      </c>
      <c r="D657" s="20">
        <v>79008.100000000006</v>
      </c>
      <c r="E657" s="20">
        <v>78949.31</v>
      </c>
      <c r="F657" s="1">
        <v>78949.31</v>
      </c>
      <c r="G657" s="18">
        <v>267</v>
      </c>
      <c r="I657" s="21">
        <v>46053.745138888888</v>
      </c>
      <c r="J657" s="26">
        <v>79008.100000000006</v>
      </c>
      <c r="K657" s="29"/>
      <c r="L657" s="27">
        <v>79008.100000000006</v>
      </c>
      <c r="M657" s="27">
        <v>78651.929999999993</v>
      </c>
      <c r="N657" s="30" t="s">
        <v>6</v>
      </c>
      <c r="O657" s="28" t="s">
        <v>8</v>
      </c>
      <c r="P657"/>
    </row>
    <row r="658" spans="1:16" x14ac:dyDescent="0.35">
      <c r="A658" s="4">
        <v>655</v>
      </c>
      <c r="B658" s="17">
        <v>46053.745833333334</v>
      </c>
      <c r="C658" s="1">
        <v>78948.56</v>
      </c>
      <c r="D658" s="20">
        <v>78950.570000000007</v>
      </c>
      <c r="E658" s="20">
        <v>78876.97</v>
      </c>
      <c r="F658" s="1">
        <v>78903.740000000005</v>
      </c>
      <c r="G658" s="18">
        <v>277</v>
      </c>
      <c r="I658" s="21">
        <v>46053.745833333334</v>
      </c>
      <c r="J658" s="26"/>
      <c r="K658" s="29"/>
      <c r="L658" s="27">
        <v>79019.348570000002</v>
      </c>
      <c r="M658" s="27">
        <v>78671.87</v>
      </c>
      <c r="N658" s="30" t="s">
        <v>7</v>
      </c>
      <c r="O658" s="28" t="s">
        <v>8</v>
      </c>
      <c r="P658"/>
    </row>
    <row r="659" spans="1:16" x14ac:dyDescent="0.35">
      <c r="A659" s="4">
        <v>656</v>
      </c>
      <c r="B659" s="17">
        <v>46053.746527777781</v>
      </c>
      <c r="C659" s="1">
        <v>78901.19</v>
      </c>
      <c r="D659" s="20">
        <v>78998.789999999994</v>
      </c>
      <c r="E659" s="20">
        <v>78895.8</v>
      </c>
      <c r="F659" s="1">
        <v>78912.960000000006</v>
      </c>
      <c r="G659" s="18">
        <v>279</v>
      </c>
      <c r="I659" s="21">
        <v>46053.746527777781</v>
      </c>
      <c r="J659" s="26"/>
      <c r="K659" s="29"/>
      <c r="L659" s="27">
        <v>79030.597139999998</v>
      </c>
      <c r="M659" s="27">
        <v>78691.81</v>
      </c>
      <c r="N659" s="30" t="s">
        <v>7</v>
      </c>
      <c r="O659" s="28" t="s">
        <v>8</v>
      </c>
      <c r="P659"/>
    </row>
    <row r="660" spans="1:16" x14ac:dyDescent="0.35">
      <c r="A660" s="4">
        <v>657</v>
      </c>
      <c r="B660" s="17">
        <v>46053.74722222222</v>
      </c>
      <c r="C660" s="1">
        <v>78912.649999999994</v>
      </c>
      <c r="D660" s="20">
        <v>78976.06</v>
      </c>
      <c r="E660" s="20">
        <v>78890.990000000005</v>
      </c>
      <c r="F660" s="1">
        <v>78950.41</v>
      </c>
      <c r="G660" s="18">
        <v>263</v>
      </c>
      <c r="I660" s="21">
        <v>46053.74722222222</v>
      </c>
      <c r="J660" s="26"/>
      <c r="K660" s="29"/>
      <c r="L660" s="27">
        <v>79041.845709999994</v>
      </c>
      <c r="M660" s="27">
        <v>78711.75</v>
      </c>
      <c r="N660" s="30" t="s">
        <v>7</v>
      </c>
      <c r="O660" s="28" t="s">
        <v>8</v>
      </c>
      <c r="P660"/>
    </row>
    <row r="661" spans="1:16" x14ac:dyDescent="0.35">
      <c r="A661" s="4">
        <v>658</v>
      </c>
      <c r="B661" s="17">
        <v>46053.747916666667</v>
      </c>
      <c r="C661" s="1">
        <v>78937.97</v>
      </c>
      <c r="D661" s="20">
        <v>78942.94</v>
      </c>
      <c r="E661" s="20">
        <v>78761.23</v>
      </c>
      <c r="F661" s="1">
        <v>78858.7</v>
      </c>
      <c r="G661" s="18">
        <v>281</v>
      </c>
      <c r="I661" s="21">
        <v>46053.747916666667</v>
      </c>
      <c r="J661" s="26"/>
      <c r="K661" s="29"/>
      <c r="L661" s="27">
        <v>79053.094289999994</v>
      </c>
      <c r="M661" s="27">
        <v>78731.69</v>
      </c>
      <c r="N661" s="30" t="s">
        <v>7</v>
      </c>
      <c r="O661" s="28" t="s">
        <v>8</v>
      </c>
      <c r="P661"/>
    </row>
    <row r="662" spans="1:16" x14ac:dyDescent="0.35">
      <c r="A662" s="4">
        <v>659</v>
      </c>
      <c r="B662" s="17">
        <v>46053.748611111114</v>
      </c>
      <c r="C662" s="1">
        <v>78859.740000000005</v>
      </c>
      <c r="D662" s="20">
        <v>78880.75</v>
      </c>
      <c r="E662" s="20">
        <v>78751.63</v>
      </c>
      <c r="F662" s="1">
        <v>78770.12</v>
      </c>
      <c r="G662" s="18">
        <v>268</v>
      </c>
      <c r="I662" s="21">
        <v>46053.748611111114</v>
      </c>
      <c r="J662" s="26"/>
      <c r="K662" s="29">
        <v>78751.63</v>
      </c>
      <c r="L662" s="27">
        <v>79064.342860000004</v>
      </c>
      <c r="M662" s="27">
        <v>78751.63</v>
      </c>
      <c r="N662" s="30" t="s">
        <v>7</v>
      </c>
      <c r="O662" s="28" t="s">
        <v>8</v>
      </c>
      <c r="P662"/>
    </row>
    <row r="663" spans="1:16" x14ac:dyDescent="0.35">
      <c r="A663" s="4">
        <v>660</v>
      </c>
      <c r="B663" s="17">
        <v>46053.749305555553</v>
      </c>
      <c r="C663" s="1">
        <v>78770.12</v>
      </c>
      <c r="D663" s="20">
        <v>78868.899999999994</v>
      </c>
      <c r="E663" s="20">
        <v>78770.12</v>
      </c>
      <c r="F663" s="1">
        <v>78844.73</v>
      </c>
      <c r="G663" s="18">
        <v>270</v>
      </c>
      <c r="I663" s="21">
        <v>46053.749305555553</v>
      </c>
      <c r="J663" s="26"/>
      <c r="K663" s="29"/>
      <c r="L663" s="27">
        <v>79075.59143</v>
      </c>
      <c r="M663" s="27">
        <v>78748.259999999995</v>
      </c>
      <c r="N663" s="30" t="s">
        <v>7</v>
      </c>
      <c r="O663" s="28" t="s">
        <v>13</v>
      </c>
      <c r="P663"/>
    </row>
    <row r="664" spans="1:16" x14ac:dyDescent="0.35">
      <c r="A664" s="4">
        <v>661</v>
      </c>
      <c r="B664" s="17">
        <v>46053.75</v>
      </c>
      <c r="C664" s="1">
        <v>78846.52</v>
      </c>
      <c r="D664" s="20">
        <v>79086.84</v>
      </c>
      <c r="E664" s="20">
        <v>78833.3</v>
      </c>
      <c r="F664" s="1">
        <v>79065.78</v>
      </c>
      <c r="G664" s="18">
        <v>303</v>
      </c>
      <c r="I664" s="21">
        <v>46053.75</v>
      </c>
      <c r="J664" s="26">
        <v>79086.84</v>
      </c>
      <c r="K664" s="29"/>
      <c r="L664" s="27">
        <v>79086.84</v>
      </c>
      <c r="M664" s="27">
        <v>78744.89</v>
      </c>
      <c r="N664" s="30" t="s">
        <v>7</v>
      </c>
      <c r="O664" s="28" t="s">
        <v>13</v>
      </c>
      <c r="P664"/>
    </row>
    <row r="665" spans="1:16" x14ac:dyDescent="0.35">
      <c r="A665" s="4">
        <v>662</v>
      </c>
      <c r="B665" s="17">
        <v>46053.750694444447</v>
      </c>
      <c r="C665" s="1">
        <v>79066.45</v>
      </c>
      <c r="D665" s="20">
        <v>79067.710000000006</v>
      </c>
      <c r="E665" s="20">
        <v>78886.990000000005</v>
      </c>
      <c r="F665" s="1">
        <v>78913.77</v>
      </c>
      <c r="G665" s="18">
        <v>299</v>
      </c>
      <c r="I665" s="21">
        <v>46053.750694444447</v>
      </c>
      <c r="J665" s="26"/>
      <c r="K665" s="29"/>
      <c r="L665" s="27">
        <v>79059.38</v>
      </c>
      <c r="M665" s="27">
        <v>78741.52</v>
      </c>
      <c r="N665" s="30" t="s">
        <v>6</v>
      </c>
      <c r="O665" s="28" t="s">
        <v>13</v>
      </c>
      <c r="P665"/>
    </row>
    <row r="666" spans="1:16" x14ac:dyDescent="0.35">
      <c r="A666" s="4">
        <v>663</v>
      </c>
      <c r="B666" s="17">
        <v>46053.751388888886</v>
      </c>
      <c r="C666" s="1">
        <v>78916.820000000007</v>
      </c>
      <c r="D666" s="20">
        <v>78990.31</v>
      </c>
      <c r="E666" s="20">
        <v>78879.429999999993</v>
      </c>
      <c r="F666" s="1">
        <v>78908.81</v>
      </c>
      <c r="G666" s="18">
        <v>291</v>
      </c>
      <c r="I666" s="21">
        <v>46053.751388888886</v>
      </c>
      <c r="J666" s="26"/>
      <c r="K666" s="29"/>
      <c r="L666" s="27">
        <v>79031.92</v>
      </c>
      <c r="M666" s="27">
        <v>78738.149999999994</v>
      </c>
      <c r="N666" s="30" t="s">
        <v>6</v>
      </c>
      <c r="O666" s="28" t="s">
        <v>13</v>
      </c>
      <c r="P666"/>
    </row>
    <row r="667" spans="1:16" x14ac:dyDescent="0.35">
      <c r="A667" s="4">
        <v>664</v>
      </c>
      <c r="B667" s="17">
        <v>46053.752083333333</v>
      </c>
      <c r="C667" s="1">
        <v>78905.91</v>
      </c>
      <c r="D667" s="20">
        <v>78905.91</v>
      </c>
      <c r="E667" s="20">
        <v>78800.679999999993</v>
      </c>
      <c r="F667" s="1">
        <v>78805.8</v>
      </c>
      <c r="G667" s="18">
        <v>281</v>
      </c>
      <c r="I667" s="21">
        <v>46053.752083333333</v>
      </c>
      <c r="J667" s="26"/>
      <c r="K667" s="29"/>
      <c r="L667" s="27">
        <v>79004.460000000006</v>
      </c>
      <c r="M667" s="27">
        <v>78734.78</v>
      </c>
      <c r="N667" s="30" t="s">
        <v>6</v>
      </c>
      <c r="O667" s="28" t="s">
        <v>13</v>
      </c>
      <c r="P667"/>
    </row>
    <row r="668" spans="1:16" x14ac:dyDescent="0.35">
      <c r="A668" s="4">
        <v>665</v>
      </c>
      <c r="B668" s="17">
        <v>46053.75277777778</v>
      </c>
      <c r="C668" s="1">
        <v>78800.41</v>
      </c>
      <c r="D668" s="20">
        <v>78812.63</v>
      </c>
      <c r="E668" s="20">
        <v>78731.41</v>
      </c>
      <c r="F668" s="1">
        <v>78785.25</v>
      </c>
      <c r="G668" s="18">
        <v>280</v>
      </c>
      <c r="I668" s="21">
        <v>46053.75277777778</v>
      </c>
      <c r="J668" s="26"/>
      <c r="K668" s="29">
        <v>78731.41</v>
      </c>
      <c r="L668" s="27">
        <v>78977</v>
      </c>
      <c r="M668" s="27">
        <v>78731.41</v>
      </c>
      <c r="N668" s="30" t="s">
        <v>6</v>
      </c>
      <c r="O668" s="28" t="s">
        <v>13</v>
      </c>
      <c r="P668"/>
    </row>
    <row r="669" spans="1:16" x14ac:dyDescent="0.35">
      <c r="A669" s="4">
        <v>666</v>
      </c>
      <c r="B669" s="17">
        <v>46053.753472222219</v>
      </c>
      <c r="C669" s="1">
        <v>78790.23</v>
      </c>
      <c r="D669" s="20">
        <v>78949.539999999994</v>
      </c>
      <c r="E669" s="20">
        <v>78790.23</v>
      </c>
      <c r="F669" s="1">
        <v>78896.06</v>
      </c>
      <c r="G669" s="18">
        <v>293</v>
      </c>
      <c r="I669" s="21">
        <v>46053.753472222219</v>
      </c>
      <c r="J669" s="26">
        <v>78949.539999999994</v>
      </c>
      <c r="K669" s="29"/>
      <c r="L669" s="27">
        <v>78949.539999999994</v>
      </c>
      <c r="M669" s="27">
        <v>78672.600000000006</v>
      </c>
      <c r="N669" s="30" t="s">
        <v>6</v>
      </c>
      <c r="O669" s="28" t="s">
        <v>13</v>
      </c>
      <c r="P669"/>
    </row>
    <row r="670" spans="1:16" x14ac:dyDescent="0.35">
      <c r="A670" s="4">
        <v>667</v>
      </c>
      <c r="B670" s="17">
        <v>46053.754166666666</v>
      </c>
      <c r="C670" s="1">
        <v>78898.03</v>
      </c>
      <c r="D670" s="20">
        <v>78904.91</v>
      </c>
      <c r="E670" s="20">
        <v>78770.5</v>
      </c>
      <c r="F670" s="1">
        <v>78770.63</v>
      </c>
      <c r="G670" s="18">
        <v>278</v>
      </c>
      <c r="I670" s="21">
        <v>46053.754166666666</v>
      </c>
      <c r="J670" s="26"/>
      <c r="K670" s="29"/>
      <c r="L670" s="27">
        <v>78930.713329999999</v>
      </c>
      <c r="M670" s="27">
        <v>78613.789999999994</v>
      </c>
      <c r="N670" s="30" t="s">
        <v>6</v>
      </c>
      <c r="O670" s="28" t="s">
        <v>13</v>
      </c>
      <c r="P670"/>
    </row>
    <row r="671" spans="1:16" x14ac:dyDescent="0.35">
      <c r="A671" s="4">
        <v>668</v>
      </c>
      <c r="B671" s="17">
        <v>46053.754861111112</v>
      </c>
      <c r="C671" s="1">
        <v>78770.48</v>
      </c>
      <c r="D671" s="20">
        <v>78786.539999999994</v>
      </c>
      <c r="E671" s="20">
        <v>78554.98</v>
      </c>
      <c r="F671" s="1">
        <v>78712.149999999994</v>
      </c>
      <c r="G671" s="18">
        <v>290</v>
      </c>
      <c r="I671" s="21">
        <v>46053.754861111112</v>
      </c>
      <c r="J671" s="26"/>
      <c r="K671" s="29">
        <v>78554.98</v>
      </c>
      <c r="L671" s="27">
        <v>78911.886670000007</v>
      </c>
      <c r="M671" s="27">
        <v>78554.98</v>
      </c>
      <c r="N671" s="30" t="s">
        <v>6</v>
      </c>
      <c r="O671" s="28" t="s">
        <v>13</v>
      </c>
      <c r="P671"/>
    </row>
    <row r="672" spans="1:16" x14ac:dyDescent="0.35">
      <c r="A672" s="4">
        <v>669</v>
      </c>
      <c r="B672" s="17">
        <v>46053.755555555559</v>
      </c>
      <c r="C672" s="1">
        <v>78699.929999999993</v>
      </c>
      <c r="D672" s="20">
        <v>78707.81</v>
      </c>
      <c r="E672" s="20">
        <v>78586.7</v>
      </c>
      <c r="F672" s="1">
        <v>78631.899999999994</v>
      </c>
      <c r="G672" s="18">
        <v>271</v>
      </c>
      <c r="I672" s="21">
        <v>46053.755555555559</v>
      </c>
      <c r="J672" s="26"/>
      <c r="K672" s="29"/>
      <c r="L672" s="27">
        <v>78893.06</v>
      </c>
      <c r="M672" s="27">
        <v>78509.958570000003</v>
      </c>
      <c r="N672" s="30" t="s">
        <v>6</v>
      </c>
      <c r="O672" s="28" t="s">
        <v>13</v>
      </c>
      <c r="P672"/>
    </row>
    <row r="673" spans="1:16" x14ac:dyDescent="0.35">
      <c r="A673" s="4">
        <v>670</v>
      </c>
      <c r="B673" s="17">
        <v>46053.756249999999</v>
      </c>
      <c r="C673" s="1">
        <v>78640.2</v>
      </c>
      <c r="D673" s="20">
        <v>78802.97</v>
      </c>
      <c r="E673" s="20">
        <v>78637.100000000006</v>
      </c>
      <c r="F673" s="1">
        <v>78790.210000000006</v>
      </c>
      <c r="G673" s="18">
        <v>289</v>
      </c>
      <c r="I673" s="21">
        <v>46053.756249999999</v>
      </c>
      <c r="J673" s="26"/>
      <c r="K673" s="29"/>
      <c r="L673" s="27">
        <v>78874.233330000003</v>
      </c>
      <c r="M673" s="27">
        <v>78464.937139999995</v>
      </c>
      <c r="N673" s="30" t="s">
        <v>6</v>
      </c>
      <c r="O673" s="28" t="s">
        <v>13</v>
      </c>
      <c r="P673"/>
    </row>
    <row r="674" spans="1:16" x14ac:dyDescent="0.35">
      <c r="A674" s="4">
        <v>671</v>
      </c>
      <c r="B674" s="17">
        <v>46053.756944444445</v>
      </c>
      <c r="C674" s="1">
        <v>78797.7</v>
      </c>
      <c r="D674" s="20">
        <v>78800.039999999994</v>
      </c>
      <c r="E674" s="20">
        <v>78697.279999999999</v>
      </c>
      <c r="F674" s="1">
        <v>78734.91</v>
      </c>
      <c r="G674" s="18">
        <v>274</v>
      </c>
      <c r="I674" s="21">
        <v>46053.756944444445</v>
      </c>
      <c r="J674" s="26"/>
      <c r="K674" s="29"/>
      <c r="L674" s="27">
        <v>78855.406669999997</v>
      </c>
      <c r="M674" s="27">
        <v>78419.915710000001</v>
      </c>
      <c r="N674" s="30" t="s">
        <v>6</v>
      </c>
      <c r="O674" s="28" t="s">
        <v>13</v>
      </c>
      <c r="P674"/>
    </row>
    <row r="675" spans="1:16" x14ac:dyDescent="0.35">
      <c r="A675" s="4">
        <v>672</v>
      </c>
      <c r="B675" s="17">
        <v>46053.757638888892</v>
      </c>
      <c r="C675" s="1">
        <v>78740.3</v>
      </c>
      <c r="D675" s="20">
        <v>78836.58</v>
      </c>
      <c r="E675" s="20">
        <v>78728.070000000007</v>
      </c>
      <c r="F675" s="1">
        <v>78755.33</v>
      </c>
      <c r="G675" s="18">
        <v>264</v>
      </c>
      <c r="I675" s="21">
        <v>46053.757638888892</v>
      </c>
      <c r="J675" s="26">
        <v>78836.58</v>
      </c>
      <c r="K675" s="29"/>
      <c r="L675" s="27">
        <v>78836.58</v>
      </c>
      <c r="M675" s="27">
        <v>78374.894289999997</v>
      </c>
      <c r="N675" s="30" t="s">
        <v>6</v>
      </c>
      <c r="O675" s="28" t="s">
        <v>13</v>
      </c>
      <c r="P675"/>
    </row>
    <row r="676" spans="1:16" x14ac:dyDescent="0.35">
      <c r="A676" s="4">
        <v>673</v>
      </c>
      <c r="B676" s="17">
        <v>46053.758333333331</v>
      </c>
      <c r="C676" s="1">
        <v>78755.3</v>
      </c>
      <c r="D676" s="20">
        <v>78772.320000000007</v>
      </c>
      <c r="E676" s="20">
        <v>78678.13</v>
      </c>
      <c r="F676" s="1">
        <v>78756</v>
      </c>
      <c r="G676" s="18">
        <v>264</v>
      </c>
      <c r="I676" s="21">
        <v>46053.758333333331</v>
      </c>
      <c r="J676" s="26"/>
      <c r="K676" s="29"/>
      <c r="L676" s="27">
        <v>78805.001820000005</v>
      </c>
      <c r="M676" s="27">
        <v>78329.872860000003</v>
      </c>
      <c r="N676" s="30" t="s">
        <v>6</v>
      </c>
      <c r="O676" s="28" t="s">
        <v>13</v>
      </c>
      <c r="P676"/>
    </row>
    <row r="677" spans="1:16" x14ac:dyDescent="0.35">
      <c r="A677" s="4">
        <v>674</v>
      </c>
      <c r="B677" s="17">
        <v>46053.759027777778</v>
      </c>
      <c r="C677" s="1">
        <v>78756</v>
      </c>
      <c r="D677" s="20">
        <v>78756.02</v>
      </c>
      <c r="E677" s="20">
        <v>78653.119999999995</v>
      </c>
      <c r="F677" s="1">
        <v>78680.72</v>
      </c>
      <c r="G677" s="18">
        <v>261</v>
      </c>
      <c r="I677" s="21">
        <v>46053.759027777778</v>
      </c>
      <c r="J677" s="26"/>
      <c r="K677" s="29"/>
      <c r="L677" s="27">
        <v>78773.423639999994</v>
      </c>
      <c r="M677" s="27">
        <v>78284.851429999995</v>
      </c>
      <c r="N677" s="30" t="s">
        <v>6</v>
      </c>
      <c r="O677" s="28" t="s">
        <v>13</v>
      </c>
      <c r="P677"/>
    </row>
    <row r="678" spans="1:16" x14ac:dyDescent="0.35">
      <c r="A678" s="4">
        <v>675</v>
      </c>
      <c r="B678" s="17">
        <v>46053.759722222225</v>
      </c>
      <c r="C678" s="1">
        <v>78680.710000000006</v>
      </c>
      <c r="D678" s="20">
        <v>78693.06</v>
      </c>
      <c r="E678" s="20">
        <v>78535.55</v>
      </c>
      <c r="F678" s="1">
        <v>78585.38</v>
      </c>
      <c r="G678" s="18">
        <v>256</v>
      </c>
      <c r="I678" s="21">
        <v>46053.759722222225</v>
      </c>
      <c r="J678" s="26"/>
      <c r="K678" s="29"/>
      <c r="L678" s="27">
        <v>78741.845449999993</v>
      </c>
      <c r="M678" s="27">
        <v>78239.83</v>
      </c>
      <c r="N678" s="30" t="s">
        <v>6</v>
      </c>
      <c r="O678" s="28" t="s">
        <v>13</v>
      </c>
      <c r="P678"/>
    </row>
    <row r="679" spans="1:16" x14ac:dyDescent="0.35">
      <c r="A679" s="4">
        <v>676</v>
      </c>
      <c r="B679" s="17">
        <v>46053.760416666664</v>
      </c>
      <c r="C679" s="1">
        <v>78585.279999999999</v>
      </c>
      <c r="D679" s="20">
        <v>78614.8</v>
      </c>
      <c r="E679" s="20">
        <v>78523.199999999997</v>
      </c>
      <c r="F679" s="1">
        <v>78547.25</v>
      </c>
      <c r="G679" s="18">
        <v>284</v>
      </c>
      <c r="I679" s="21">
        <v>46053.760416666664</v>
      </c>
      <c r="J679" s="26"/>
      <c r="K679" s="29"/>
      <c r="L679" s="27">
        <v>78710.267269999997</v>
      </c>
      <c r="M679" s="27">
        <v>78194.808569999994</v>
      </c>
      <c r="N679" s="30" t="s">
        <v>6</v>
      </c>
      <c r="O679" s="28" t="s">
        <v>13</v>
      </c>
      <c r="P679"/>
    </row>
    <row r="680" spans="1:16" x14ac:dyDescent="0.35">
      <c r="A680" s="4">
        <v>677</v>
      </c>
      <c r="B680" s="17">
        <v>46053.761111111111</v>
      </c>
      <c r="C680" s="1">
        <v>78547.23</v>
      </c>
      <c r="D680" s="20">
        <v>78611.61</v>
      </c>
      <c r="E680" s="20">
        <v>78380.259999999995</v>
      </c>
      <c r="F680" s="1">
        <v>78380.259999999995</v>
      </c>
      <c r="G680" s="18">
        <v>289</v>
      </c>
      <c r="I680" s="21">
        <v>46053.761111111111</v>
      </c>
      <c r="J680" s="26"/>
      <c r="K680" s="29"/>
      <c r="L680" s="27">
        <v>78678.68909</v>
      </c>
      <c r="M680" s="27">
        <v>78149.78714</v>
      </c>
      <c r="N680" s="30" t="s">
        <v>6</v>
      </c>
      <c r="O680" s="28" t="s">
        <v>13</v>
      </c>
      <c r="P680"/>
    </row>
    <row r="681" spans="1:16" x14ac:dyDescent="0.35">
      <c r="A681" s="4">
        <v>678</v>
      </c>
      <c r="B681" s="17">
        <v>46053.761805555558</v>
      </c>
      <c r="C681" s="1">
        <v>78380.2</v>
      </c>
      <c r="D681" s="20">
        <v>78572.37</v>
      </c>
      <c r="E681" s="20">
        <v>78371.03</v>
      </c>
      <c r="F681" s="1">
        <v>78467.89</v>
      </c>
      <c r="G681" s="18">
        <v>300</v>
      </c>
      <c r="I681" s="21">
        <v>46053.761805555558</v>
      </c>
      <c r="J681" s="26"/>
      <c r="K681" s="29"/>
      <c r="L681" s="27">
        <v>78647.110910000003</v>
      </c>
      <c r="M681" s="27">
        <v>78104.765710000007</v>
      </c>
      <c r="N681" s="30" t="s">
        <v>6</v>
      </c>
      <c r="O681" s="28" t="s">
        <v>13</v>
      </c>
      <c r="P681"/>
    </row>
    <row r="682" spans="1:16" x14ac:dyDescent="0.35">
      <c r="A682" s="4">
        <v>679</v>
      </c>
      <c r="B682" s="17">
        <v>46053.762499999997</v>
      </c>
      <c r="C682" s="1">
        <v>78476.69</v>
      </c>
      <c r="D682" s="20">
        <v>78476.69</v>
      </c>
      <c r="E682" s="20">
        <v>78314.789999999994</v>
      </c>
      <c r="F682" s="1">
        <v>78319.98</v>
      </c>
      <c r="G682" s="18">
        <v>310</v>
      </c>
      <c r="I682" s="21">
        <v>46053.762499999997</v>
      </c>
      <c r="J682" s="26"/>
      <c r="K682" s="29"/>
      <c r="L682" s="27">
        <v>78615.532730000006</v>
      </c>
      <c r="M682" s="27">
        <v>78059.744290000002</v>
      </c>
      <c r="N682" s="30" t="s">
        <v>6</v>
      </c>
      <c r="O682" s="28" t="s">
        <v>13</v>
      </c>
      <c r="P682"/>
    </row>
    <row r="683" spans="1:16" x14ac:dyDescent="0.35">
      <c r="A683" s="4">
        <v>680</v>
      </c>
      <c r="B683" s="17">
        <v>46053.763194444444</v>
      </c>
      <c r="C683" s="1">
        <v>78323.649999999994</v>
      </c>
      <c r="D683" s="20">
        <v>78419.839999999997</v>
      </c>
      <c r="E683" s="20">
        <v>78295.63</v>
      </c>
      <c r="F683" s="1">
        <v>78311.94</v>
      </c>
      <c r="G683" s="18">
        <v>280</v>
      </c>
      <c r="I683" s="21">
        <v>46053.763194444444</v>
      </c>
      <c r="J683" s="26"/>
      <c r="K683" s="29"/>
      <c r="L683" s="27">
        <v>78583.954549999995</v>
      </c>
      <c r="M683" s="27">
        <v>78014.722859999994</v>
      </c>
      <c r="N683" s="30" t="s">
        <v>6</v>
      </c>
      <c r="O683" s="28" t="s">
        <v>13</v>
      </c>
      <c r="P683"/>
    </row>
    <row r="684" spans="1:16" x14ac:dyDescent="0.35">
      <c r="A684" s="4">
        <v>681</v>
      </c>
      <c r="B684" s="17">
        <v>46053.763888888891</v>
      </c>
      <c r="C684" s="1">
        <v>78317.899999999994</v>
      </c>
      <c r="D684" s="20">
        <v>78352.36</v>
      </c>
      <c r="E684" s="20">
        <v>78134.05</v>
      </c>
      <c r="F684" s="1">
        <v>78216.149999999994</v>
      </c>
      <c r="G684" s="18">
        <v>308</v>
      </c>
      <c r="I684" s="21">
        <v>46053.763888888891</v>
      </c>
      <c r="J684" s="26"/>
      <c r="K684" s="29"/>
      <c r="L684" s="27">
        <v>78552.376359999995</v>
      </c>
      <c r="M684" s="27">
        <v>77969.701430000001</v>
      </c>
      <c r="N684" s="30" t="s">
        <v>6</v>
      </c>
      <c r="O684" s="28" t="s">
        <v>13</v>
      </c>
      <c r="P684"/>
    </row>
    <row r="685" spans="1:16" x14ac:dyDescent="0.35">
      <c r="A685" s="4">
        <v>682</v>
      </c>
      <c r="B685" s="17">
        <v>46053.76458333333</v>
      </c>
      <c r="C685" s="1">
        <v>78209.899999999994</v>
      </c>
      <c r="D685" s="20">
        <v>78288.95</v>
      </c>
      <c r="E685" s="20">
        <v>77924.679999999993</v>
      </c>
      <c r="F685" s="1">
        <v>78136.08</v>
      </c>
      <c r="G685" s="18">
        <v>305</v>
      </c>
      <c r="I685" s="21">
        <v>46053.76458333333</v>
      </c>
      <c r="J685" s="26"/>
      <c r="K685" s="29">
        <v>77924.679999999993</v>
      </c>
      <c r="L685" s="27">
        <v>78520.798179999998</v>
      </c>
      <c r="M685" s="27">
        <v>77924.679999999993</v>
      </c>
      <c r="N685" s="30" t="s">
        <v>6</v>
      </c>
      <c r="O685" s="28" t="s">
        <v>13</v>
      </c>
      <c r="P685"/>
    </row>
    <row r="686" spans="1:16" x14ac:dyDescent="0.35">
      <c r="A686" s="4">
        <v>683</v>
      </c>
      <c r="B686" s="17">
        <v>46053.765277777777</v>
      </c>
      <c r="C686" s="1">
        <v>78117.53</v>
      </c>
      <c r="D686" s="20">
        <v>78489.22</v>
      </c>
      <c r="E686" s="20">
        <v>78117.53</v>
      </c>
      <c r="F686" s="1">
        <v>78365.67</v>
      </c>
      <c r="G686" s="18">
        <v>301</v>
      </c>
      <c r="I686" s="21">
        <v>46053.765277777777</v>
      </c>
      <c r="J686" s="26">
        <v>78489.22</v>
      </c>
      <c r="K686" s="29"/>
      <c r="L686" s="27">
        <v>78489.22</v>
      </c>
      <c r="M686" s="27">
        <v>77972.648329999996</v>
      </c>
      <c r="N686" s="30" t="s">
        <v>6</v>
      </c>
      <c r="O686" s="28" t="s">
        <v>8</v>
      </c>
      <c r="P686"/>
    </row>
    <row r="687" spans="1:16" x14ac:dyDescent="0.35">
      <c r="A687" s="4">
        <v>684</v>
      </c>
      <c r="B687" s="17">
        <v>46053.765972222223</v>
      </c>
      <c r="C687" s="1">
        <v>78361.66</v>
      </c>
      <c r="D687" s="20">
        <v>78367.91</v>
      </c>
      <c r="E687" s="20">
        <v>78271.91</v>
      </c>
      <c r="F687" s="1">
        <v>78360.03</v>
      </c>
      <c r="G687" s="18">
        <v>305</v>
      </c>
      <c r="I687" s="21">
        <v>46053.765972222223</v>
      </c>
      <c r="J687" s="26"/>
      <c r="K687" s="29"/>
      <c r="L687" s="27">
        <v>78511.556670000005</v>
      </c>
      <c r="M687" s="27">
        <v>78020.616670000003</v>
      </c>
      <c r="N687" s="30" t="s">
        <v>7</v>
      </c>
      <c r="O687" s="28" t="s">
        <v>8</v>
      </c>
      <c r="P687"/>
    </row>
    <row r="688" spans="1:16" x14ac:dyDescent="0.35">
      <c r="A688" s="4">
        <v>685</v>
      </c>
      <c r="B688" s="17">
        <v>46053.76666666667</v>
      </c>
      <c r="C688" s="1">
        <v>78351.39</v>
      </c>
      <c r="D688" s="20">
        <v>78413.62</v>
      </c>
      <c r="E688" s="20">
        <v>78240.5</v>
      </c>
      <c r="F688" s="1">
        <v>78244.22</v>
      </c>
      <c r="G688" s="18">
        <v>276</v>
      </c>
      <c r="I688" s="21">
        <v>46053.76666666667</v>
      </c>
      <c r="J688" s="26"/>
      <c r="K688" s="29"/>
      <c r="L688" s="27">
        <v>78533.893330000006</v>
      </c>
      <c r="M688" s="27">
        <v>78068.585000000006</v>
      </c>
      <c r="N688" s="30" t="s">
        <v>7</v>
      </c>
      <c r="O688" s="28" t="s">
        <v>8</v>
      </c>
      <c r="P688"/>
    </row>
    <row r="689" spans="1:16" x14ac:dyDescent="0.35">
      <c r="A689" s="4">
        <v>686</v>
      </c>
      <c r="B689" s="17">
        <v>46053.767361111109</v>
      </c>
      <c r="C689" s="1">
        <v>78244.36</v>
      </c>
      <c r="D689" s="20">
        <v>78390.34</v>
      </c>
      <c r="E689" s="20">
        <v>78244.36</v>
      </c>
      <c r="F689" s="1">
        <v>78390.320000000007</v>
      </c>
      <c r="G689" s="18">
        <v>293</v>
      </c>
      <c r="I689" s="21">
        <v>46053.767361111109</v>
      </c>
      <c r="J689" s="26"/>
      <c r="K689" s="29"/>
      <c r="L689" s="27">
        <v>78556.23</v>
      </c>
      <c r="M689" s="27">
        <v>78116.553329999995</v>
      </c>
      <c r="N689" s="30" t="s">
        <v>7</v>
      </c>
      <c r="O689" s="28" t="s">
        <v>8</v>
      </c>
      <c r="P689"/>
    </row>
    <row r="690" spans="1:16" x14ac:dyDescent="0.35">
      <c r="A690" s="4">
        <v>687</v>
      </c>
      <c r="B690" s="17">
        <v>46053.768055555556</v>
      </c>
      <c r="C690" s="1">
        <v>78390.320000000007</v>
      </c>
      <c r="D690" s="20">
        <v>78390.320000000007</v>
      </c>
      <c r="E690" s="20">
        <v>78221.27</v>
      </c>
      <c r="F690" s="1">
        <v>78222.12</v>
      </c>
      <c r="G690" s="18">
        <v>258</v>
      </c>
      <c r="I690" s="21">
        <v>46053.768055555556</v>
      </c>
      <c r="J690" s="26"/>
      <c r="K690" s="29"/>
      <c r="L690" s="27">
        <v>78578.56667</v>
      </c>
      <c r="M690" s="27">
        <v>78164.521670000002</v>
      </c>
      <c r="N690" s="30" t="s">
        <v>7</v>
      </c>
      <c r="O690" s="28" t="s">
        <v>8</v>
      </c>
      <c r="P690"/>
    </row>
    <row r="691" spans="1:16" x14ac:dyDescent="0.35">
      <c r="A691" s="4">
        <v>688</v>
      </c>
      <c r="B691" s="17">
        <v>46053.768750000003</v>
      </c>
      <c r="C691" s="1">
        <v>78227.850000000006</v>
      </c>
      <c r="D691" s="20">
        <v>78349.960000000006</v>
      </c>
      <c r="E691" s="20">
        <v>78212.490000000005</v>
      </c>
      <c r="F691" s="1">
        <v>78313.009999999995</v>
      </c>
      <c r="G691" s="18">
        <v>279</v>
      </c>
      <c r="I691" s="21">
        <v>46053.768750000003</v>
      </c>
      <c r="J691" s="26"/>
      <c r="K691" s="29">
        <v>78212.490000000005</v>
      </c>
      <c r="L691" s="27">
        <v>78600.903330000001</v>
      </c>
      <c r="M691" s="27">
        <v>78212.490000000005</v>
      </c>
      <c r="N691" s="30" t="s">
        <v>7</v>
      </c>
      <c r="O691" s="28" t="s">
        <v>8</v>
      </c>
      <c r="P691"/>
    </row>
    <row r="692" spans="1:16" x14ac:dyDescent="0.35">
      <c r="A692" s="4">
        <v>689</v>
      </c>
      <c r="B692" s="17">
        <v>46053.769444444442</v>
      </c>
      <c r="C692" s="1">
        <v>78314.52</v>
      </c>
      <c r="D692" s="20">
        <v>78435.34</v>
      </c>
      <c r="E692" s="20">
        <v>78283.070000000007</v>
      </c>
      <c r="F692" s="1">
        <v>78384.2</v>
      </c>
      <c r="G692" s="18">
        <v>275</v>
      </c>
      <c r="I692" s="21">
        <v>46053.769444444442</v>
      </c>
      <c r="J692" s="26"/>
      <c r="K692" s="29"/>
      <c r="L692" s="27">
        <v>78623.240000000005</v>
      </c>
      <c r="M692" s="27">
        <v>78128.053849999997</v>
      </c>
      <c r="N692" s="30" t="s">
        <v>7</v>
      </c>
      <c r="O692" s="28" t="s">
        <v>13</v>
      </c>
      <c r="P692"/>
    </row>
    <row r="693" spans="1:16" x14ac:dyDescent="0.35">
      <c r="A693" s="4">
        <v>690</v>
      </c>
      <c r="B693" s="17">
        <v>46053.770138888889</v>
      </c>
      <c r="C693" s="1">
        <v>78384.320000000007</v>
      </c>
      <c r="D693" s="20">
        <v>78397.8</v>
      </c>
      <c r="E693" s="20">
        <v>78330.92</v>
      </c>
      <c r="F693" s="1">
        <v>78388.789999999994</v>
      </c>
      <c r="G693" s="18">
        <v>240</v>
      </c>
      <c r="I693" s="21">
        <v>46053.770138888889</v>
      </c>
      <c r="J693" s="26"/>
      <c r="K693" s="29"/>
      <c r="L693" s="27">
        <v>78645.576669999995</v>
      </c>
      <c r="M693" s="27">
        <v>78043.617689999999</v>
      </c>
      <c r="N693" s="30" t="s">
        <v>7</v>
      </c>
      <c r="O693" s="28" t="s">
        <v>13</v>
      </c>
      <c r="P693"/>
    </row>
    <row r="694" spans="1:16" x14ac:dyDescent="0.35">
      <c r="A694" s="4">
        <v>691</v>
      </c>
      <c r="B694" s="17">
        <v>46053.770833333336</v>
      </c>
      <c r="C694" s="1">
        <v>78388.72</v>
      </c>
      <c r="D694" s="20">
        <v>78681</v>
      </c>
      <c r="E694" s="20">
        <v>78388.399999999994</v>
      </c>
      <c r="F694" s="1">
        <v>78645.710000000006</v>
      </c>
      <c r="G694" s="18">
        <v>298</v>
      </c>
      <c r="I694" s="21">
        <v>46053.770833333336</v>
      </c>
      <c r="J694" s="26"/>
      <c r="K694" s="29"/>
      <c r="L694" s="27">
        <v>78667.913329999996</v>
      </c>
      <c r="M694" s="27">
        <v>77959.181540000005</v>
      </c>
      <c r="N694" s="30" t="s">
        <v>7</v>
      </c>
      <c r="O694" s="28" t="s">
        <v>13</v>
      </c>
      <c r="P694"/>
    </row>
    <row r="695" spans="1:16" x14ac:dyDescent="0.35">
      <c r="A695" s="4">
        <v>692</v>
      </c>
      <c r="B695" s="17">
        <v>46053.771527777775</v>
      </c>
      <c r="C695" s="1">
        <v>78660.5</v>
      </c>
      <c r="D695" s="20">
        <v>78690.25</v>
      </c>
      <c r="E695" s="20">
        <v>78398.320000000007</v>
      </c>
      <c r="F695" s="1">
        <v>78417.820000000007</v>
      </c>
      <c r="G695" s="18">
        <v>290</v>
      </c>
      <c r="I695" s="21">
        <v>46053.771527777775</v>
      </c>
      <c r="J695" s="26">
        <v>78690.25</v>
      </c>
      <c r="K695" s="29"/>
      <c r="L695" s="27">
        <v>78690.25</v>
      </c>
      <c r="M695" s="27">
        <v>77874.745379999993</v>
      </c>
      <c r="N695" s="30" t="s">
        <v>7</v>
      </c>
      <c r="O695" s="28" t="s">
        <v>13</v>
      </c>
      <c r="P695"/>
    </row>
    <row r="696" spans="1:16" x14ac:dyDescent="0.35">
      <c r="A696" s="4">
        <v>693</v>
      </c>
      <c r="B696" s="17">
        <v>46053.772222222222</v>
      </c>
      <c r="C696" s="1">
        <v>78424.009999999995</v>
      </c>
      <c r="D696" s="20">
        <v>78433.240000000005</v>
      </c>
      <c r="E696" s="20">
        <v>78353.23</v>
      </c>
      <c r="F696" s="1">
        <v>78379.81</v>
      </c>
      <c r="G696" s="18">
        <v>241</v>
      </c>
      <c r="I696" s="21">
        <v>46053.772222222222</v>
      </c>
      <c r="J696" s="26"/>
      <c r="K696" s="29"/>
      <c r="L696" s="27">
        <v>78662.361999999994</v>
      </c>
      <c r="M696" s="27">
        <v>77790.309229999999</v>
      </c>
      <c r="N696" s="30" t="s">
        <v>6</v>
      </c>
      <c r="O696" s="28" t="s">
        <v>13</v>
      </c>
      <c r="P696"/>
    </row>
    <row r="697" spans="1:16" x14ac:dyDescent="0.35">
      <c r="A697" s="4">
        <v>694</v>
      </c>
      <c r="B697" s="17">
        <v>46053.772916666669</v>
      </c>
      <c r="C697" s="1">
        <v>78376.62</v>
      </c>
      <c r="D697" s="20">
        <v>78388.12</v>
      </c>
      <c r="E697" s="20">
        <v>78311.44</v>
      </c>
      <c r="F697" s="1">
        <v>78324.92</v>
      </c>
      <c r="G697" s="18">
        <v>281</v>
      </c>
      <c r="I697" s="21">
        <v>46053.772916666669</v>
      </c>
      <c r="J697" s="26"/>
      <c r="K697" s="29"/>
      <c r="L697" s="27">
        <v>78634.474000000002</v>
      </c>
      <c r="M697" s="27">
        <v>77705.873080000005</v>
      </c>
      <c r="N697" s="30" t="s">
        <v>6</v>
      </c>
      <c r="O697" s="28" t="s">
        <v>13</v>
      </c>
      <c r="P697"/>
    </row>
    <row r="698" spans="1:16" x14ac:dyDescent="0.35">
      <c r="A698" s="4">
        <v>695</v>
      </c>
      <c r="B698" s="17">
        <v>46053.773611111108</v>
      </c>
      <c r="C698" s="1">
        <v>78314.34</v>
      </c>
      <c r="D698" s="20">
        <v>78382.399999999994</v>
      </c>
      <c r="E698" s="20">
        <v>78303.820000000007</v>
      </c>
      <c r="F698" s="1">
        <v>78369.36</v>
      </c>
      <c r="G698" s="18">
        <v>278</v>
      </c>
      <c r="I698" s="21">
        <v>46053.773611111108</v>
      </c>
      <c r="J698" s="26"/>
      <c r="K698" s="29"/>
      <c r="L698" s="27">
        <v>78606.585999999996</v>
      </c>
      <c r="M698" s="27">
        <v>77621.436919999993</v>
      </c>
      <c r="N698" s="30" t="s">
        <v>6</v>
      </c>
      <c r="O698" s="28" t="s">
        <v>13</v>
      </c>
      <c r="P698"/>
    </row>
    <row r="699" spans="1:16" x14ac:dyDescent="0.35">
      <c r="A699" s="4">
        <v>696</v>
      </c>
      <c r="B699" s="17">
        <v>46053.774305555555</v>
      </c>
      <c r="C699" s="1">
        <v>78369.31</v>
      </c>
      <c r="D699" s="20">
        <v>78370.990000000005</v>
      </c>
      <c r="E699" s="20">
        <v>78157.789999999994</v>
      </c>
      <c r="F699" s="1">
        <v>78170.22</v>
      </c>
      <c r="G699" s="18">
        <v>285</v>
      </c>
      <c r="I699" s="21">
        <v>46053.774305555555</v>
      </c>
      <c r="J699" s="26"/>
      <c r="K699" s="29"/>
      <c r="L699" s="27">
        <v>78578.698000000004</v>
      </c>
      <c r="M699" s="27">
        <v>77537.000769999999</v>
      </c>
      <c r="N699" s="30" t="s">
        <v>6</v>
      </c>
      <c r="O699" s="28" t="s">
        <v>13</v>
      </c>
      <c r="P699"/>
    </row>
    <row r="700" spans="1:16" x14ac:dyDescent="0.35">
      <c r="A700" s="4">
        <v>697</v>
      </c>
      <c r="B700" s="17">
        <v>46053.775000000001</v>
      </c>
      <c r="C700" s="1">
        <v>78169.990000000005</v>
      </c>
      <c r="D700" s="20">
        <v>78199.320000000007</v>
      </c>
      <c r="E700" s="20">
        <v>78148.95</v>
      </c>
      <c r="F700" s="1">
        <v>78150.97</v>
      </c>
      <c r="G700" s="18">
        <v>283</v>
      </c>
      <c r="I700" s="21">
        <v>46053.775000000001</v>
      </c>
      <c r="J700" s="26"/>
      <c r="K700" s="29"/>
      <c r="L700" s="27">
        <v>78550.81</v>
      </c>
      <c r="M700" s="27">
        <v>77452.564620000005</v>
      </c>
      <c r="N700" s="30" t="s">
        <v>6</v>
      </c>
      <c r="O700" s="28" t="s">
        <v>13</v>
      </c>
      <c r="P700"/>
    </row>
    <row r="701" spans="1:16" x14ac:dyDescent="0.35">
      <c r="A701" s="4">
        <v>698</v>
      </c>
      <c r="B701" s="17">
        <v>46053.775694444441</v>
      </c>
      <c r="C701" s="1">
        <v>78150.87</v>
      </c>
      <c r="D701" s="20">
        <v>78162.899999999994</v>
      </c>
      <c r="E701" s="20">
        <v>77682.28</v>
      </c>
      <c r="F701" s="1">
        <v>77704.2</v>
      </c>
      <c r="G701" s="18">
        <v>308</v>
      </c>
      <c r="I701" s="21">
        <v>46053.775694444441</v>
      </c>
      <c r="J701" s="26"/>
      <c r="K701" s="29"/>
      <c r="L701" s="27">
        <v>78522.922000000006</v>
      </c>
      <c r="M701" s="27">
        <v>77368.128460000007</v>
      </c>
      <c r="N701" s="30" t="s">
        <v>6</v>
      </c>
      <c r="O701" s="28" t="s">
        <v>13</v>
      </c>
      <c r="P701"/>
    </row>
    <row r="702" spans="1:16" x14ac:dyDescent="0.35">
      <c r="A702" s="4">
        <v>699</v>
      </c>
      <c r="B702" s="17">
        <v>46053.776388888888</v>
      </c>
      <c r="C702" s="1">
        <v>77695.83</v>
      </c>
      <c r="D702" s="20">
        <v>77880.52</v>
      </c>
      <c r="E702" s="20">
        <v>77391.320000000007</v>
      </c>
      <c r="F702" s="1">
        <v>77753.34</v>
      </c>
      <c r="G702" s="18">
        <v>314</v>
      </c>
      <c r="I702" s="21">
        <v>46053.776388888888</v>
      </c>
      <c r="J702" s="26"/>
      <c r="K702" s="29"/>
      <c r="L702" s="27">
        <v>78495.034</v>
      </c>
      <c r="M702" s="27">
        <v>77283.692309999999</v>
      </c>
      <c r="N702" s="30" t="s">
        <v>6</v>
      </c>
      <c r="O702" s="28" t="s">
        <v>13</v>
      </c>
      <c r="P702"/>
    </row>
    <row r="703" spans="1:16" x14ac:dyDescent="0.35">
      <c r="A703" s="4">
        <v>700</v>
      </c>
      <c r="B703" s="17">
        <v>46053.777083333334</v>
      </c>
      <c r="C703" s="1">
        <v>77772.350000000006</v>
      </c>
      <c r="D703" s="20">
        <v>77915.77</v>
      </c>
      <c r="E703" s="20">
        <v>77440.33</v>
      </c>
      <c r="F703" s="1">
        <v>77505.77</v>
      </c>
      <c r="G703" s="18">
        <v>312</v>
      </c>
      <c r="I703" s="21">
        <v>46053.777083333334</v>
      </c>
      <c r="J703" s="26"/>
      <c r="K703" s="29"/>
      <c r="L703" s="27">
        <v>78467.145999999993</v>
      </c>
      <c r="M703" s="27">
        <v>77199.256150000001</v>
      </c>
      <c r="N703" s="30" t="s">
        <v>6</v>
      </c>
      <c r="O703" s="28" t="s">
        <v>13</v>
      </c>
      <c r="P703"/>
    </row>
    <row r="704" spans="1:16" x14ac:dyDescent="0.35">
      <c r="A704" s="4">
        <v>701</v>
      </c>
      <c r="B704" s="17">
        <v>46053.777777777781</v>
      </c>
      <c r="C704" s="1">
        <v>77492.509999999995</v>
      </c>
      <c r="D704" s="20">
        <v>77577.009999999995</v>
      </c>
      <c r="E704" s="20">
        <v>77114.820000000007</v>
      </c>
      <c r="F704" s="1">
        <v>77120.88</v>
      </c>
      <c r="G704" s="18">
        <v>310</v>
      </c>
      <c r="I704" s="21">
        <v>46053.777777777781</v>
      </c>
      <c r="J704" s="26"/>
      <c r="K704" s="29">
        <v>77114.820000000007</v>
      </c>
      <c r="L704" s="27">
        <v>78439.258000000002</v>
      </c>
      <c r="M704" s="27">
        <v>77114.820000000007</v>
      </c>
      <c r="N704" s="30" t="s">
        <v>6</v>
      </c>
      <c r="O704" s="28" t="s">
        <v>13</v>
      </c>
      <c r="P704"/>
    </row>
    <row r="705" spans="1:16" x14ac:dyDescent="0.35">
      <c r="A705" s="4">
        <v>702</v>
      </c>
      <c r="B705" s="17">
        <v>46053.77847222222</v>
      </c>
      <c r="C705" s="1">
        <v>77171.78</v>
      </c>
      <c r="D705" s="20">
        <v>77544.44</v>
      </c>
      <c r="E705" s="20">
        <v>77171.78</v>
      </c>
      <c r="F705" s="1">
        <v>77448.47</v>
      </c>
      <c r="G705" s="18">
        <v>310</v>
      </c>
      <c r="I705" s="21">
        <v>46053.77847222222</v>
      </c>
      <c r="J705" s="26"/>
      <c r="K705" s="29"/>
      <c r="L705" s="27">
        <v>78411.37</v>
      </c>
      <c r="M705" s="27">
        <v>76590.146670000002</v>
      </c>
      <c r="N705" s="30" t="s">
        <v>6</v>
      </c>
      <c r="O705" s="28" t="s">
        <v>13</v>
      </c>
      <c r="P705"/>
    </row>
    <row r="706" spans="1:16" x14ac:dyDescent="0.35">
      <c r="A706" s="4">
        <v>703</v>
      </c>
      <c r="B706" s="17">
        <v>46053.779166666667</v>
      </c>
      <c r="C706" s="1">
        <v>77442.100000000006</v>
      </c>
      <c r="D706" s="20">
        <v>77576.399999999994</v>
      </c>
      <c r="E706" s="20">
        <v>77325.08</v>
      </c>
      <c r="F706" s="1">
        <v>77325.649999999994</v>
      </c>
      <c r="G706" s="18">
        <v>308</v>
      </c>
      <c r="I706" s="21">
        <v>46053.779166666667</v>
      </c>
      <c r="J706" s="26"/>
      <c r="K706" s="29"/>
      <c r="L706" s="27">
        <v>78383.482000000004</v>
      </c>
      <c r="M706" s="27">
        <v>76065.473329999993</v>
      </c>
      <c r="N706" s="30" t="s">
        <v>6</v>
      </c>
      <c r="O706" s="28" t="s">
        <v>13</v>
      </c>
      <c r="P706"/>
    </row>
    <row r="707" spans="1:16" x14ac:dyDescent="0.35">
      <c r="A707" s="4">
        <v>704</v>
      </c>
      <c r="B707" s="17">
        <v>46053.779861111114</v>
      </c>
      <c r="C707" s="1">
        <v>77350.27</v>
      </c>
      <c r="D707" s="20">
        <v>77350.27</v>
      </c>
      <c r="E707" s="20">
        <v>75540.800000000003</v>
      </c>
      <c r="F707" s="1">
        <v>75540.800000000003</v>
      </c>
      <c r="G707" s="18">
        <v>291</v>
      </c>
      <c r="I707" s="21">
        <v>46053.779861111114</v>
      </c>
      <c r="J707" s="26"/>
      <c r="K707" s="29">
        <v>75540.800000000003</v>
      </c>
      <c r="L707" s="27">
        <v>78355.593999999997</v>
      </c>
      <c r="M707" s="27">
        <v>75540.800000000003</v>
      </c>
      <c r="N707" s="30" t="s">
        <v>6</v>
      </c>
      <c r="O707" s="28" t="s">
        <v>13</v>
      </c>
      <c r="P707"/>
    </row>
    <row r="708" spans="1:16" x14ac:dyDescent="0.35">
      <c r="A708" s="4">
        <v>705</v>
      </c>
      <c r="B708" s="17">
        <v>46053.780555555553</v>
      </c>
      <c r="C708" s="1">
        <v>75595.649999999994</v>
      </c>
      <c r="D708" s="20">
        <v>77557.62</v>
      </c>
      <c r="E708" s="20">
        <v>75595.070000000007</v>
      </c>
      <c r="F708" s="1">
        <v>77520.460000000006</v>
      </c>
      <c r="G708" s="18">
        <v>300</v>
      </c>
      <c r="I708" s="21">
        <v>46053.780555555553</v>
      </c>
      <c r="J708" s="26"/>
      <c r="K708" s="29"/>
      <c r="L708" s="27">
        <v>78327.706000000006</v>
      </c>
      <c r="M708" s="27">
        <v>75804.61</v>
      </c>
      <c r="N708" s="30" t="s">
        <v>6</v>
      </c>
      <c r="O708" s="28" t="s">
        <v>8</v>
      </c>
      <c r="P708"/>
    </row>
    <row r="709" spans="1:16" x14ac:dyDescent="0.35">
      <c r="A709" s="4">
        <v>706</v>
      </c>
      <c r="B709" s="17">
        <v>46053.78125</v>
      </c>
      <c r="C709" s="1">
        <v>77504.62</v>
      </c>
      <c r="D709" s="20">
        <v>77873</v>
      </c>
      <c r="E709" s="20">
        <v>77049.72</v>
      </c>
      <c r="F709" s="1">
        <v>77858.3</v>
      </c>
      <c r="G709" s="18">
        <v>306</v>
      </c>
      <c r="I709" s="21">
        <v>46053.78125</v>
      </c>
      <c r="J709" s="26"/>
      <c r="K709" s="29"/>
      <c r="L709" s="27">
        <v>78299.817999999999</v>
      </c>
      <c r="M709" s="27">
        <v>76068.42</v>
      </c>
      <c r="N709" s="30" t="s">
        <v>6</v>
      </c>
      <c r="O709" s="28" t="s">
        <v>8</v>
      </c>
      <c r="P709"/>
    </row>
    <row r="710" spans="1:16" x14ac:dyDescent="0.35">
      <c r="A710" s="4">
        <v>707</v>
      </c>
      <c r="B710" s="17">
        <v>46053.781944444447</v>
      </c>
      <c r="C710" s="1">
        <v>77848.09</v>
      </c>
      <c r="D710" s="20">
        <v>78271.929999999993</v>
      </c>
      <c r="E710" s="20">
        <v>77798.820000000007</v>
      </c>
      <c r="F710" s="1">
        <v>77862.06</v>
      </c>
      <c r="G710" s="18">
        <v>307</v>
      </c>
      <c r="I710" s="21">
        <v>46053.781944444447</v>
      </c>
      <c r="J710" s="26">
        <v>78271.929999999993</v>
      </c>
      <c r="K710" s="29"/>
      <c r="L710" s="27">
        <v>78271.929999999993</v>
      </c>
      <c r="M710" s="27">
        <v>76332.23</v>
      </c>
      <c r="N710" s="30" t="s">
        <v>6</v>
      </c>
      <c r="O710" s="28" t="s">
        <v>8</v>
      </c>
      <c r="P710"/>
    </row>
    <row r="711" spans="1:16" x14ac:dyDescent="0.35">
      <c r="A711" s="4">
        <v>708</v>
      </c>
      <c r="B711" s="17">
        <v>46053.782638888886</v>
      </c>
      <c r="C711" s="1">
        <v>77812.13</v>
      </c>
      <c r="D711" s="20">
        <v>78175.429999999993</v>
      </c>
      <c r="E711" s="20">
        <v>77751.11</v>
      </c>
      <c r="F711" s="1">
        <v>78053.08</v>
      </c>
      <c r="G711" s="18">
        <v>306</v>
      </c>
      <c r="I711" s="21">
        <v>46053.782638888886</v>
      </c>
      <c r="J711" s="26"/>
      <c r="K711" s="29"/>
      <c r="L711" s="27">
        <v>78254.806670000005</v>
      </c>
      <c r="M711" s="27">
        <v>76596.039999999994</v>
      </c>
      <c r="N711" s="30" t="s">
        <v>6</v>
      </c>
      <c r="O711" s="28" t="s">
        <v>8</v>
      </c>
      <c r="P711"/>
    </row>
    <row r="712" spans="1:16" x14ac:dyDescent="0.35">
      <c r="A712" s="4">
        <v>709</v>
      </c>
      <c r="B712" s="17">
        <v>46053.783333333333</v>
      </c>
      <c r="C712" s="1">
        <v>78049.5</v>
      </c>
      <c r="D712" s="20">
        <v>78103.86</v>
      </c>
      <c r="E712" s="20">
        <v>77833.78</v>
      </c>
      <c r="F712" s="1">
        <v>77957.039999999994</v>
      </c>
      <c r="G712" s="18">
        <v>310</v>
      </c>
      <c r="I712" s="21">
        <v>46053.783333333333</v>
      </c>
      <c r="J712" s="26"/>
      <c r="K712" s="29"/>
      <c r="L712" s="27">
        <v>78237.68333</v>
      </c>
      <c r="M712" s="27">
        <v>76859.850000000006</v>
      </c>
      <c r="N712" s="30" t="s">
        <v>6</v>
      </c>
      <c r="O712" s="28" t="s">
        <v>8</v>
      </c>
      <c r="P712"/>
    </row>
    <row r="713" spans="1:16" x14ac:dyDescent="0.35">
      <c r="A713" s="4">
        <v>710</v>
      </c>
      <c r="B713" s="17">
        <v>46053.78402777778</v>
      </c>
      <c r="C713" s="1">
        <v>77961.34</v>
      </c>
      <c r="D713" s="20">
        <v>78005.66</v>
      </c>
      <c r="E713" s="20">
        <v>77725.490000000005</v>
      </c>
      <c r="F713" s="1">
        <v>77958.34</v>
      </c>
      <c r="G713" s="18">
        <v>310</v>
      </c>
      <c r="I713" s="21">
        <v>46053.78402777778</v>
      </c>
      <c r="J713" s="26"/>
      <c r="K713" s="29"/>
      <c r="L713" s="27">
        <v>78220.56</v>
      </c>
      <c r="M713" s="27">
        <v>77123.66</v>
      </c>
      <c r="N713" s="30" t="s">
        <v>6</v>
      </c>
      <c r="O713" s="28" t="s">
        <v>8</v>
      </c>
      <c r="P713"/>
    </row>
    <row r="714" spans="1:16" x14ac:dyDescent="0.35">
      <c r="A714" s="4">
        <v>711</v>
      </c>
      <c r="B714" s="17">
        <v>46053.784722222219</v>
      </c>
      <c r="C714" s="1">
        <v>77947.199999999997</v>
      </c>
      <c r="D714" s="20">
        <v>78158.350000000006</v>
      </c>
      <c r="E714" s="20">
        <v>77857.600000000006</v>
      </c>
      <c r="F714" s="1">
        <v>77947.759999999995</v>
      </c>
      <c r="G714" s="18">
        <v>312</v>
      </c>
      <c r="I714" s="21">
        <v>46053.784722222219</v>
      </c>
      <c r="J714" s="26"/>
      <c r="K714" s="29"/>
      <c r="L714" s="27">
        <v>78203.436669999996</v>
      </c>
      <c r="M714" s="27">
        <v>77387.47</v>
      </c>
      <c r="N714" s="30" t="s">
        <v>6</v>
      </c>
      <c r="O714" s="28" t="s">
        <v>8</v>
      </c>
      <c r="P714"/>
    </row>
    <row r="715" spans="1:16" x14ac:dyDescent="0.35">
      <c r="A715" s="4">
        <v>712</v>
      </c>
      <c r="B715" s="17">
        <v>46053.785416666666</v>
      </c>
      <c r="C715" s="1">
        <v>77954.33</v>
      </c>
      <c r="D715" s="20">
        <v>77954.33</v>
      </c>
      <c r="E715" s="20">
        <v>77651.28</v>
      </c>
      <c r="F715" s="1">
        <v>77807.89</v>
      </c>
      <c r="G715" s="18">
        <v>306</v>
      </c>
      <c r="I715" s="21">
        <v>46053.785416666666</v>
      </c>
      <c r="J715" s="26"/>
      <c r="K715" s="29">
        <v>77651.28</v>
      </c>
      <c r="L715" s="27">
        <v>78186.313330000004</v>
      </c>
      <c r="M715" s="27">
        <v>77651.28</v>
      </c>
      <c r="N715" s="30" t="s">
        <v>6</v>
      </c>
      <c r="O715" s="28" t="s">
        <v>8</v>
      </c>
      <c r="P715"/>
    </row>
    <row r="716" spans="1:16" x14ac:dyDescent="0.35">
      <c r="A716" s="4">
        <v>713</v>
      </c>
      <c r="B716" s="17">
        <v>46053.786111111112</v>
      </c>
      <c r="C716" s="1">
        <v>77815.399999999994</v>
      </c>
      <c r="D716" s="20">
        <v>78169.19</v>
      </c>
      <c r="E716" s="20">
        <v>77716.11</v>
      </c>
      <c r="F716" s="1">
        <v>78030.7</v>
      </c>
      <c r="G716" s="18">
        <v>304</v>
      </c>
      <c r="I716" s="21">
        <v>46053.786111111112</v>
      </c>
      <c r="J716" s="26">
        <v>78169.19</v>
      </c>
      <c r="K716" s="29"/>
      <c r="L716" s="27">
        <v>78169.19</v>
      </c>
      <c r="M716" s="27">
        <v>77644.623999999996</v>
      </c>
      <c r="N716" s="30" t="s">
        <v>6</v>
      </c>
      <c r="O716" s="28" t="s">
        <v>13</v>
      </c>
      <c r="P716"/>
    </row>
    <row r="717" spans="1:16" x14ac:dyDescent="0.35">
      <c r="A717" s="4">
        <v>714</v>
      </c>
      <c r="B717" s="17">
        <v>46053.786805555559</v>
      </c>
      <c r="C717" s="1">
        <v>78023.17</v>
      </c>
      <c r="D717" s="20">
        <v>78085.009999999995</v>
      </c>
      <c r="E717" s="20">
        <v>77870.509999999995</v>
      </c>
      <c r="F717" s="1">
        <v>78050.06</v>
      </c>
      <c r="G717" s="18">
        <v>298</v>
      </c>
      <c r="I717" s="21">
        <v>46053.786805555559</v>
      </c>
      <c r="J717" s="26"/>
      <c r="K717" s="29"/>
      <c r="L717" s="27">
        <v>78169.33</v>
      </c>
      <c r="M717" s="27">
        <v>77637.967999999993</v>
      </c>
      <c r="N717" s="30" t="s">
        <v>7</v>
      </c>
      <c r="O717" s="28" t="s">
        <v>13</v>
      </c>
      <c r="P717"/>
    </row>
    <row r="718" spans="1:16" x14ac:dyDescent="0.35">
      <c r="A718" s="4">
        <v>715</v>
      </c>
      <c r="B718" s="17">
        <v>46053.787499999999</v>
      </c>
      <c r="C718" s="1">
        <v>78058.03</v>
      </c>
      <c r="D718" s="20">
        <v>78101.05</v>
      </c>
      <c r="E718" s="20">
        <v>77844.009999999995</v>
      </c>
      <c r="F718" s="1">
        <v>77862.94</v>
      </c>
      <c r="G718" s="18">
        <v>310</v>
      </c>
      <c r="I718" s="21">
        <v>46053.787499999999</v>
      </c>
      <c r="J718" s="26"/>
      <c r="K718" s="29"/>
      <c r="L718" s="27">
        <v>78169.47</v>
      </c>
      <c r="M718" s="27">
        <v>77631.312000000005</v>
      </c>
      <c r="N718" s="30" t="s">
        <v>7</v>
      </c>
      <c r="O718" s="28" t="s">
        <v>13</v>
      </c>
      <c r="P718"/>
    </row>
    <row r="719" spans="1:16" x14ac:dyDescent="0.35">
      <c r="A719" s="4">
        <v>716</v>
      </c>
      <c r="B719" s="17">
        <v>46053.788194444445</v>
      </c>
      <c r="C719" s="1">
        <v>77872.7</v>
      </c>
      <c r="D719" s="20">
        <v>77915.62</v>
      </c>
      <c r="E719" s="20">
        <v>77689.39</v>
      </c>
      <c r="F719" s="1">
        <v>77689.39</v>
      </c>
      <c r="G719" s="18">
        <v>305</v>
      </c>
      <c r="I719" s="21">
        <v>46053.788194444445</v>
      </c>
      <c r="J719" s="26"/>
      <c r="K719" s="29"/>
      <c r="L719" s="27">
        <v>78169.61</v>
      </c>
      <c r="M719" s="27">
        <v>77624.656000000003</v>
      </c>
      <c r="N719" s="30" t="s">
        <v>7</v>
      </c>
      <c r="O719" s="28" t="s">
        <v>13</v>
      </c>
      <c r="P719"/>
    </row>
    <row r="720" spans="1:16" x14ac:dyDescent="0.35">
      <c r="A720" s="4">
        <v>717</v>
      </c>
      <c r="B720" s="17">
        <v>46053.788888888892</v>
      </c>
      <c r="C720" s="1">
        <v>77689.69</v>
      </c>
      <c r="D720" s="20">
        <v>77834.759999999995</v>
      </c>
      <c r="E720" s="20">
        <v>77618</v>
      </c>
      <c r="F720" s="1">
        <v>77770.73</v>
      </c>
      <c r="G720" s="18">
        <v>303</v>
      </c>
      <c r="I720" s="21">
        <v>46053.788888888892</v>
      </c>
      <c r="J720" s="26"/>
      <c r="K720" s="29">
        <v>77618</v>
      </c>
      <c r="L720" s="27">
        <v>78169.75</v>
      </c>
      <c r="M720" s="27">
        <v>77618</v>
      </c>
      <c r="N720" s="30" t="s">
        <v>7</v>
      </c>
      <c r="O720" s="28" t="s">
        <v>13</v>
      </c>
      <c r="P720"/>
    </row>
    <row r="721" spans="1:16" x14ac:dyDescent="0.35">
      <c r="A721" s="4">
        <v>718</v>
      </c>
      <c r="B721" s="17">
        <v>46053.789583333331</v>
      </c>
      <c r="C721" s="1">
        <v>77767.58</v>
      </c>
      <c r="D721" s="20">
        <v>77990.31</v>
      </c>
      <c r="E721" s="20">
        <v>77767.58</v>
      </c>
      <c r="F721" s="1">
        <v>77851.17</v>
      </c>
      <c r="G721" s="18">
        <v>303</v>
      </c>
      <c r="I721" s="21">
        <v>46053.789583333331</v>
      </c>
      <c r="J721" s="26"/>
      <c r="K721" s="29"/>
      <c r="L721" s="27">
        <v>78169.89</v>
      </c>
      <c r="M721" s="27">
        <v>77642.854000000007</v>
      </c>
      <c r="N721" s="30" t="s">
        <v>7</v>
      </c>
      <c r="O721" s="28" t="s">
        <v>8</v>
      </c>
      <c r="P721"/>
    </row>
    <row r="722" spans="1:16" x14ac:dyDescent="0.35">
      <c r="A722" s="4">
        <v>719</v>
      </c>
      <c r="B722" s="17">
        <v>46053.790277777778</v>
      </c>
      <c r="C722" s="1">
        <v>77852.320000000007</v>
      </c>
      <c r="D722" s="20">
        <v>78034.720000000001</v>
      </c>
      <c r="E722" s="20">
        <v>77852.320000000007</v>
      </c>
      <c r="F722" s="1">
        <v>77901.84</v>
      </c>
      <c r="G722" s="18">
        <v>303</v>
      </c>
      <c r="I722" s="21">
        <v>46053.790277777778</v>
      </c>
      <c r="J722" s="26"/>
      <c r="K722" s="29"/>
      <c r="L722" s="27">
        <v>78170.03</v>
      </c>
      <c r="M722" s="27">
        <v>77667.707999999999</v>
      </c>
      <c r="N722" s="30" t="s">
        <v>7</v>
      </c>
      <c r="O722" s="28" t="s">
        <v>8</v>
      </c>
      <c r="P722"/>
    </row>
    <row r="723" spans="1:16" x14ac:dyDescent="0.35">
      <c r="A723" s="4">
        <v>720</v>
      </c>
      <c r="B723" s="17">
        <v>46053.790972222225</v>
      </c>
      <c r="C723" s="1">
        <v>77901.919999999998</v>
      </c>
      <c r="D723" s="20">
        <v>78016.89</v>
      </c>
      <c r="E723" s="20">
        <v>77901.919999999998</v>
      </c>
      <c r="F723" s="1">
        <v>77987.16</v>
      </c>
      <c r="G723" s="18">
        <v>283</v>
      </c>
      <c r="I723" s="21">
        <v>46053.790972222225</v>
      </c>
      <c r="J723" s="26"/>
      <c r="K723" s="29"/>
      <c r="L723" s="27">
        <v>78170.17</v>
      </c>
      <c r="M723" s="27">
        <v>77692.562000000005</v>
      </c>
      <c r="N723" s="30" t="s">
        <v>7</v>
      </c>
      <c r="O723" s="28" t="s">
        <v>8</v>
      </c>
      <c r="P723"/>
    </row>
    <row r="724" spans="1:16" x14ac:dyDescent="0.35">
      <c r="A724" s="4">
        <v>721</v>
      </c>
      <c r="B724" s="17">
        <v>46053.791666666664</v>
      </c>
      <c r="C724" s="1">
        <v>77990.64</v>
      </c>
      <c r="D724" s="20">
        <v>78170.31</v>
      </c>
      <c r="E724" s="20">
        <v>77940.55</v>
      </c>
      <c r="F724" s="1">
        <v>78151.179999999993</v>
      </c>
      <c r="G724" s="18">
        <v>298</v>
      </c>
      <c r="I724" s="21">
        <v>46053.791666666664</v>
      </c>
      <c r="J724" s="26">
        <v>78170.31</v>
      </c>
      <c r="K724" s="29"/>
      <c r="L724" s="27">
        <v>78170.31</v>
      </c>
      <c r="M724" s="27">
        <v>77717.415999999997</v>
      </c>
      <c r="N724" s="30" t="s">
        <v>7</v>
      </c>
      <c r="O724" s="28" t="s">
        <v>8</v>
      </c>
      <c r="P724"/>
    </row>
    <row r="725" spans="1:16" x14ac:dyDescent="0.35">
      <c r="A725" s="4">
        <v>722</v>
      </c>
      <c r="B725" s="17">
        <v>46053.792361111111</v>
      </c>
      <c r="C725" s="1">
        <v>78141.88</v>
      </c>
      <c r="D725" s="20">
        <v>78144.42</v>
      </c>
      <c r="E725" s="20">
        <v>77742.27</v>
      </c>
      <c r="F725" s="1">
        <v>77866.91</v>
      </c>
      <c r="G725" s="18">
        <v>307</v>
      </c>
      <c r="I725" s="21">
        <v>46053.792361111111</v>
      </c>
      <c r="J725" s="26"/>
      <c r="K725" s="29">
        <v>77742.27</v>
      </c>
      <c r="L725" s="27">
        <v>78192.711670000004</v>
      </c>
      <c r="M725" s="27">
        <v>77742.27</v>
      </c>
      <c r="N725" s="30" t="s">
        <v>7</v>
      </c>
      <c r="O725" s="28" t="s">
        <v>8</v>
      </c>
      <c r="P725"/>
    </row>
    <row r="726" spans="1:16" x14ac:dyDescent="0.35">
      <c r="A726" s="4">
        <v>723</v>
      </c>
      <c r="B726" s="17">
        <v>46053.793055555558</v>
      </c>
      <c r="C726" s="1">
        <v>77855.19</v>
      </c>
      <c r="D726" s="20">
        <v>77953.73</v>
      </c>
      <c r="E726" s="20">
        <v>77780.929999999993</v>
      </c>
      <c r="F726" s="1">
        <v>77838.87</v>
      </c>
      <c r="G726" s="18">
        <v>302</v>
      </c>
      <c r="I726" s="21">
        <v>46053.793055555558</v>
      </c>
      <c r="J726" s="26"/>
      <c r="K726" s="29"/>
      <c r="L726" s="27">
        <v>78215.113329999993</v>
      </c>
      <c r="M726" s="27">
        <v>77753.2</v>
      </c>
      <c r="N726" s="30" t="s">
        <v>7</v>
      </c>
      <c r="O726" s="28" t="s">
        <v>8</v>
      </c>
      <c r="P726"/>
    </row>
    <row r="727" spans="1:16" x14ac:dyDescent="0.35">
      <c r="A727" s="4">
        <v>724</v>
      </c>
      <c r="B727" s="17">
        <v>46053.793749999997</v>
      </c>
      <c r="C727" s="1">
        <v>77838.89</v>
      </c>
      <c r="D727" s="20">
        <v>77973.2</v>
      </c>
      <c r="E727" s="20">
        <v>77811.100000000006</v>
      </c>
      <c r="F727" s="1">
        <v>77842.210000000006</v>
      </c>
      <c r="G727" s="18">
        <v>297</v>
      </c>
      <c r="I727" s="21">
        <v>46053.793749999997</v>
      </c>
      <c r="J727" s="26"/>
      <c r="K727" s="29"/>
      <c r="L727" s="27">
        <v>78237.514999999999</v>
      </c>
      <c r="M727" s="27">
        <v>77764.13</v>
      </c>
      <c r="N727" s="30" t="s">
        <v>7</v>
      </c>
      <c r="O727" s="28" t="s">
        <v>8</v>
      </c>
      <c r="P727"/>
    </row>
    <row r="728" spans="1:16" x14ac:dyDescent="0.35">
      <c r="A728" s="4">
        <v>725</v>
      </c>
      <c r="B728" s="17">
        <v>46053.794444444444</v>
      </c>
      <c r="C728" s="1">
        <v>77847.710000000006</v>
      </c>
      <c r="D728" s="20">
        <v>77927.3</v>
      </c>
      <c r="E728" s="20">
        <v>77775.06</v>
      </c>
      <c r="F728" s="1">
        <v>77860.710000000006</v>
      </c>
      <c r="G728" s="18">
        <v>299</v>
      </c>
      <c r="I728" s="21">
        <v>46053.794444444444</v>
      </c>
      <c r="J728" s="26"/>
      <c r="K728" s="29">
        <v>77775.06</v>
      </c>
      <c r="L728" s="27">
        <v>78259.916670000006</v>
      </c>
      <c r="M728" s="27">
        <v>77775.06</v>
      </c>
      <c r="N728" s="30" t="s">
        <v>7</v>
      </c>
      <c r="O728" s="28" t="s">
        <v>8</v>
      </c>
      <c r="P728"/>
    </row>
    <row r="729" spans="1:16" x14ac:dyDescent="0.35">
      <c r="A729" s="4">
        <v>726</v>
      </c>
      <c r="B729" s="17">
        <v>46053.795138888891</v>
      </c>
      <c r="C729" s="1">
        <v>77860.710000000006</v>
      </c>
      <c r="D729" s="20">
        <v>78027.91</v>
      </c>
      <c r="E729" s="20">
        <v>77831.41</v>
      </c>
      <c r="F729" s="1">
        <v>78016.69</v>
      </c>
      <c r="G729" s="18">
        <v>295</v>
      </c>
      <c r="I729" s="21">
        <v>46053.795138888891</v>
      </c>
      <c r="J729" s="26"/>
      <c r="K729" s="29"/>
      <c r="L729" s="27">
        <v>78282.318329999995</v>
      </c>
      <c r="M729" s="27">
        <v>77804.751250000001</v>
      </c>
      <c r="N729" s="30" t="s">
        <v>7</v>
      </c>
      <c r="O729" s="28" t="s">
        <v>8</v>
      </c>
      <c r="P729"/>
    </row>
    <row r="730" spans="1:16" x14ac:dyDescent="0.35">
      <c r="A730" s="4">
        <v>727</v>
      </c>
      <c r="B730" s="17">
        <v>46053.79583333333</v>
      </c>
      <c r="C730" s="1">
        <v>78035.12</v>
      </c>
      <c r="D730" s="20">
        <v>78304.72</v>
      </c>
      <c r="E730" s="20">
        <v>77995.97</v>
      </c>
      <c r="F730" s="1">
        <v>78026.34</v>
      </c>
      <c r="G730" s="18">
        <v>303</v>
      </c>
      <c r="I730" s="21">
        <v>46053.79583333333</v>
      </c>
      <c r="J730" s="26">
        <v>78304.72</v>
      </c>
      <c r="K730" s="29"/>
      <c r="L730" s="27">
        <v>78304.72</v>
      </c>
      <c r="M730" s="27">
        <v>77834.442500000005</v>
      </c>
      <c r="N730" s="30" t="s">
        <v>7</v>
      </c>
      <c r="O730" s="28" t="s">
        <v>8</v>
      </c>
      <c r="P730"/>
    </row>
    <row r="731" spans="1:16" x14ac:dyDescent="0.35">
      <c r="A731" s="4">
        <v>728</v>
      </c>
      <c r="B731" s="17">
        <v>46053.796527777777</v>
      </c>
      <c r="C731" s="1">
        <v>77988.5</v>
      </c>
      <c r="D731" s="20">
        <v>78137.820000000007</v>
      </c>
      <c r="E731" s="20">
        <v>77971.009999999995</v>
      </c>
      <c r="F731" s="1">
        <v>78137.820000000007</v>
      </c>
      <c r="G731" s="18">
        <v>292</v>
      </c>
      <c r="I731" s="21">
        <v>46053.796527777777</v>
      </c>
      <c r="J731" s="26"/>
      <c r="K731" s="29"/>
      <c r="L731" s="27">
        <v>78354.714999999997</v>
      </c>
      <c r="M731" s="27">
        <v>77864.133749999994</v>
      </c>
      <c r="N731" s="30" t="s">
        <v>7</v>
      </c>
      <c r="O731" s="28" t="s">
        <v>8</v>
      </c>
      <c r="P731"/>
    </row>
    <row r="732" spans="1:16" x14ac:dyDescent="0.35">
      <c r="A732" s="4">
        <v>729</v>
      </c>
      <c r="B732" s="17">
        <v>46053.797222222223</v>
      </c>
      <c r="C732" s="1">
        <v>78141.72</v>
      </c>
      <c r="D732" s="20">
        <v>78273.009999999995</v>
      </c>
      <c r="E732" s="20">
        <v>78086.62</v>
      </c>
      <c r="F732" s="1">
        <v>78185.25</v>
      </c>
      <c r="G732" s="18">
        <v>296</v>
      </c>
      <c r="I732" s="21">
        <v>46053.797222222223</v>
      </c>
      <c r="J732" s="26"/>
      <c r="K732" s="29"/>
      <c r="L732" s="27">
        <v>78404.710000000006</v>
      </c>
      <c r="M732" s="27">
        <v>77893.824999999997</v>
      </c>
      <c r="N732" s="30" t="s">
        <v>7</v>
      </c>
      <c r="O732" s="28" t="s">
        <v>8</v>
      </c>
      <c r="P732"/>
    </row>
    <row r="733" spans="1:16" x14ac:dyDescent="0.35">
      <c r="A733" s="4">
        <v>730</v>
      </c>
      <c r="B733" s="17">
        <v>46053.79791666667</v>
      </c>
      <c r="C733" s="1">
        <v>78187.070000000007</v>
      </c>
      <c r="D733" s="20">
        <v>78303.42</v>
      </c>
      <c r="E733" s="20">
        <v>78070.59</v>
      </c>
      <c r="F733" s="1">
        <v>78302.850000000006</v>
      </c>
      <c r="G733" s="18">
        <v>297</v>
      </c>
      <c r="I733" s="21">
        <v>46053.79791666667</v>
      </c>
      <c r="J733" s="26"/>
      <c r="K733" s="29"/>
      <c r="L733" s="27">
        <v>78454.705000000002</v>
      </c>
      <c r="M733" s="27">
        <v>77923.516250000001</v>
      </c>
      <c r="N733" s="30" t="s">
        <v>7</v>
      </c>
      <c r="O733" s="28" t="s">
        <v>8</v>
      </c>
      <c r="P733"/>
    </row>
    <row r="734" spans="1:16" x14ac:dyDescent="0.35">
      <c r="A734" s="4">
        <v>731</v>
      </c>
      <c r="B734" s="17">
        <v>46053.798611111109</v>
      </c>
      <c r="C734" s="1">
        <v>78286.350000000006</v>
      </c>
      <c r="D734" s="20">
        <v>78504.7</v>
      </c>
      <c r="E734" s="20">
        <v>78204.55</v>
      </c>
      <c r="F734" s="1">
        <v>78204.89</v>
      </c>
      <c r="G734" s="18">
        <v>303</v>
      </c>
      <c r="I734" s="21">
        <v>46053.798611111109</v>
      </c>
      <c r="J734" s="26">
        <v>78504.7</v>
      </c>
      <c r="K734" s="29"/>
      <c r="L734" s="27">
        <v>78504.7</v>
      </c>
      <c r="M734" s="27">
        <v>77953.207500000004</v>
      </c>
      <c r="N734" s="30" t="s">
        <v>7</v>
      </c>
      <c r="O734" s="28" t="s">
        <v>8</v>
      </c>
      <c r="P734"/>
    </row>
    <row r="735" spans="1:16" x14ac:dyDescent="0.35">
      <c r="A735" s="4">
        <v>732</v>
      </c>
      <c r="B735" s="17">
        <v>46053.799305555556</v>
      </c>
      <c r="C735" s="1">
        <v>78197.86</v>
      </c>
      <c r="D735" s="20">
        <v>78215.92</v>
      </c>
      <c r="E735" s="20">
        <v>78040.789999999994</v>
      </c>
      <c r="F735" s="1">
        <v>78086.06</v>
      </c>
      <c r="G735" s="18">
        <v>305</v>
      </c>
      <c r="I735" s="21">
        <v>46053.799305555556</v>
      </c>
      <c r="J735" s="26"/>
      <c r="K735" s="29"/>
      <c r="L735" s="27">
        <v>78473.881670000002</v>
      </c>
      <c r="M735" s="27">
        <v>77982.898749999993</v>
      </c>
      <c r="N735" s="30" t="s">
        <v>6</v>
      </c>
      <c r="O735" s="28" t="s">
        <v>8</v>
      </c>
      <c r="P735"/>
    </row>
    <row r="736" spans="1:16" x14ac:dyDescent="0.35">
      <c r="A736" s="4">
        <v>733</v>
      </c>
      <c r="B736" s="17">
        <v>46053.8</v>
      </c>
      <c r="C736" s="1">
        <v>78081.14</v>
      </c>
      <c r="D736" s="20">
        <v>78143</v>
      </c>
      <c r="E736" s="20">
        <v>78012.59</v>
      </c>
      <c r="F736" s="1">
        <v>78102.22</v>
      </c>
      <c r="G736" s="18">
        <v>296</v>
      </c>
      <c r="I736" s="21">
        <v>46053.8</v>
      </c>
      <c r="J736" s="26"/>
      <c r="K736" s="29">
        <v>78012.59</v>
      </c>
      <c r="L736" s="27">
        <v>78443.063330000004</v>
      </c>
      <c r="M736" s="27">
        <v>78012.59</v>
      </c>
      <c r="N736" s="30" t="s">
        <v>6</v>
      </c>
      <c r="O736" s="28" t="s">
        <v>8</v>
      </c>
      <c r="P736"/>
    </row>
    <row r="737" spans="1:16" x14ac:dyDescent="0.35">
      <c r="A737" s="4">
        <v>734</v>
      </c>
      <c r="B737" s="17">
        <v>46053.800694444442</v>
      </c>
      <c r="C737" s="1">
        <v>78114.429999999993</v>
      </c>
      <c r="D737" s="20">
        <v>78167.02</v>
      </c>
      <c r="E737" s="20">
        <v>78046.820000000007</v>
      </c>
      <c r="F737" s="1">
        <v>78167.02</v>
      </c>
      <c r="G737" s="18">
        <v>294</v>
      </c>
      <c r="I737" s="21">
        <v>46053.800694444442</v>
      </c>
      <c r="J737" s="26"/>
      <c r="K737" s="29"/>
      <c r="L737" s="27">
        <v>78412.244999999995</v>
      </c>
      <c r="M737" s="27">
        <v>78006.378330000007</v>
      </c>
      <c r="N737" s="30" t="s">
        <v>6</v>
      </c>
      <c r="O737" s="28" t="s">
        <v>13</v>
      </c>
      <c r="P737"/>
    </row>
    <row r="738" spans="1:16" x14ac:dyDescent="0.35">
      <c r="A738" s="4">
        <v>735</v>
      </c>
      <c r="B738" s="17">
        <v>46053.801388888889</v>
      </c>
      <c r="C738" s="1">
        <v>78166.990000000005</v>
      </c>
      <c r="D738" s="20">
        <v>78189.62</v>
      </c>
      <c r="E738" s="20">
        <v>78091.75</v>
      </c>
      <c r="F738" s="1">
        <v>78174.02</v>
      </c>
      <c r="G738" s="18">
        <v>286</v>
      </c>
      <c r="I738" s="21">
        <v>46053.801388888889</v>
      </c>
      <c r="J738" s="26"/>
      <c r="K738" s="29"/>
      <c r="L738" s="27">
        <v>78381.426670000001</v>
      </c>
      <c r="M738" s="27">
        <v>78000.166670000006</v>
      </c>
      <c r="N738" s="30" t="s">
        <v>6</v>
      </c>
      <c r="O738" s="28" t="s">
        <v>13</v>
      </c>
      <c r="P738"/>
    </row>
    <row r="739" spans="1:16" x14ac:dyDescent="0.35">
      <c r="A739" s="4">
        <v>736</v>
      </c>
      <c r="B739" s="17">
        <v>46053.802083333336</v>
      </c>
      <c r="C739" s="1">
        <v>78172.240000000005</v>
      </c>
      <c r="D739" s="20">
        <v>78195.62</v>
      </c>
      <c r="E739" s="20">
        <v>77994.539999999994</v>
      </c>
      <c r="F739" s="1">
        <v>78094.95</v>
      </c>
      <c r="G739" s="18">
        <v>302</v>
      </c>
      <c r="I739" s="21">
        <v>46053.802083333336</v>
      </c>
      <c r="J739" s="26"/>
      <c r="K739" s="29"/>
      <c r="L739" s="27">
        <v>78350.608330000003</v>
      </c>
      <c r="M739" s="27">
        <v>77993.955000000002</v>
      </c>
      <c r="N739" s="30" t="s">
        <v>6</v>
      </c>
      <c r="O739" s="28" t="s">
        <v>13</v>
      </c>
      <c r="P739"/>
    </row>
    <row r="740" spans="1:16" x14ac:dyDescent="0.35">
      <c r="A740" s="4">
        <v>737</v>
      </c>
      <c r="B740" s="17">
        <v>46053.802777777775</v>
      </c>
      <c r="C740" s="1">
        <v>78094.83</v>
      </c>
      <c r="D740" s="20">
        <v>78319.789999999994</v>
      </c>
      <c r="E740" s="20">
        <v>78094.83</v>
      </c>
      <c r="F740" s="1">
        <v>78124</v>
      </c>
      <c r="G740" s="18">
        <v>311</v>
      </c>
      <c r="I740" s="21">
        <v>46053.802777777775</v>
      </c>
      <c r="J740" s="26">
        <v>78319.789999999994</v>
      </c>
      <c r="K740" s="29"/>
      <c r="L740" s="27">
        <v>78319.789999999994</v>
      </c>
      <c r="M740" s="27">
        <v>77987.743329999998</v>
      </c>
      <c r="N740" s="30" t="s">
        <v>6</v>
      </c>
      <c r="O740" s="28" t="s">
        <v>13</v>
      </c>
      <c r="P740"/>
    </row>
    <row r="741" spans="1:16" x14ac:dyDescent="0.35">
      <c r="A741" s="4">
        <v>738</v>
      </c>
      <c r="B741" s="17">
        <v>46053.803472222222</v>
      </c>
      <c r="C741" s="1">
        <v>78124.149999999994</v>
      </c>
      <c r="D741" s="20">
        <v>78137.33</v>
      </c>
      <c r="E741" s="20">
        <v>77981.11</v>
      </c>
      <c r="F741" s="1">
        <v>77984.899999999994</v>
      </c>
      <c r="G741" s="18">
        <v>300</v>
      </c>
      <c r="I741" s="21">
        <v>46053.803472222222</v>
      </c>
      <c r="J741" s="26"/>
      <c r="K741" s="29"/>
      <c r="L741" s="27">
        <v>78276.960000000006</v>
      </c>
      <c r="M741" s="27">
        <v>77981.531669999997</v>
      </c>
      <c r="N741" s="30" t="s">
        <v>6</v>
      </c>
      <c r="O741" s="28" t="s">
        <v>13</v>
      </c>
      <c r="P741"/>
    </row>
    <row r="742" spans="1:16" x14ac:dyDescent="0.35">
      <c r="A742" s="4">
        <v>739</v>
      </c>
      <c r="B742" s="17">
        <v>46053.804166666669</v>
      </c>
      <c r="C742" s="1">
        <v>77975.320000000007</v>
      </c>
      <c r="D742" s="20">
        <v>78130.59</v>
      </c>
      <c r="E742" s="20">
        <v>77975.320000000007</v>
      </c>
      <c r="F742" s="1">
        <v>78085.83</v>
      </c>
      <c r="G742" s="18">
        <v>286</v>
      </c>
      <c r="I742" s="21">
        <v>46053.804166666669</v>
      </c>
      <c r="J742" s="26"/>
      <c r="K742" s="29">
        <v>77975.320000000007</v>
      </c>
      <c r="L742" s="27">
        <v>78234.13</v>
      </c>
      <c r="M742" s="27">
        <v>77975.320000000007</v>
      </c>
      <c r="N742" s="30" t="s">
        <v>6</v>
      </c>
      <c r="O742" s="28" t="s">
        <v>13</v>
      </c>
      <c r="P742"/>
    </row>
    <row r="743" spans="1:16" x14ac:dyDescent="0.35">
      <c r="A743" s="4">
        <v>740</v>
      </c>
      <c r="B743" s="17">
        <v>46053.804861111108</v>
      </c>
      <c r="C743" s="1">
        <v>78093.5</v>
      </c>
      <c r="D743" s="20">
        <v>78128.039999999994</v>
      </c>
      <c r="E743" s="20">
        <v>78056.789999999994</v>
      </c>
      <c r="F743" s="1">
        <v>78127.48</v>
      </c>
      <c r="G743" s="18">
        <v>254</v>
      </c>
      <c r="I743" s="21">
        <v>46053.804861111108</v>
      </c>
      <c r="J743" s="26"/>
      <c r="K743" s="29"/>
      <c r="L743" s="27">
        <v>78191.3</v>
      </c>
      <c r="M743" s="27">
        <v>77920.992499999993</v>
      </c>
      <c r="N743" s="30" t="s">
        <v>6</v>
      </c>
      <c r="O743" s="28" t="s">
        <v>13</v>
      </c>
      <c r="P743"/>
    </row>
    <row r="744" spans="1:16" x14ac:dyDescent="0.35">
      <c r="A744" s="4">
        <v>741</v>
      </c>
      <c r="B744" s="17">
        <v>46053.805555555555</v>
      </c>
      <c r="C744" s="1">
        <v>78128.22</v>
      </c>
      <c r="D744" s="20">
        <v>78148.47</v>
      </c>
      <c r="E744" s="20">
        <v>78061.94</v>
      </c>
      <c r="F744" s="1">
        <v>78074.899999999994</v>
      </c>
      <c r="G744" s="18">
        <v>282</v>
      </c>
      <c r="I744" s="21">
        <v>46053.805555555555</v>
      </c>
      <c r="J744" s="26">
        <v>78148.47</v>
      </c>
      <c r="K744" s="29"/>
      <c r="L744" s="27">
        <v>78148.47</v>
      </c>
      <c r="M744" s="27">
        <v>77866.664999999994</v>
      </c>
      <c r="N744" s="30" t="s">
        <v>6</v>
      </c>
      <c r="O744" s="28" t="s">
        <v>13</v>
      </c>
      <c r="P744"/>
    </row>
    <row r="745" spans="1:16" x14ac:dyDescent="0.35">
      <c r="A745" s="4">
        <v>742</v>
      </c>
      <c r="B745" s="17">
        <v>46053.806250000001</v>
      </c>
      <c r="C745" s="1">
        <v>78074.559999999998</v>
      </c>
      <c r="D745" s="20">
        <v>78074.559999999998</v>
      </c>
      <c r="E745" s="20">
        <v>77927.11</v>
      </c>
      <c r="F745" s="1">
        <v>77927.649999999994</v>
      </c>
      <c r="G745" s="18">
        <v>283</v>
      </c>
      <c r="I745" s="21">
        <v>46053.806250000001</v>
      </c>
      <c r="J745" s="26"/>
      <c r="K745" s="29"/>
      <c r="L745" s="27">
        <v>78141.365709999998</v>
      </c>
      <c r="M745" s="27">
        <v>77812.337499999994</v>
      </c>
      <c r="N745" s="30" t="s">
        <v>6</v>
      </c>
      <c r="O745" s="28" t="s">
        <v>13</v>
      </c>
      <c r="P745"/>
    </row>
    <row r="746" spans="1:16" x14ac:dyDescent="0.35">
      <c r="A746" s="4">
        <v>743</v>
      </c>
      <c r="B746" s="17">
        <v>46053.806944444441</v>
      </c>
      <c r="C746" s="1">
        <v>77927.63</v>
      </c>
      <c r="D746" s="20">
        <v>77927.64</v>
      </c>
      <c r="E746" s="20">
        <v>77758.009999999995</v>
      </c>
      <c r="F746" s="1">
        <v>77787.66</v>
      </c>
      <c r="G746" s="18">
        <v>288</v>
      </c>
      <c r="I746" s="21">
        <v>46053.806944444441</v>
      </c>
      <c r="J746" s="26"/>
      <c r="K746" s="29">
        <v>77758.009999999995</v>
      </c>
      <c r="L746" s="27">
        <v>78134.261429999999</v>
      </c>
      <c r="M746" s="27">
        <v>77758.009999999995</v>
      </c>
      <c r="N746" s="30" t="s">
        <v>6</v>
      </c>
      <c r="O746" s="28" t="s">
        <v>13</v>
      </c>
      <c r="P746"/>
    </row>
    <row r="747" spans="1:16" x14ac:dyDescent="0.35">
      <c r="A747" s="4">
        <v>744</v>
      </c>
      <c r="B747" s="17">
        <v>46053.807638888888</v>
      </c>
      <c r="C747" s="1">
        <v>77788.42</v>
      </c>
      <c r="D747" s="20">
        <v>77905.69</v>
      </c>
      <c r="E747" s="20">
        <v>77788.42</v>
      </c>
      <c r="F747" s="1">
        <v>77834.070000000007</v>
      </c>
      <c r="G747" s="18">
        <v>278</v>
      </c>
      <c r="I747" s="21">
        <v>46053.807638888888</v>
      </c>
      <c r="J747" s="26"/>
      <c r="K747" s="29"/>
      <c r="L747" s="27">
        <v>78127.157139999996</v>
      </c>
      <c r="M747" s="27">
        <v>77765.643330000006</v>
      </c>
      <c r="N747" s="30" t="s">
        <v>6</v>
      </c>
      <c r="O747" s="28" t="s">
        <v>8</v>
      </c>
      <c r="P747"/>
    </row>
    <row r="748" spans="1:16" x14ac:dyDescent="0.35">
      <c r="A748" s="4">
        <v>745</v>
      </c>
      <c r="B748" s="17">
        <v>46053.808333333334</v>
      </c>
      <c r="C748" s="1">
        <v>77848.5</v>
      </c>
      <c r="D748" s="20">
        <v>77913.98</v>
      </c>
      <c r="E748" s="20">
        <v>77847.31</v>
      </c>
      <c r="F748" s="1">
        <v>77889.31</v>
      </c>
      <c r="G748" s="18">
        <v>269</v>
      </c>
      <c r="I748" s="21">
        <v>46053.808333333334</v>
      </c>
      <c r="J748" s="26"/>
      <c r="K748" s="29"/>
      <c r="L748" s="27">
        <v>78120.052859999996</v>
      </c>
      <c r="M748" s="27">
        <v>77773.276670000007</v>
      </c>
      <c r="N748" s="30" t="s">
        <v>6</v>
      </c>
      <c r="O748" s="28" t="s">
        <v>8</v>
      </c>
      <c r="P748"/>
    </row>
    <row r="749" spans="1:16" x14ac:dyDescent="0.35">
      <c r="A749" s="4">
        <v>746</v>
      </c>
      <c r="B749" s="17">
        <v>46053.809027777781</v>
      </c>
      <c r="C749" s="1">
        <v>77892.83</v>
      </c>
      <c r="D749" s="20">
        <v>77929.429999999993</v>
      </c>
      <c r="E749" s="20">
        <v>77780.91</v>
      </c>
      <c r="F749" s="1">
        <v>77863.73</v>
      </c>
      <c r="G749" s="18">
        <v>272</v>
      </c>
      <c r="I749" s="21">
        <v>46053.809027777781</v>
      </c>
      <c r="J749" s="26"/>
      <c r="K749" s="29">
        <v>77780.91</v>
      </c>
      <c r="L749" s="27">
        <v>78112.948569999993</v>
      </c>
      <c r="M749" s="27">
        <v>77780.91</v>
      </c>
      <c r="N749" s="30" t="s">
        <v>6</v>
      </c>
      <c r="O749" s="28" t="s">
        <v>8</v>
      </c>
      <c r="P749"/>
    </row>
    <row r="750" spans="1:16" x14ac:dyDescent="0.35">
      <c r="A750" s="4">
        <v>747</v>
      </c>
      <c r="B750" s="17">
        <v>46053.80972222222</v>
      </c>
      <c r="C750" s="1">
        <v>77864.210000000006</v>
      </c>
      <c r="D750" s="20">
        <v>78096.429999999993</v>
      </c>
      <c r="E750" s="20">
        <v>77864.2</v>
      </c>
      <c r="F750" s="1">
        <v>78025.63</v>
      </c>
      <c r="G750" s="18">
        <v>281</v>
      </c>
      <c r="I750" s="21">
        <v>46053.80972222222</v>
      </c>
      <c r="J750" s="26"/>
      <c r="K750" s="29"/>
      <c r="L750" s="27">
        <v>78105.844289999994</v>
      </c>
      <c r="M750" s="27">
        <v>77732.476250000007</v>
      </c>
      <c r="N750" s="30" t="s">
        <v>6</v>
      </c>
      <c r="O750" s="28" t="s">
        <v>13</v>
      </c>
      <c r="P750"/>
    </row>
    <row r="751" spans="1:16" x14ac:dyDescent="0.35">
      <c r="A751" s="4">
        <v>748</v>
      </c>
      <c r="B751" s="17">
        <v>46053.810416666667</v>
      </c>
      <c r="C751" s="1">
        <v>78041.91</v>
      </c>
      <c r="D751" s="20">
        <v>78098.740000000005</v>
      </c>
      <c r="E751" s="20">
        <v>77929.89</v>
      </c>
      <c r="F751" s="1">
        <v>77929.89</v>
      </c>
      <c r="G751" s="18">
        <v>286</v>
      </c>
      <c r="I751" s="21">
        <v>46053.810416666667</v>
      </c>
      <c r="J751" s="26">
        <v>78098.740000000005</v>
      </c>
      <c r="K751" s="29"/>
      <c r="L751" s="27">
        <v>78098.740000000005</v>
      </c>
      <c r="M751" s="27">
        <v>77684.042499999996</v>
      </c>
      <c r="N751" s="30" t="s">
        <v>6</v>
      </c>
      <c r="O751" s="28" t="s">
        <v>13</v>
      </c>
      <c r="P751"/>
    </row>
    <row r="752" spans="1:16" x14ac:dyDescent="0.35">
      <c r="A752" s="4">
        <v>749</v>
      </c>
      <c r="B752" s="17">
        <v>46053.811111111114</v>
      </c>
      <c r="C752" s="1">
        <v>77920.89</v>
      </c>
      <c r="D752" s="20">
        <v>77932.42</v>
      </c>
      <c r="E752" s="20">
        <v>77845.62</v>
      </c>
      <c r="F752" s="1">
        <v>77916.36</v>
      </c>
      <c r="G752" s="18">
        <v>261</v>
      </c>
      <c r="I752" s="21">
        <v>46053.811111111114</v>
      </c>
      <c r="J752" s="26"/>
      <c r="K752" s="29"/>
      <c r="L752" s="27">
        <v>78070.3</v>
      </c>
      <c r="M752" s="27">
        <v>77635.608749999999</v>
      </c>
      <c r="N752" s="30" t="s">
        <v>6</v>
      </c>
      <c r="O752" s="28" t="s">
        <v>13</v>
      </c>
      <c r="P752"/>
    </row>
    <row r="753" spans="1:16" x14ac:dyDescent="0.35">
      <c r="A753" s="4">
        <v>750</v>
      </c>
      <c r="B753" s="17">
        <v>46053.811805555553</v>
      </c>
      <c r="C753" s="1">
        <v>77917.210000000006</v>
      </c>
      <c r="D753" s="20">
        <v>77938.03</v>
      </c>
      <c r="E753" s="20">
        <v>77890.320000000007</v>
      </c>
      <c r="F753" s="1">
        <v>77924.97</v>
      </c>
      <c r="G753" s="18">
        <v>237</v>
      </c>
      <c r="I753" s="21">
        <v>46053.811805555553</v>
      </c>
      <c r="J753" s="26"/>
      <c r="K753" s="29"/>
      <c r="L753" s="27">
        <v>78041.86</v>
      </c>
      <c r="M753" s="27">
        <v>77587.175000000003</v>
      </c>
      <c r="N753" s="30" t="s">
        <v>6</v>
      </c>
      <c r="O753" s="28" t="s">
        <v>13</v>
      </c>
      <c r="P753"/>
    </row>
    <row r="754" spans="1:16" x14ac:dyDescent="0.35">
      <c r="A754" s="4">
        <v>751</v>
      </c>
      <c r="B754" s="17">
        <v>46053.8125</v>
      </c>
      <c r="C754" s="1">
        <v>77924.97</v>
      </c>
      <c r="D754" s="20">
        <v>78013.42</v>
      </c>
      <c r="E754" s="20">
        <v>77833.009999999995</v>
      </c>
      <c r="F754" s="1">
        <v>77833.009999999995</v>
      </c>
      <c r="G754" s="18">
        <v>268</v>
      </c>
      <c r="I754" s="21">
        <v>46053.8125</v>
      </c>
      <c r="J754" s="26">
        <v>78013.42</v>
      </c>
      <c r="K754" s="29"/>
      <c r="L754" s="27">
        <v>78013.42</v>
      </c>
      <c r="M754" s="27">
        <v>77538.741250000006</v>
      </c>
      <c r="N754" s="30" t="s">
        <v>6</v>
      </c>
      <c r="O754" s="28" t="s">
        <v>13</v>
      </c>
      <c r="P754"/>
    </row>
    <row r="755" spans="1:16" x14ac:dyDescent="0.35">
      <c r="A755" s="4">
        <v>752</v>
      </c>
      <c r="B755" s="17">
        <v>46053.813194444447</v>
      </c>
      <c r="C755" s="1">
        <v>77833.02</v>
      </c>
      <c r="D755" s="20">
        <v>77850.759999999995</v>
      </c>
      <c r="E755" s="20">
        <v>77720.72</v>
      </c>
      <c r="F755" s="1">
        <v>77748.66</v>
      </c>
      <c r="G755" s="18">
        <v>288</v>
      </c>
      <c r="I755" s="21">
        <v>46053.813194444447</v>
      </c>
      <c r="J755" s="26"/>
      <c r="K755" s="29"/>
      <c r="L755" s="27">
        <v>77951.111000000004</v>
      </c>
      <c r="M755" s="27">
        <v>77490.307499999995</v>
      </c>
      <c r="N755" s="30" t="s">
        <v>6</v>
      </c>
      <c r="O755" s="28" t="s">
        <v>13</v>
      </c>
      <c r="P755"/>
    </row>
    <row r="756" spans="1:16" x14ac:dyDescent="0.35">
      <c r="A756" s="4">
        <v>753</v>
      </c>
      <c r="B756" s="17">
        <v>46053.813888888886</v>
      </c>
      <c r="C756" s="1">
        <v>77746.92</v>
      </c>
      <c r="D756" s="20">
        <v>77748.83</v>
      </c>
      <c r="E756" s="20">
        <v>77497.53</v>
      </c>
      <c r="F756" s="1">
        <v>77536.009999999995</v>
      </c>
      <c r="G756" s="18">
        <v>303</v>
      </c>
      <c r="I756" s="21">
        <v>46053.813888888886</v>
      </c>
      <c r="J756" s="26"/>
      <c r="K756" s="29"/>
      <c r="L756" s="27">
        <v>77888.801999999996</v>
      </c>
      <c r="M756" s="27">
        <v>77441.873749999999</v>
      </c>
      <c r="N756" s="30" t="s">
        <v>6</v>
      </c>
      <c r="O756" s="28" t="s">
        <v>13</v>
      </c>
      <c r="P756"/>
    </row>
    <row r="757" spans="1:16" x14ac:dyDescent="0.35">
      <c r="A757" s="4">
        <v>754</v>
      </c>
      <c r="B757" s="17">
        <v>46053.814583333333</v>
      </c>
      <c r="C757" s="1">
        <v>77538.92</v>
      </c>
      <c r="D757" s="20">
        <v>77601.45</v>
      </c>
      <c r="E757" s="20">
        <v>77393.440000000002</v>
      </c>
      <c r="F757" s="1">
        <v>77443.13</v>
      </c>
      <c r="G757" s="18">
        <v>306</v>
      </c>
      <c r="I757" s="21">
        <v>46053.814583333333</v>
      </c>
      <c r="J757" s="26"/>
      <c r="K757" s="29">
        <v>77393.440000000002</v>
      </c>
      <c r="L757" s="27">
        <v>77826.493000000002</v>
      </c>
      <c r="M757" s="27">
        <v>77393.440000000002</v>
      </c>
      <c r="N757" s="30" t="s">
        <v>6</v>
      </c>
      <c r="O757" s="28" t="s">
        <v>13</v>
      </c>
      <c r="P757"/>
    </row>
    <row r="758" spans="1:16" x14ac:dyDescent="0.35">
      <c r="A758" s="4">
        <v>755</v>
      </c>
      <c r="B758" s="17">
        <v>46053.81527777778</v>
      </c>
      <c r="C758" s="1">
        <v>77450.34</v>
      </c>
      <c r="D758" s="20">
        <v>77523.03</v>
      </c>
      <c r="E758" s="20">
        <v>77443.509999999995</v>
      </c>
      <c r="F758" s="1">
        <v>77490.3</v>
      </c>
      <c r="G758" s="18">
        <v>287</v>
      </c>
      <c r="I758" s="21">
        <v>46053.81527777778</v>
      </c>
      <c r="J758" s="26"/>
      <c r="K758" s="29"/>
      <c r="L758" s="27">
        <v>77764.183999999994</v>
      </c>
      <c r="M758" s="27">
        <v>77350.231669999994</v>
      </c>
      <c r="N758" s="30" t="s">
        <v>6</v>
      </c>
      <c r="O758" s="28" t="s">
        <v>13</v>
      </c>
      <c r="P758"/>
    </row>
    <row r="759" spans="1:16" x14ac:dyDescent="0.35">
      <c r="A759" s="4">
        <v>756</v>
      </c>
      <c r="B759" s="17">
        <v>46053.815972222219</v>
      </c>
      <c r="C759" s="1">
        <v>77490.3</v>
      </c>
      <c r="D759" s="20">
        <v>77552.47</v>
      </c>
      <c r="E759" s="20">
        <v>77416.600000000006</v>
      </c>
      <c r="F759" s="1">
        <v>77425.009999999995</v>
      </c>
      <c r="G759" s="18">
        <v>296</v>
      </c>
      <c r="I759" s="21">
        <v>46053.815972222219</v>
      </c>
      <c r="J759" s="26"/>
      <c r="K759" s="29"/>
      <c r="L759" s="27">
        <v>77701.875</v>
      </c>
      <c r="M759" s="27">
        <v>77307.023329999996</v>
      </c>
      <c r="N759" s="30" t="s">
        <v>6</v>
      </c>
      <c r="O759" s="28" t="s">
        <v>13</v>
      </c>
      <c r="P759"/>
    </row>
    <row r="760" spans="1:16" x14ac:dyDescent="0.35">
      <c r="A760" s="4">
        <v>757</v>
      </c>
      <c r="B760" s="17">
        <v>46053.816666666666</v>
      </c>
      <c r="C760" s="1">
        <v>77425.23</v>
      </c>
      <c r="D760" s="20">
        <v>77494.47</v>
      </c>
      <c r="E760" s="20">
        <v>77309.91</v>
      </c>
      <c r="F760" s="1">
        <v>77309.91</v>
      </c>
      <c r="G760" s="18">
        <v>252</v>
      </c>
      <c r="I760" s="21">
        <v>46053.816666666666</v>
      </c>
      <c r="J760" s="26"/>
      <c r="K760" s="29"/>
      <c r="L760" s="27">
        <v>77639.566000000006</v>
      </c>
      <c r="M760" s="27">
        <v>77263.815000000002</v>
      </c>
      <c r="N760" s="30" t="s">
        <v>6</v>
      </c>
      <c r="O760" s="28" t="s">
        <v>13</v>
      </c>
      <c r="P760"/>
    </row>
    <row r="761" spans="1:16" x14ac:dyDescent="0.35">
      <c r="A761" s="4">
        <v>758</v>
      </c>
      <c r="B761" s="17">
        <v>46053.817361111112</v>
      </c>
      <c r="C761" s="1">
        <v>77307.67</v>
      </c>
      <c r="D761" s="20">
        <v>77443.61</v>
      </c>
      <c r="E761" s="20">
        <v>77239.78</v>
      </c>
      <c r="F761" s="1">
        <v>77299.58</v>
      </c>
      <c r="G761" s="18">
        <v>284</v>
      </c>
      <c r="I761" s="21">
        <v>46053.817361111112</v>
      </c>
      <c r="J761" s="26"/>
      <c r="K761" s="29"/>
      <c r="L761" s="27">
        <v>77577.256999999998</v>
      </c>
      <c r="M761" s="27">
        <v>77220.606669999994</v>
      </c>
      <c r="N761" s="30" t="s">
        <v>6</v>
      </c>
      <c r="O761" s="28" t="s">
        <v>13</v>
      </c>
      <c r="P761"/>
    </row>
    <row r="762" spans="1:16" x14ac:dyDescent="0.35">
      <c r="A762" s="4">
        <v>759</v>
      </c>
      <c r="B762" s="17">
        <v>46053.818055555559</v>
      </c>
      <c r="C762" s="1">
        <v>77292.039999999994</v>
      </c>
      <c r="D762" s="20">
        <v>77299.97</v>
      </c>
      <c r="E762" s="20">
        <v>77230.009999999995</v>
      </c>
      <c r="F762" s="1">
        <v>77252.509999999995</v>
      </c>
      <c r="G762" s="18">
        <v>267</v>
      </c>
      <c r="I762" s="21">
        <v>46053.818055555559</v>
      </c>
      <c r="J762" s="26"/>
      <c r="K762" s="29"/>
      <c r="L762" s="27">
        <v>77514.948000000004</v>
      </c>
      <c r="M762" s="27">
        <v>77177.398329999996</v>
      </c>
      <c r="N762" s="30" t="s">
        <v>6</v>
      </c>
      <c r="O762" s="28" t="s">
        <v>13</v>
      </c>
      <c r="P762"/>
    </row>
    <row r="763" spans="1:16" x14ac:dyDescent="0.35">
      <c r="A763" s="4">
        <v>760</v>
      </c>
      <c r="B763" s="17">
        <v>46053.818749999999</v>
      </c>
      <c r="C763" s="1">
        <v>77253.600000000006</v>
      </c>
      <c r="D763" s="20">
        <v>77306.149999999994</v>
      </c>
      <c r="E763" s="20">
        <v>77134.19</v>
      </c>
      <c r="F763" s="1">
        <v>77261.27</v>
      </c>
      <c r="G763" s="18">
        <v>290</v>
      </c>
      <c r="I763" s="21">
        <v>46053.818749999999</v>
      </c>
      <c r="J763" s="26"/>
      <c r="K763" s="29">
        <v>77134.19</v>
      </c>
      <c r="L763" s="27">
        <v>77452.638999999996</v>
      </c>
      <c r="M763" s="27">
        <v>77134.19</v>
      </c>
      <c r="N763" s="30" t="s">
        <v>6</v>
      </c>
      <c r="O763" s="28" t="s">
        <v>13</v>
      </c>
      <c r="P763"/>
    </row>
    <row r="764" spans="1:16" x14ac:dyDescent="0.35">
      <c r="A764" s="4">
        <v>761</v>
      </c>
      <c r="B764" s="17">
        <v>46053.819444444445</v>
      </c>
      <c r="C764" s="1">
        <v>77268.160000000003</v>
      </c>
      <c r="D764" s="20">
        <v>77390.33</v>
      </c>
      <c r="E764" s="20">
        <v>77214.83</v>
      </c>
      <c r="F764" s="1">
        <v>77222.31</v>
      </c>
      <c r="G764" s="18">
        <v>289</v>
      </c>
      <c r="I764" s="21">
        <v>46053.819444444445</v>
      </c>
      <c r="J764" s="26">
        <v>77390.33</v>
      </c>
      <c r="K764" s="29"/>
      <c r="L764" s="27">
        <v>77390.33</v>
      </c>
      <c r="M764" s="27">
        <v>77177.212</v>
      </c>
      <c r="N764" s="30" t="s">
        <v>6</v>
      </c>
      <c r="O764" s="28" t="s">
        <v>8</v>
      </c>
      <c r="P764"/>
    </row>
    <row r="765" spans="1:16" x14ac:dyDescent="0.35">
      <c r="A765" s="4">
        <v>762</v>
      </c>
      <c r="B765" s="17">
        <v>46053.820138888892</v>
      </c>
      <c r="C765" s="1">
        <v>77222.3</v>
      </c>
      <c r="D765" s="20">
        <v>77264.490000000005</v>
      </c>
      <c r="E765" s="20">
        <v>77182.83</v>
      </c>
      <c r="F765" s="1">
        <v>77220.56</v>
      </c>
      <c r="G765" s="18">
        <v>286</v>
      </c>
      <c r="I765" s="21">
        <v>46053.820138888892</v>
      </c>
      <c r="J765" s="26"/>
      <c r="K765" s="29"/>
      <c r="L765" s="27">
        <v>77451.898570000005</v>
      </c>
      <c r="M765" s="27">
        <v>77220.233999999997</v>
      </c>
      <c r="N765" s="30" t="s">
        <v>7</v>
      </c>
      <c r="O765" s="28" t="s">
        <v>8</v>
      </c>
      <c r="P765"/>
    </row>
    <row r="766" spans="1:16" x14ac:dyDescent="0.35">
      <c r="A766" s="4">
        <v>763</v>
      </c>
      <c r="B766" s="17">
        <v>46053.820833333331</v>
      </c>
      <c r="C766" s="1">
        <v>77220.539999999994</v>
      </c>
      <c r="D766" s="20">
        <v>77299.55</v>
      </c>
      <c r="E766" s="20">
        <v>77190.06</v>
      </c>
      <c r="F766" s="1">
        <v>77246.64</v>
      </c>
      <c r="G766" s="18">
        <v>275</v>
      </c>
      <c r="I766" s="21">
        <v>46053.820833333331</v>
      </c>
      <c r="J766" s="26"/>
      <c r="K766" s="29"/>
      <c r="L766" s="27">
        <v>77513.467139999993</v>
      </c>
      <c r="M766" s="27">
        <v>77263.255999999994</v>
      </c>
      <c r="N766" s="30" t="s">
        <v>7</v>
      </c>
      <c r="O766" s="28" t="s">
        <v>8</v>
      </c>
      <c r="P766"/>
    </row>
    <row r="767" spans="1:16" x14ac:dyDescent="0.35">
      <c r="A767" s="4">
        <v>764</v>
      </c>
      <c r="B767" s="17">
        <v>46053.821527777778</v>
      </c>
      <c r="C767" s="1">
        <v>77246.710000000006</v>
      </c>
      <c r="D767" s="20">
        <v>77509.009999999995</v>
      </c>
      <c r="E767" s="20">
        <v>77246.710000000006</v>
      </c>
      <c r="F767" s="1">
        <v>77404.38</v>
      </c>
      <c r="G767" s="18">
        <v>295</v>
      </c>
      <c r="I767" s="21">
        <v>46053.821527777778</v>
      </c>
      <c r="J767" s="26"/>
      <c r="K767" s="29"/>
      <c r="L767" s="27">
        <v>77575.035709999996</v>
      </c>
      <c r="M767" s="27">
        <v>77306.278000000006</v>
      </c>
      <c r="N767" s="30" t="s">
        <v>7</v>
      </c>
      <c r="O767" s="28" t="s">
        <v>8</v>
      </c>
      <c r="P767"/>
    </row>
    <row r="768" spans="1:16" x14ac:dyDescent="0.35">
      <c r="A768" s="4">
        <v>765</v>
      </c>
      <c r="B768" s="17">
        <v>46053.822222222225</v>
      </c>
      <c r="C768" s="1">
        <v>77415.8</v>
      </c>
      <c r="D768" s="20">
        <v>77534.100000000006</v>
      </c>
      <c r="E768" s="20">
        <v>77390.73</v>
      </c>
      <c r="F768" s="1">
        <v>77472.19</v>
      </c>
      <c r="G768" s="18">
        <v>297</v>
      </c>
      <c r="I768" s="21">
        <v>46053.822222222225</v>
      </c>
      <c r="J768" s="26"/>
      <c r="K768" s="29"/>
      <c r="L768" s="27">
        <v>77636.604290000003</v>
      </c>
      <c r="M768" s="27">
        <v>77349.3</v>
      </c>
      <c r="N768" s="30" t="s">
        <v>7</v>
      </c>
      <c r="O768" s="28" t="s">
        <v>8</v>
      </c>
      <c r="P768"/>
    </row>
    <row r="769" spans="1:16" x14ac:dyDescent="0.35">
      <c r="A769" s="4">
        <v>766</v>
      </c>
      <c r="B769" s="17">
        <v>46053.822916666664</v>
      </c>
      <c r="C769" s="1">
        <v>77469.58</v>
      </c>
      <c r="D769" s="20">
        <v>77642.78</v>
      </c>
      <c r="E769" s="20">
        <v>77404.259999999995</v>
      </c>
      <c r="F769" s="1">
        <v>77641.210000000006</v>
      </c>
      <c r="G769" s="18">
        <v>294</v>
      </c>
      <c r="I769" s="21">
        <v>46053.822916666664</v>
      </c>
      <c r="J769" s="26"/>
      <c r="K769" s="29"/>
      <c r="L769" s="27">
        <v>77698.172860000006</v>
      </c>
      <c r="M769" s="27">
        <v>77392.322</v>
      </c>
      <c r="N769" s="30" t="s">
        <v>7</v>
      </c>
      <c r="O769" s="28" t="s">
        <v>8</v>
      </c>
      <c r="P769"/>
    </row>
    <row r="770" spans="1:16" x14ac:dyDescent="0.35">
      <c r="A770" s="4">
        <v>767</v>
      </c>
      <c r="B770" s="17">
        <v>46053.823611111111</v>
      </c>
      <c r="C770" s="1">
        <v>77634.02</v>
      </c>
      <c r="D770" s="20">
        <v>77634.02</v>
      </c>
      <c r="E770" s="20">
        <v>77484.179999999993</v>
      </c>
      <c r="F770" s="1">
        <v>77604.27</v>
      </c>
      <c r="G770" s="18">
        <v>307</v>
      </c>
      <c r="I770" s="21">
        <v>46053.823611111111</v>
      </c>
      <c r="J770" s="26"/>
      <c r="K770" s="29"/>
      <c r="L770" s="27">
        <v>77759.741429999995</v>
      </c>
      <c r="M770" s="27">
        <v>77435.343999999997</v>
      </c>
      <c r="N770" s="30" t="s">
        <v>7</v>
      </c>
      <c r="O770" s="28" t="s">
        <v>8</v>
      </c>
      <c r="P770"/>
    </row>
    <row r="771" spans="1:16" x14ac:dyDescent="0.35">
      <c r="A771" s="4">
        <v>768</v>
      </c>
      <c r="B771" s="17">
        <v>46053.824305555558</v>
      </c>
      <c r="C771" s="1">
        <v>77603.600000000006</v>
      </c>
      <c r="D771" s="20">
        <v>77821.31</v>
      </c>
      <c r="E771" s="20">
        <v>77593.2</v>
      </c>
      <c r="F771" s="1">
        <v>77744.28</v>
      </c>
      <c r="G771" s="18">
        <v>302</v>
      </c>
      <c r="I771" s="21">
        <v>46053.824305555558</v>
      </c>
      <c r="J771" s="26">
        <v>77821.31</v>
      </c>
      <c r="K771" s="29"/>
      <c r="L771" s="27">
        <v>77821.31</v>
      </c>
      <c r="M771" s="27">
        <v>77478.365999999995</v>
      </c>
      <c r="N771" s="30" t="s">
        <v>7</v>
      </c>
      <c r="O771" s="28" t="s">
        <v>8</v>
      </c>
      <c r="P771"/>
    </row>
    <row r="772" spans="1:16" x14ac:dyDescent="0.35">
      <c r="A772" s="4">
        <v>769</v>
      </c>
      <c r="B772" s="17">
        <v>46053.824999999997</v>
      </c>
      <c r="C772" s="1">
        <v>77744.679999999993</v>
      </c>
      <c r="D772" s="20">
        <v>77751.37</v>
      </c>
      <c r="E772" s="20">
        <v>77608.41</v>
      </c>
      <c r="F772" s="1">
        <v>77620.42</v>
      </c>
      <c r="G772" s="18">
        <v>298</v>
      </c>
      <c r="I772" s="21">
        <v>46053.824999999997</v>
      </c>
      <c r="J772" s="26"/>
      <c r="K772" s="29"/>
      <c r="L772" s="27">
        <v>77837.597999999998</v>
      </c>
      <c r="M772" s="27">
        <v>77521.388000000006</v>
      </c>
      <c r="N772" s="30" t="s">
        <v>7</v>
      </c>
      <c r="O772" s="28" t="s">
        <v>8</v>
      </c>
      <c r="P772"/>
    </row>
    <row r="773" spans="1:16" x14ac:dyDescent="0.35">
      <c r="A773" s="4">
        <v>770</v>
      </c>
      <c r="B773" s="17">
        <v>46053.825694444444</v>
      </c>
      <c r="C773" s="1">
        <v>77620.42</v>
      </c>
      <c r="D773" s="20">
        <v>77722.59</v>
      </c>
      <c r="E773" s="20">
        <v>77564.41</v>
      </c>
      <c r="F773" s="1">
        <v>77722.59</v>
      </c>
      <c r="G773" s="18">
        <v>273</v>
      </c>
      <c r="I773" s="21">
        <v>46053.825694444444</v>
      </c>
      <c r="J773" s="26"/>
      <c r="K773" s="29">
        <v>77564.41</v>
      </c>
      <c r="L773" s="27">
        <v>77853.885999999999</v>
      </c>
      <c r="M773" s="27">
        <v>77564.41</v>
      </c>
      <c r="N773" s="30" t="s">
        <v>7</v>
      </c>
      <c r="O773" s="28" t="s">
        <v>8</v>
      </c>
      <c r="P773"/>
    </row>
    <row r="774" spans="1:16" x14ac:dyDescent="0.35">
      <c r="A774" s="4">
        <v>771</v>
      </c>
      <c r="B774" s="17">
        <v>46053.826388888891</v>
      </c>
      <c r="C774" s="1">
        <v>77722.679999999993</v>
      </c>
      <c r="D774" s="20">
        <v>77768.11</v>
      </c>
      <c r="E774" s="20">
        <v>77711.81</v>
      </c>
      <c r="F774" s="1">
        <v>77758.399999999994</v>
      </c>
      <c r="G774" s="18">
        <v>243</v>
      </c>
      <c r="I774" s="21">
        <v>46053.826388888891</v>
      </c>
      <c r="J774" s="26"/>
      <c r="K774" s="29"/>
      <c r="L774" s="27">
        <v>77870.173999999999</v>
      </c>
      <c r="M774" s="27">
        <v>77592.308000000005</v>
      </c>
      <c r="N774" s="30" t="s">
        <v>7</v>
      </c>
      <c r="O774" s="28" t="s">
        <v>8</v>
      </c>
      <c r="P774"/>
    </row>
    <row r="775" spans="1:16" x14ac:dyDescent="0.35">
      <c r="A775" s="4">
        <v>772</v>
      </c>
      <c r="B775" s="17">
        <v>46053.82708333333</v>
      </c>
      <c r="C775" s="1">
        <v>77758.399999999994</v>
      </c>
      <c r="D775" s="20">
        <v>77887.02</v>
      </c>
      <c r="E775" s="20">
        <v>77713.490000000005</v>
      </c>
      <c r="F775" s="1">
        <v>77887.02</v>
      </c>
      <c r="G775" s="18">
        <v>250</v>
      </c>
      <c r="I775" s="21">
        <v>46053.82708333333</v>
      </c>
      <c r="J775" s="26"/>
      <c r="K775" s="29"/>
      <c r="L775" s="27">
        <v>77886.462</v>
      </c>
      <c r="M775" s="27">
        <v>77620.206000000006</v>
      </c>
      <c r="N775" s="30" t="s">
        <v>7</v>
      </c>
      <c r="O775" s="28" t="s">
        <v>8</v>
      </c>
      <c r="P775"/>
    </row>
    <row r="776" spans="1:16" x14ac:dyDescent="0.35">
      <c r="A776" s="4">
        <v>773</v>
      </c>
      <c r="B776" s="17">
        <v>46053.827777777777</v>
      </c>
      <c r="C776" s="1">
        <v>77879.23</v>
      </c>
      <c r="D776" s="20">
        <v>77902.75</v>
      </c>
      <c r="E776" s="20">
        <v>77712.23</v>
      </c>
      <c r="F776" s="1">
        <v>77818.070000000007</v>
      </c>
      <c r="G776" s="18">
        <v>295</v>
      </c>
      <c r="I776" s="21">
        <v>46053.827777777777</v>
      </c>
      <c r="J776" s="26">
        <v>77902.75</v>
      </c>
      <c r="K776" s="29"/>
      <c r="L776" s="27">
        <v>77902.75</v>
      </c>
      <c r="M776" s="27">
        <v>77648.104000000007</v>
      </c>
      <c r="N776" s="30" t="s">
        <v>7</v>
      </c>
      <c r="O776" s="28" t="s">
        <v>8</v>
      </c>
      <c r="P776"/>
    </row>
    <row r="777" spans="1:16" x14ac:dyDescent="0.35">
      <c r="A777" s="4">
        <v>774</v>
      </c>
      <c r="B777" s="17">
        <v>46053.828472222223</v>
      </c>
      <c r="C777" s="1">
        <v>77817.75</v>
      </c>
      <c r="D777" s="20">
        <v>77838.67</v>
      </c>
      <c r="E777" s="20">
        <v>77707.95</v>
      </c>
      <c r="F777" s="1">
        <v>77740.67</v>
      </c>
      <c r="G777" s="18">
        <v>281</v>
      </c>
      <c r="I777" s="21">
        <v>46053.828472222223</v>
      </c>
      <c r="J777" s="26"/>
      <c r="K777" s="29"/>
      <c r="L777" s="27">
        <v>77912.14</v>
      </c>
      <c r="M777" s="27">
        <v>77676.001999999993</v>
      </c>
      <c r="N777" s="30" t="s">
        <v>7</v>
      </c>
      <c r="O777" s="28" t="s">
        <v>8</v>
      </c>
      <c r="P777"/>
    </row>
    <row r="778" spans="1:16" x14ac:dyDescent="0.35">
      <c r="A778" s="4">
        <v>775</v>
      </c>
      <c r="B778" s="17">
        <v>46053.82916666667</v>
      </c>
      <c r="C778" s="1">
        <v>77742.45</v>
      </c>
      <c r="D778" s="20">
        <v>77753.740000000005</v>
      </c>
      <c r="E778" s="20">
        <v>77703.899999999994</v>
      </c>
      <c r="F778" s="1">
        <v>77739.039999999994</v>
      </c>
      <c r="G778" s="18">
        <v>263</v>
      </c>
      <c r="I778" s="21">
        <v>46053.82916666667</v>
      </c>
      <c r="J778" s="26"/>
      <c r="K778" s="29">
        <v>77703.899999999994</v>
      </c>
      <c r="L778" s="27">
        <v>77921.53</v>
      </c>
      <c r="M778" s="27">
        <v>77703.899999999994</v>
      </c>
      <c r="N778" s="30" t="s">
        <v>7</v>
      </c>
      <c r="O778" s="28" t="s">
        <v>8</v>
      </c>
      <c r="P778"/>
    </row>
    <row r="779" spans="1:16" x14ac:dyDescent="0.35">
      <c r="A779" s="4">
        <v>776</v>
      </c>
      <c r="B779" s="17">
        <v>46053.829861111109</v>
      </c>
      <c r="C779" s="1">
        <v>77739.22</v>
      </c>
      <c r="D779" s="20">
        <v>77821.440000000002</v>
      </c>
      <c r="E779" s="20">
        <v>77739.009999999995</v>
      </c>
      <c r="F779" s="1">
        <v>77771.199999999997</v>
      </c>
      <c r="G779" s="18">
        <v>220</v>
      </c>
      <c r="I779" s="21">
        <v>46053.829861111109</v>
      </c>
      <c r="J779" s="26"/>
      <c r="K779" s="29"/>
      <c r="L779" s="27">
        <v>77930.92</v>
      </c>
      <c r="M779" s="27">
        <v>77701.666670000006</v>
      </c>
      <c r="N779" s="30" t="s">
        <v>7</v>
      </c>
      <c r="O779" s="28" t="s">
        <v>13</v>
      </c>
      <c r="P779"/>
    </row>
    <row r="780" spans="1:16" x14ac:dyDescent="0.35">
      <c r="A780" s="4">
        <v>777</v>
      </c>
      <c r="B780" s="17">
        <v>46053.830555555556</v>
      </c>
      <c r="C780" s="1">
        <v>77771.179999999993</v>
      </c>
      <c r="D780" s="20">
        <v>77940.31</v>
      </c>
      <c r="E780" s="20">
        <v>77750.8</v>
      </c>
      <c r="F780" s="1">
        <v>77902.210000000006</v>
      </c>
      <c r="G780" s="18">
        <v>261</v>
      </c>
      <c r="I780" s="21">
        <v>46053.830555555556</v>
      </c>
      <c r="J780" s="26">
        <v>77940.31</v>
      </c>
      <c r="K780" s="29"/>
      <c r="L780" s="27">
        <v>77940.31</v>
      </c>
      <c r="M780" s="27">
        <v>77699.43333</v>
      </c>
      <c r="N780" s="30" t="s">
        <v>7</v>
      </c>
      <c r="O780" s="28" t="s">
        <v>13</v>
      </c>
      <c r="P780"/>
    </row>
    <row r="781" spans="1:16" x14ac:dyDescent="0.35">
      <c r="A781" s="4">
        <v>778</v>
      </c>
      <c r="B781" s="17">
        <v>46053.831250000003</v>
      </c>
      <c r="C781" s="1">
        <v>77902.11</v>
      </c>
      <c r="D781" s="20">
        <v>77911.600000000006</v>
      </c>
      <c r="E781" s="20">
        <v>77788.39</v>
      </c>
      <c r="F781" s="1">
        <v>77789.25</v>
      </c>
      <c r="G781" s="18">
        <v>281</v>
      </c>
      <c r="I781" s="21">
        <v>46053.831250000003</v>
      </c>
      <c r="J781" s="26"/>
      <c r="K781" s="29"/>
      <c r="L781" s="27">
        <v>77935.312000000005</v>
      </c>
      <c r="M781" s="27">
        <v>77697.2</v>
      </c>
      <c r="N781" s="30" t="s">
        <v>6</v>
      </c>
      <c r="O781" s="28" t="s">
        <v>13</v>
      </c>
      <c r="P781"/>
    </row>
    <row r="782" spans="1:16" x14ac:dyDescent="0.35">
      <c r="A782" s="4">
        <v>779</v>
      </c>
      <c r="B782" s="17">
        <v>46053.831944444442</v>
      </c>
      <c r="C782" s="1">
        <v>77788.39</v>
      </c>
      <c r="D782" s="20">
        <v>77929.13</v>
      </c>
      <c r="E782" s="20">
        <v>77785.5</v>
      </c>
      <c r="F782" s="1">
        <v>77851.210000000006</v>
      </c>
      <c r="G782" s="18">
        <v>257</v>
      </c>
      <c r="I782" s="21">
        <v>46053.831944444442</v>
      </c>
      <c r="J782" s="26"/>
      <c r="K782" s="29"/>
      <c r="L782" s="27">
        <v>77930.313999999998</v>
      </c>
      <c r="M782" s="27">
        <v>77694.966669999994</v>
      </c>
      <c r="N782" s="30" t="s">
        <v>6</v>
      </c>
      <c r="O782" s="28" t="s">
        <v>13</v>
      </c>
      <c r="P782"/>
    </row>
    <row r="783" spans="1:16" x14ac:dyDescent="0.35">
      <c r="A783" s="4">
        <v>780</v>
      </c>
      <c r="B783" s="17">
        <v>46053.832638888889</v>
      </c>
      <c r="C783" s="1">
        <v>77851.75</v>
      </c>
      <c r="D783" s="20">
        <v>77876.02</v>
      </c>
      <c r="E783" s="20">
        <v>77690.69</v>
      </c>
      <c r="F783" s="1">
        <v>77698.13</v>
      </c>
      <c r="G783" s="18">
        <v>263</v>
      </c>
      <c r="I783" s="21">
        <v>46053.832638888889</v>
      </c>
      <c r="J783" s="26"/>
      <c r="K783" s="29"/>
      <c r="L783" s="27">
        <v>77925.316000000006</v>
      </c>
      <c r="M783" s="27">
        <v>77692.733330000003</v>
      </c>
      <c r="N783" s="30" t="s">
        <v>6</v>
      </c>
      <c r="O783" s="28" t="s">
        <v>13</v>
      </c>
      <c r="P783"/>
    </row>
    <row r="784" spans="1:16" x14ac:dyDescent="0.35">
      <c r="A784" s="4">
        <v>781</v>
      </c>
      <c r="B784" s="17">
        <v>46053.833333333336</v>
      </c>
      <c r="C784" s="1">
        <v>77698.789999999994</v>
      </c>
      <c r="D784" s="20">
        <v>77760.600000000006</v>
      </c>
      <c r="E784" s="20">
        <v>77690.5</v>
      </c>
      <c r="F784" s="1">
        <v>77733.13</v>
      </c>
      <c r="G784" s="18">
        <v>239</v>
      </c>
      <c r="I784" s="21">
        <v>46053.833333333336</v>
      </c>
      <c r="J784" s="26"/>
      <c r="K784" s="29">
        <v>77690.5</v>
      </c>
      <c r="L784" s="27">
        <v>77920.317999999999</v>
      </c>
      <c r="M784" s="27">
        <v>77690.5</v>
      </c>
      <c r="N784" s="30" t="s">
        <v>6</v>
      </c>
      <c r="O784" s="28" t="s">
        <v>13</v>
      </c>
      <c r="P784"/>
    </row>
    <row r="785" spans="1:16" x14ac:dyDescent="0.35">
      <c r="A785" s="4">
        <v>782</v>
      </c>
      <c r="B785" s="17">
        <v>46053.834027777775</v>
      </c>
      <c r="C785" s="1">
        <v>77732.570000000007</v>
      </c>
      <c r="D785" s="20">
        <v>77832.28</v>
      </c>
      <c r="E785" s="20">
        <v>77704.83</v>
      </c>
      <c r="F785" s="1">
        <v>77760.240000000005</v>
      </c>
      <c r="G785" s="18">
        <v>245</v>
      </c>
      <c r="I785" s="21">
        <v>46053.834027777775</v>
      </c>
      <c r="J785" s="26"/>
      <c r="K785" s="29"/>
      <c r="L785" s="27">
        <v>77915.320000000007</v>
      </c>
      <c r="M785" s="27">
        <v>77663.17</v>
      </c>
      <c r="N785" s="30" t="s">
        <v>6</v>
      </c>
      <c r="O785" s="28" t="s">
        <v>13</v>
      </c>
      <c r="P785"/>
    </row>
    <row r="786" spans="1:16" x14ac:dyDescent="0.35">
      <c r="A786" s="4">
        <v>783</v>
      </c>
      <c r="B786" s="17">
        <v>46053.834722222222</v>
      </c>
      <c r="C786" s="1">
        <v>77760.23</v>
      </c>
      <c r="D786" s="20">
        <v>77824.87</v>
      </c>
      <c r="E786" s="20">
        <v>77712.490000000005</v>
      </c>
      <c r="F786" s="1">
        <v>77768.210000000006</v>
      </c>
      <c r="G786" s="18">
        <v>286</v>
      </c>
      <c r="I786" s="21">
        <v>46053.834722222222</v>
      </c>
      <c r="J786" s="26"/>
      <c r="K786" s="29"/>
      <c r="L786" s="27">
        <v>77910.322</v>
      </c>
      <c r="M786" s="27">
        <v>77635.839999999997</v>
      </c>
      <c r="N786" s="30" t="s">
        <v>6</v>
      </c>
      <c r="O786" s="28" t="s">
        <v>13</v>
      </c>
      <c r="P786"/>
    </row>
    <row r="787" spans="1:16" x14ac:dyDescent="0.35">
      <c r="A787" s="4">
        <v>784</v>
      </c>
      <c r="B787" s="17">
        <v>46053.835416666669</v>
      </c>
      <c r="C787" s="1">
        <v>77770.210000000006</v>
      </c>
      <c r="D787" s="20">
        <v>77778.320000000007</v>
      </c>
      <c r="E787" s="20">
        <v>77593.990000000005</v>
      </c>
      <c r="F787" s="1">
        <v>77595.22</v>
      </c>
      <c r="G787" s="18">
        <v>269</v>
      </c>
      <c r="I787" s="21">
        <v>46053.835416666669</v>
      </c>
      <c r="J787" s="26"/>
      <c r="K787" s="29"/>
      <c r="L787" s="27">
        <v>77905.323999999993</v>
      </c>
      <c r="M787" s="27">
        <v>77608.509999999995</v>
      </c>
      <c r="N787" s="30" t="s">
        <v>6</v>
      </c>
      <c r="O787" s="28" t="s">
        <v>13</v>
      </c>
      <c r="P787"/>
    </row>
    <row r="788" spans="1:16" x14ac:dyDescent="0.35">
      <c r="A788" s="4">
        <v>785</v>
      </c>
      <c r="B788" s="17">
        <v>46053.836111111108</v>
      </c>
      <c r="C788" s="1">
        <v>77590.48</v>
      </c>
      <c r="D788" s="20">
        <v>77810.34</v>
      </c>
      <c r="E788" s="20">
        <v>77581.179999999993</v>
      </c>
      <c r="F788" s="1">
        <v>77725.539999999994</v>
      </c>
      <c r="G788" s="18">
        <v>267</v>
      </c>
      <c r="I788" s="21">
        <v>46053.836111111108</v>
      </c>
      <c r="J788" s="26"/>
      <c r="K788" s="29">
        <v>77581.179999999993</v>
      </c>
      <c r="L788" s="27">
        <v>77900.326000000001</v>
      </c>
      <c r="M788" s="27">
        <v>77581.179999999993</v>
      </c>
      <c r="N788" s="30" t="s">
        <v>6</v>
      </c>
      <c r="O788" s="28" t="s">
        <v>13</v>
      </c>
      <c r="P788"/>
    </row>
    <row r="789" spans="1:16" x14ac:dyDescent="0.35">
      <c r="A789" s="4">
        <v>786</v>
      </c>
      <c r="B789" s="17">
        <v>46053.836805555555</v>
      </c>
      <c r="C789" s="1">
        <v>77726.11</v>
      </c>
      <c r="D789" s="20">
        <v>77726.11</v>
      </c>
      <c r="E789" s="20">
        <v>77651.31</v>
      </c>
      <c r="F789" s="1">
        <v>77717.61</v>
      </c>
      <c r="G789" s="18">
        <v>277</v>
      </c>
      <c r="I789" s="21">
        <v>46053.836805555555</v>
      </c>
      <c r="J789" s="26"/>
      <c r="K789" s="29"/>
      <c r="L789" s="27">
        <v>77895.327999999994</v>
      </c>
      <c r="M789" s="27">
        <v>77561.757500000007</v>
      </c>
      <c r="N789" s="30" t="s">
        <v>6</v>
      </c>
      <c r="O789" s="28" t="s">
        <v>13</v>
      </c>
      <c r="P789"/>
    </row>
    <row r="790" spans="1:16" x14ac:dyDescent="0.35">
      <c r="A790" s="4">
        <v>787</v>
      </c>
      <c r="B790" s="17">
        <v>46053.837500000001</v>
      </c>
      <c r="C790" s="1">
        <v>77717.929999999993</v>
      </c>
      <c r="D790" s="20">
        <v>77890.33</v>
      </c>
      <c r="E790" s="20">
        <v>77717.929999999993</v>
      </c>
      <c r="F790" s="1">
        <v>77864.67</v>
      </c>
      <c r="G790" s="18">
        <v>285</v>
      </c>
      <c r="I790" s="21">
        <v>46053.837500000001</v>
      </c>
      <c r="J790" s="26">
        <v>77890.33</v>
      </c>
      <c r="K790" s="29"/>
      <c r="L790" s="27">
        <v>77890.33</v>
      </c>
      <c r="M790" s="27">
        <v>77542.335000000006</v>
      </c>
      <c r="N790" s="30" t="s">
        <v>6</v>
      </c>
      <c r="O790" s="28" t="s">
        <v>13</v>
      </c>
      <c r="P790"/>
    </row>
    <row r="791" spans="1:16" x14ac:dyDescent="0.35">
      <c r="A791" s="4">
        <v>788</v>
      </c>
      <c r="B791" s="17">
        <v>46053.838194444441</v>
      </c>
      <c r="C791" s="1">
        <v>77864.91</v>
      </c>
      <c r="D791" s="20">
        <v>77874.009999999995</v>
      </c>
      <c r="E791" s="20">
        <v>77779.320000000007</v>
      </c>
      <c r="F791" s="1">
        <v>77860.83</v>
      </c>
      <c r="G791" s="18">
        <v>252</v>
      </c>
      <c r="I791" s="21">
        <v>46053.838194444441</v>
      </c>
      <c r="J791" s="26"/>
      <c r="K791" s="29"/>
      <c r="L791" s="27">
        <v>77873.513330000002</v>
      </c>
      <c r="M791" s="27">
        <v>77522.912500000006</v>
      </c>
      <c r="N791" s="30" t="s">
        <v>6</v>
      </c>
      <c r="O791" s="28" t="s">
        <v>13</v>
      </c>
      <c r="P791"/>
    </row>
    <row r="792" spans="1:16" x14ac:dyDescent="0.35">
      <c r="A792" s="4">
        <v>789</v>
      </c>
      <c r="B792" s="17">
        <v>46053.838888888888</v>
      </c>
      <c r="C792" s="1">
        <v>77858.429999999993</v>
      </c>
      <c r="D792" s="20">
        <v>77858.47</v>
      </c>
      <c r="E792" s="20">
        <v>77768.61</v>
      </c>
      <c r="F792" s="1">
        <v>77802.84</v>
      </c>
      <c r="G792" s="18">
        <v>228</v>
      </c>
      <c r="I792" s="21">
        <v>46053.838888888888</v>
      </c>
      <c r="J792" s="26"/>
      <c r="K792" s="29"/>
      <c r="L792" s="27">
        <v>77856.696670000005</v>
      </c>
      <c r="M792" s="27">
        <v>77503.490000000005</v>
      </c>
      <c r="N792" s="30" t="s">
        <v>6</v>
      </c>
      <c r="O792" s="28" t="s">
        <v>13</v>
      </c>
      <c r="P792"/>
    </row>
    <row r="793" spans="1:16" x14ac:dyDescent="0.35">
      <c r="A793" s="4">
        <v>790</v>
      </c>
      <c r="B793" s="17">
        <v>46053.839583333334</v>
      </c>
      <c r="C793" s="1">
        <v>77802.820000000007</v>
      </c>
      <c r="D793" s="20">
        <v>77826.81</v>
      </c>
      <c r="E793" s="20">
        <v>77738.13</v>
      </c>
      <c r="F793" s="1">
        <v>77763.64</v>
      </c>
      <c r="G793" s="18">
        <v>181</v>
      </c>
      <c r="I793" s="21">
        <v>46053.839583333334</v>
      </c>
      <c r="J793" s="26"/>
      <c r="K793" s="29"/>
      <c r="L793" s="27">
        <v>77839.88</v>
      </c>
      <c r="M793" s="27">
        <v>77484.067500000005</v>
      </c>
      <c r="N793" s="30" t="s">
        <v>6</v>
      </c>
      <c r="O793" s="28" t="s">
        <v>13</v>
      </c>
      <c r="P793"/>
    </row>
    <row r="794" spans="1:16" x14ac:dyDescent="0.35">
      <c r="A794" s="4">
        <v>791</v>
      </c>
      <c r="B794" s="17">
        <v>46053.840277777781</v>
      </c>
      <c r="C794" s="1">
        <v>77764.02</v>
      </c>
      <c r="D794" s="20">
        <v>77784.09</v>
      </c>
      <c r="E794" s="20">
        <v>77674.210000000006</v>
      </c>
      <c r="F794" s="1">
        <v>77676.210000000006</v>
      </c>
      <c r="G794" s="18">
        <v>245</v>
      </c>
      <c r="I794" s="21">
        <v>46053.840277777781</v>
      </c>
      <c r="J794" s="26"/>
      <c r="K794" s="29"/>
      <c r="L794" s="27">
        <v>77823.063330000004</v>
      </c>
      <c r="M794" s="27">
        <v>77464.645000000004</v>
      </c>
      <c r="N794" s="30" t="s">
        <v>6</v>
      </c>
      <c r="O794" s="28" t="s">
        <v>13</v>
      </c>
      <c r="P794"/>
    </row>
    <row r="795" spans="1:16" x14ac:dyDescent="0.35">
      <c r="A795" s="4">
        <v>792</v>
      </c>
      <c r="B795" s="17">
        <v>46053.84097222222</v>
      </c>
      <c r="C795" s="1">
        <v>77676.509999999995</v>
      </c>
      <c r="D795" s="20">
        <v>77785.31</v>
      </c>
      <c r="E795" s="20">
        <v>77676.34</v>
      </c>
      <c r="F795" s="1">
        <v>77779.490000000005</v>
      </c>
      <c r="G795" s="18">
        <v>238</v>
      </c>
      <c r="I795" s="21">
        <v>46053.84097222222</v>
      </c>
      <c r="J795" s="26"/>
      <c r="K795" s="29"/>
      <c r="L795" s="27">
        <v>77806.246669999993</v>
      </c>
      <c r="M795" s="27">
        <v>77445.222500000003</v>
      </c>
      <c r="N795" s="30" t="s">
        <v>6</v>
      </c>
      <c r="O795" s="28" t="s">
        <v>13</v>
      </c>
      <c r="P795"/>
    </row>
    <row r="796" spans="1:16" x14ac:dyDescent="0.35">
      <c r="A796" s="4">
        <v>793</v>
      </c>
      <c r="B796" s="17">
        <v>46053.841666666667</v>
      </c>
      <c r="C796" s="1">
        <v>77778.67</v>
      </c>
      <c r="D796" s="20">
        <v>77789.429999999993</v>
      </c>
      <c r="E796" s="20">
        <v>77589.2</v>
      </c>
      <c r="F796" s="1">
        <v>77610.73</v>
      </c>
      <c r="G796" s="18">
        <v>247</v>
      </c>
      <c r="I796" s="21">
        <v>46053.841666666667</v>
      </c>
      <c r="J796" s="26">
        <v>77789.429999999993</v>
      </c>
      <c r="K796" s="29"/>
      <c r="L796" s="27">
        <v>77789.429999999993</v>
      </c>
      <c r="M796" s="27">
        <v>77425.8</v>
      </c>
      <c r="N796" s="30" t="s">
        <v>6</v>
      </c>
      <c r="O796" s="28" t="s">
        <v>13</v>
      </c>
      <c r="P796"/>
    </row>
    <row r="797" spans="1:16" x14ac:dyDescent="0.35">
      <c r="A797" s="4">
        <v>794</v>
      </c>
      <c r="B797" s="17">
        <v>46053.842361111114</v>
      </c>
      <c r="C797" s="1">
        <v>77616.710000000006</v>
      </c>
      <c r="D797" s="20">
        <v>77698.81</v>
      </c>
      <c r="E797" s="20">
        <v>77572.59</v>
      </c>
      <c r="F797" s="1">
        <v>77579.63</v>
      </c>
      <c r="G797" s="18">
        <v>267</v>
      </c>
      <c r="I797" s="21">
        <v>46053.842361111114</v>
      </c>
      <c r="J797" s="26"/>
      <c r="K797" s="29"/>
      <c r="L797" s="27">
        <v>77818.463000000003</v>
      </c>
      <c r="M797" s="27">
        <v>77406.377500000002</v>
      </c>
      <c r="N797" s="30" t="s">
        <v>7</v>
      </c>
      <c r="O797" s="28" t="s">
        <v>13</v>
      </c>
      <c r="P797"/>
    </row>
    <row r="798" spans="1:16" x14ac:dyDescent="0.35">
      <c r="A798" s="4">
        <v>795</v>
      </c>
      <c r="B798" s="17">
        <v>46053.843055555553</v>
      </c>
      <c r="C798" s="1">
        <v>77584.97</v>
      </c>
      <c r="D798" s="20">
        <v>77629.919999999998</v>
      </c>
      <c r="E798" s="20">
        <v>77448.38</v>
      </c>
      <c r="F798" s="1">
        <v>77479.66</v>
      </c>
      <c r="G798" s="18">
        <v>253</v>
      </c>
      <c r="I798" s="21">
        <v>46053.843055555553</v>
      </c>
      <c r="J798" s="26"/>
      <c r="K798" s="29"/>
      <c r="L798" s="27">
        <v>77847.495999999999</v>
      </c>
      <c r="M798" s="27">
        <v>77386.955000000002</v>
      </c>
      <c r="N798" s="30" t="s">
        <v>7</v>
      </c>
      <c r="O798" s="28" t="s">
        <v>13</v>
      </c>
      <c r="P798"/>
    </row>
    <row r="799" spans="1:16" x14ac:dyDescent="0.35">
      <c r="A799" s="4">
        <v>796</v>
      </c>
      <c r="B799" s="17">
        <v>46053.84375</v>
      </c>
      <c r="C799" s="1">
        <v>77472.94</v>
      </c>
      <c r="D799" s="20">
        <v>77580.62</v>
      </c>
      <c r="E799" s="20">
        <v>77434.64</v>
      </c>
      <c r="F799" s="1">
        <v>77536.399999999994</v>
      </c>
      <c r="G799" s="18">
        <v>276</v>
      </c>
      <c r="I799" s="21">
        <v>46053.84375</v>
      </c>
      <c r="J799" s="26"/>
      <c r="K799" s="29"/>
      <c r="L799" s="27">
        <v>77876.528999999995</v>
      </c>
      <c r="M799" s="27">
        <v>77367.532500000001</v>
      </c>
      <c r="N799" s="30" t="s">
        <v>7</v>
      </c>
      <c r="O799" s="28" t="s">
        <v>13</v>
      </c>
      <c r="P799"/>
    </row>
    <row r="800" spans="1:16" x14ac:dyDescent="0.35">
      <c r="A800" s="4">
        <v>797</v>
      </c>
      <c r="B800" s="17">
        <v>46053.844444444447</v>
      </c>
      <c r="C800" s="1">
        <v>77525.919999999998</v>
      </c>
      <c r="D800" s="20">
        <v>77525.919999999998</v>
      </c>
      <c r="E800" s="20">
        <v>77348.11</v>
      </c>
      <c r="F800" s="1">
        <v>77446.740000000005</v>
      </c>
      <c r="G800" s="18">
        <v>274</v>
      </c>
      <c r="I800" s="21">
        <v>46053.844444444447</v>
      </c>
      <c r="J800" s="26"/>
      <c r="K800" s="29">
        <v>77348.11</v>
      </c>
      <c r="L800" s="27">
        <v>77905.562000000005</v>
      </c>
      <c r="M800" s="27">
        <v>77348.11</v>
      </c>
      <c r="N800" s="30" t="s">
        <v>7</v>
      </c>
      <c r="O800" s="28" t="s">
        <v>13</v>
      </c>
      <c r="P800"/>
    </row>
    <row r="801" spans="1:16" x14ac:dyDescent="0.35">
      <c r="A801" s="4">
        <v>798</v>
      </c>
      <c r="B801" s="17">
        <v>46053.845138888886</v>
      </c>
      <c r="C801" s="1">
        <v>77454.399999999994</v>
      </c>
      <c r="D801" s="20">
        <v>77502.23</v>
      </c>
      <c r="E801" s="20">
        <v>77436.81</v>
      </c>
      <c r="F801" s="1">
        <v>77473.960000000006</v>
      </c>
      <c r="G801" s="18">
        <v>267</v>
      </c>
      <c r="I801" s="21">
        <v>46053.845138888886</v>
      </c>
      <c r="J801" s="26"/>
      <c r="K801" s="29"/>
      <c r="L801" s="27">
        <v>77934.595000000001</v>
      </c>
      <c r="M801" s="27">
        <v>77369.623330000002</v>
      </c>
      <c r="N801" s="30" t="s">
        <v>7</v>
      </c>
      <c r="O801" s="28" t="s">
        <v>8</v>
      </c>
      <c r="P801"/>
    </row>
    <row r="802" spans="1:16" x14ac:dyDescent="0.35">
      <c r="A802" s="4">
        <v>799</v>
      </c>
      <c r="B802" s="17">
        <v>46053.845833333333</v>
      </c>
      <c r="C802" s="1">
        <v>77473.94</v>
      </c>
      <c r="D802" s="20">
        <v>77509.460000000006</v>
      </c>
      <c r="E802" s="20">
        <v>77420.56</v>
      </c>
      <c r="F802" s="1">
        <v>77424.08</v>
      </c>
      <c r="G802" s="18">
        <v>221</v>
      </c>
      <c r="I802" s="21">
        <v>46053.845833333333</v>
      </c>
      <c r="J802" s="26"/>
      <c r="K802" s="29"/>
      <c r="L802" s="27">
        <v>77963.627999999997</v>
      </c>
      <c r="M802" s="27">
        <v>77391.136670000007</v>
      </c>
      <c r="N802" s="30" t="s">
        <v>7</v>
      </c>
      <c r="O802" s="28" t="s">
        <v>8</v>
      </c>
      <c r="P802"/>
    </row>
    <row r="803" spans="1:16" x14ac:dyDescent="0.35">
      <c r="A803" s="4">
        <v>800</v>
      </c>
      <c r="B803" s="17">
        <v>46053.84652777778</v>
      </c>
      <c r="C803" s="1">
        <v>77422.77</v>
      </c>
      <c r="D803" s="20">
        <v>77558.59</v>
      </c>
      <c r="E803" s="20">
        <v>77412.649999999994</v>
      </c>
      <c r="F803" s="1">
        <v>77558.59</v>
      </c>
      <c r="G803" s="18">
        <v>225</v>
      </c>
      <c r="I803" s="21">
        <v>46053.84652777778</v>
      </c>
      <c r="J803" s="26"/>
      <c r="K803" s="29">
        <v>77412.649999999994</v>
      </c>
      <c r="L803" s="27">
        <v>77992.660999999993</v>
      </c>
      <c r="M803" s="27">
        <v>77412.649999999994</v>
      </c>
      <c r="N803" s="30" t="s">
        <v>7</v>
      </c>
      <c r="O803" s="28" t="s">
        <v>8</v>
      </c>
      <c r="P803"/>
    </row>
    <row r="804" spans="1:16" x14ac:dyDescent="0.35">
      <c r="A804" s="4">
        <v>801</v>
      </c>
      <c r="B804" s="17">
        <v>46053.847222222219</v>
      </c>
      <c r="C804" s="1">
        <v>77559.61</v>
      </c>
      <c r="D804" s="20">
        <v>77559.61</v>
      </c>
      <c r="E804" s="20">
        <v>77453.259999999995</v>
      </c>
      <c r="F804" s="1">
        <v>77500.5</v>
      </c>
      <c r="G804" s="18">
        <v>263</v>
      </c>
      <c r="I804" s="21">
        <v>46053.847222222219</v>
      </c>
      <c r="J804" s="26"/>
      <c r="K804" s="29"/>
      <c r="L804" s="27">
        <v>78021.694000000003</v>
      </c>
      <c r="M804" s="27">
        <v>77385.654290000006</v>
      </c>
      <c r="N804" s="30" t="s">
        <v>7</v>
      </c>
      <c r="O804" s="28" t="s">
        <v>13</v>
      </c>
      <c r="P804"/>
    </row>
    <row r="805" spans="1:16" x14ac:dyDescent="0.35">
      <c r="A805" s="4">
        <v>802</v>
      </c>
      <c r="B805" s="17">
        <v>46053.847916666666</v>
      </c>
      <c r="C805" s="1">
        <v>77500.5</v>
      </c>
      <c r="D805" s="20">
        <v>77662.75</v>
      </c>
      <c r="E805" s="20">
        <v>77480.27</v>
      </c>
      <c r="F805" s="1">
        <v>77641.95</v>
      </c>
      <c r="G805" s="18">
        <v>281</v>
      </c>
      <c r="I805" s="21">
        <v>46053.847916666666</v>
      </c>
      <c r="J805" s="26"/>
      <c r="K805" s="29"/>
      <c r="L805" s="27">
        <v>78050.726999999999</v>
      </c>
      <c r="M805" s="27">
        <v>77358.65857</v>
      </c>
      <c r="N805" s="30" t="s">
        <v>7</v>
      </c>
      <c r="O805" s="28" t="s">
        <v>13</v>
      </c>
      <c r="P805"/>
    </row>
    <row r="806" spans="1:16" x14ac:dyDescent="0.35">
      <c r="A806" s="4">
        <v>803</v>
      </c>
      <c r="B806" s="17">
        <v>46053.848611111112</v>
      </c>
      <c r="C806" s="1">
        <v>77641.960000000006</v>
      </c>
      <c r="D806" s="20">
        <v>78079.759999999995</v>
      </c>
      <c r="E806" s="20">
        <v>77641.960000000006</v>
      </c>
      <c r="F806" s="1">
        <v>77997.16</v>
      </c>
      <c r="G806" s="18">
        <v>305</v>
      </c>
      <c r="I806" s="21">
        <v>46053.848611111112</v>
      </c>
      <c r="J806" s="26">
        <v>78079.759999999995</v>
      </c>
      <c r="K806" s="29"/>
      <c r="L806" s="27">
        <v>78079.759999999995</v>
      </c>
      <c r="M806" s="27">
        <v>77331.662859999997</v>
      </c>
      <c r="N806" s="30" t="s">
        <v>7</v>
      </c>
      <c r="O806" s="28" t="s">
        <v>13</v>
      </c>
      <c r="P806"/>
    </row>
    <row r="807" spans="1:16" x14ac:dyDescent="0.35">
      <c r="A807" s="4">
        <v>804</v>
      </c>
      <c r="B807" s="17">
        <v>46053.849305555559</v>
      </c>
      <c r="C807" s="1">
        <v>77995.839999999997</v>
      </c>
      <c r="D807" s="20">
        <v>77995.839999999997</v>
      </c>
      <c r="E807" s="20">
        <v>77773.97</v>
      </c>
      <c r="F807" s="1">
        <v>77774.63</v>
      </c>
      <c r="G807" s="18">
        <v>298</v>
      </c>
      <c r="I807" s="21">
        <v>46053.849305555559</v>
      </c>
      <c r="J807" s="26"/>
      <c r="K807" s="29"/>
      <c r="L807" s="27">
        <v>78026.252859999993</v>
      </c>
      <c r="M807" s="27">
        <v>77304.667140000005</v>
      </c>
      <c r="N807" s="30" t="s">
        <v>6</v>
      </c>
      <c r="O807" s="28" t="s">
        <v>13</v>
      </c>
      <c r="P807"/>
    </row>
    <row r="808" spans="1:16" x14ac:dyDescent="0.35">
      <c r="A808" s="4">
        <v>805</v>
      </c>
      <c r="B808" s="17">
        <v>46053.85</v>
      </c>
      <c r="C808" s="1">
        <v>77766.11</v>
      </c>
      <c r="D808" s="20">
        <v>77784.84</v>
      </c>
      <c r="E808" s="20">
        <v>77648.53</v>
      </c>
      <c r="F808" s="1">
        <v>77649.45</v>
      </c>
      <c r="G808" s="18">
        <v>283</v>
      </c>
      <c r="I808" s="21">
        <v>46053.85</v>
      </c>
      <c r="J808" s="26"/>
      <c r="K808" s="29"/>
      <c r="L808" s="27">
        <v>77972.745710000003</v>
      </c>
      <c r="M808" s="27">
        <v>77277.671430000002</v>
      </c>
      <c r="N808" s="30" t="s">
        <v>6</v>
      </c>
      <c r="O808" s="28" t="s">
        <v>13</v>
      </c>
      <c r="P808"/>
    </row>
    <row r="809" spans="1:16" x14ac:dyDescent="0.35">
      <c r="A809" s="4">
        <v>806</v>
      </c>
      <c r="B809" s="17">
        <v>46053.850694444445</v>
      </c>
      <c r="C809" s="1">
        <v>77649.84</v>
      </c>
      <c r="D809" s="20">
        <v>77690</v>
      </c>
      <c r="E809" s="20">
        <v>77614.83</v>
      </c>
      <c r="F809" s="1">
        <v>77623.039999999994</v>
      </c>
      <c r="G809" s="18">
        <v>281</v>
      </c>
      <c r="I809" s="21">
        <v>46053.850694444445</v>
      </c>
      <c r="J809" s="26"/>
      <c r="K809" s="29"/>
      <c r="L809" s="27">
        <v>77919.238570000001</v>
      </c>
      <c r="M809" s="27">
        <v>77250.675709999996</v>
      </c>
      <c r="N809" s="30" t="s">
        <v>6</v>
      </c>
      <c r="O809" s="28" t="s">
        <v>13</v>
      </c>
      <c r="P809"/>
    </row>
    <row r="810" spans="1:16" x14ac:dyDescent="0.35">
      <c r="A810" s="4">
        <v>807</v>
      </c>
      <c r="B810" s="17">
        <v>46053.851388888892</v>
      </c>
      <c r="C810" s="1">
        <v>77613.570000000007</v>
      </c>
      <c r="D810" s="20">
        <v>77633.009999999995</v>
      </c>
      <c r="E810" s="20">
        <v>77453.259999999995</v>
      </c>
      <c r="F810" s="1">
        <v>77489.48</v>
      </c>
      <c r="G810" s="18">
        <v>268</v>
      </c>
      <c r="I810" s="21">
        <v>46053.851388888892</v>
      </c>
      <c r="J810" s="26"/>
      <c r="K810" s="29"/>
      <c r="L810" s="27">
        <v>77865.73143</v>
      </c>
      <c r="M810" s="27">
        <v>77223.679999999993</v>
      </c>
      <c r="N810" s="30" t="s">
        <v>6</v>
      </c>
      <c r="O810" s="28" t="s">
        <v>13</v>
      </c>
      <c r="P810"/>
    </row>
    <row r="811" spans="1:16" x14ac:dyDescent="0.35">
      <c r="A811" s="4">
        <v>808</v>
      </c>
      <c r="B811" s="17">
        <v>46053.852083333331</v>
      </c>
      <c r="C811" s="1">
        <v>77490.399999999994</v>
      </c>
      <c r="D811" s="20">
        <v>77525.259999999995</v>
      </c>
      <c r="E811" s="20">
        <v>77439.88</v>
      </c>
      <c r="F811" s="1">
        <v>77439.88</v>
      </c>
      <c r="G811" s="18">
        <v>272</v>
      </c>
      <c r="I811" s="21">
        <v>46053.852083333331</v>
      </c>
      <c r="J811" s="26"/>
      <c r="K811" s="29"/>
      <c r="L811" s="27">
        <v>77812.224289999998</v>
      </c>
      <c r="M811" s="27">
        <v>77196.684290000005</v>
      </c>
      <c r="N811" s="30" t="s">
        <v>6</v>
      </c>
      <c r="O811" s="28" t="s">
        <v>13</v>
      </c>
      <c r="P811"/>
    </row>
    <row r="812" spans="1:16" x14ac:dyDescent="0.35">
      <c r="A812" s="4">
        <v>809</v>
      </c>
      <c r="B812" s="17">
        <v>46053.852777777778</v>
      </c>
      <c r="C812" s="1">
        <v>77440.160000000003</v>
      </c>
      <c r="D812" s="20">
        <v>77450.399999999994</v>
      </c>
      <c r="E812" s="20">
        <v>77332.83</v>
      </c>
      <c r="F812" s="1">
        <v>77354.539999999994</v>
      </c>
      <c r="G812" s="18">
        <v>244</v>
      </c>
      <c r="I812" s="21">
        <v>46053.852777777778</v>
      </c>
      <c r="J812" s="26"/>
      <c r="K812" s="29"/>
      <c r="L812" s="27">
        <v>77758.717139999993</v>
      </c>
      <c r="M812" s="27">
        <v>77169.688569999998</v>
      </c>
      <c r="N812" s="30" t="s">
        <v>6</v>
      </c>
      <c r="O812" s="28" t="s">
        <v>13</v>
      </c>
      <c r="P812"/>
    </row>
    <row r="813" spans="1:16" x14ac:dyDescent="0.35">
      <c r="A813" s="4">
        <v>810</v>
      </c>
      <c r="B813" s="17">
        <v>46053.853472222225</v>
      </c>
      <c r="C813" s="1">
        <v>77357.899999999994</v>
      </c>
      <c r="D813" s="20">
        <v>77408.850000000006</v>
      </c>
      <c r="E813" s="20">
        <v>77321.3</v>
      </c>
      <c r="F813" s="1">
        <v>77337.919999999998</v>
      </c>
      <c r="G813" s="18">
        <v>245</v>
      </c>
      <c r="I813" s="21">
        <v>46053.853472222225</v>
      </c>
      <c r="J813" s="26"/>
      <c r="K813" s="29"/>
      <c r="L813" s="27">
        <v>77705.210000000006</v>
      </c>
      <c r="M813" s="27">
        <v>77142.692859999996</v>
      </c>
      <c r="N813" s="30" t="s">
        <v>6</v>
      </c>
      <c r="O813" s="28" t="s">
        <v>13</v>
      </c>
      <c r="P813"/>
    </row>
    <row r="814" spans="1:16" x14ac:dyDescent="0.35">
      <c r="A814" s="4">
        <v>811</v>
      </c>
      <c r="B814" s="17">
        <v>46053.854166666664</v>
      </c>
      <c r="C814" s="1">
        <v>77337.94</v>
      </c>
      <c r="D814" s="20">
        <v>77340.399999999994</v>
      </c>
      <c r="E814" s="20">
        <v>77203.86</v>
      </c>
      <c r="F814" s="1">
        <v>77230.350000000006</v>
      </c>
      <c r="G814" s="18">
        <v>264</v>
      </c>
      <c r="I814" s="21">
        <v>46053.854166666664</v>
      </c>
      <c r="J814" s="26"/>
      <c r="K814" s="29"/>
      <c r="L814" s="27">
        <v>77651.702860000005</v>
      </c>
      <c r="M814" s="27">
        <v>77115.697140000004</v>
      </c>
      <c r="N814" s="30" t="s">
        <v>6</v>
      </c>
      <c r="O814" s="28" t="s">
        <v>13</v>
      </c>
      <c r="P814"/>
    </row>
    <row r="815" spans="1:16" x14ac:dyDescent="0.35">
      <c r="A815" s="4">
        <v>812</v>
      </c>
      <c r="B815" s="17">
        <v>46053.854861111111</v>
      </c>
      <c r="C815" s="1">
        <v>77230.44</v>
      </c>
      <c r="D815" s="20">
        <v>77276.63</v>
      </c>
      <c r="E815" s="20">
        <v>77190.5</v>
      </c>
      <c r="F815" s="1">
        <v>77195.740000000005</v>
      </c>
      <c r="G815" s="18">
        <v>271</v>
      </c>
      <c r="I815" s="21">
        <v>46053.854861111111</v>
      </c>
      <c r="J815" s="26"/>
      <c r="K815" s="29"/>
      <c r="L815" s="27">
        <v>77598.19571</v>
      </c>
      <c r="M815" s="27">
        <v>77088.701430000001</v>
      </c>
      <c r="N815" s="30" t="s">
        <v>6</v>
      </c>
      <c r="O815" s="28" t="s">
        <v>13</v>
      </c>
      <c r="P815"/>
    </row>
    <row r="816" spans="1:16" x14ac:dyDescent="0.35">
      <c r="A816" s="4">
        <v>813</v>
      </c>
      <c r="B816" s="17">
        <v>46053.855555555558</v>
      </c>
      <c r="C816" s="1">
        <v>77192.78</v>
      </c>
      <c r="D816" s="20">
        <v>77249.259999999995</v>
      </c>
      <c r="E816" s="20">
        <v>77035.350000000006</v>
      </c>
      <c r="F816" s="1">
        <v>77118.94</v>
      </c>
      <c r="G816" s="18">
        <v>300</v>
      </c>
      <c r="I816" s="21">
        <v>46053.855555555558</v>
      </c>
      <c r="J816" s="26"/>
      <c r="K816" s="29"/>
      <c r="L816" s="27">
        <v>77544.688569999998</v>
      </c>
      <c r="M816" s="27">
        <v>77061.705709999995</v>
      </c>
      <c r="N816" s="30" t="s">
        <v>6</v>
      </c>
      <c r="O816" s="28" t="s">
        <v>13</v>
      </c>
      <c r="P816"/>
    </row>
    <row r="817" spans="1:16" x14ac:dyDescent="0.35">
      <c r="A817" s="4">
        <v>814</v>
      </c>
      <c r="B817" s="17">
        <v>46053.856249999997</v>
      </c>
      <c r="C817" s="1">
        <v>77123.179999999993</v>
      </c>
      <c r="D817" s="20">
        <v>77149.440000000002</v>
      </c>
      <c r="E817" s="20">
        <v>77034.710000000006</v>
      </c>
      <c r="F817" s="1">
        <v>77119.210000000006</v>
      </c>
      <c r="G817" s="18">
        <v>288</v>
      </c>
      <c r="I817" s="21">
        <v>46053.856249999997</v>
      </c>
      <c r="J817" s="26"/>
      <c r="K817" s="29">
        <v>77034.710000000006</v>
      </c>
      <c r="L817" s="27">
        <v>77491.181429999997</v>
      </c>
      <c r="M817" s="27">
        <v>77034.710000000006</v>
      </c>
      <c r="N817" s="30" t="s">
        <v>6</v>
      </c>
      <c r="O817" s="28" t="s">
        <v>13</v>
      </c>
      <c r="P817"/>
    </row>
    <row r="818" spans="1:16" x14ac:dyDescent="0.35">
      <c r="A818" s="4">
        <v>815</v>
      </c>
      <c r="B818" s="17">
        <v>46053.856944444444</v>
      </c>
      <c r="C818" s="1">
        <v>77120.41</v>
      </c>
      <c r="D818" s="20">
        <v>77128.5</v>
      </c>
      <c r="E818" s="20">
        <v>77071.63</v>
      </c>
      <c r="F818" s="1">
        <v>77080.479999999996</v>
      </c>
      <c r="G818" s="18">
        <v>272</v>
      </c>
      <c r="I818" s="21">
        <v>46053.856944444444</v>
      </c>
      <c r="J818" s="26"/>
      <c r="K818" s="29"/>
      <c r="L818" s="27">
        <v>77437.674289999995</v>
      </c>
      <c r="M818" s="27">
        <v>77041.766000000003</v>
      </c>
      <c r="N818" s="30" t="s">
        <v>6</v>
      </c>
      <c r="O818" s="28" t="s">
        <v>8</v>
      </c>
      <c r="P818"/>
    </row>
    <row r="819" spans="1:16" x14ac:dyDescent="0.35">
      <c r="A819" s="4">
        <v>816</v>
      </c>
      <c r="B819" s="17">
        <v>46053.857638888891</v>
      </c>
      <c r="C819" s="1">
        <v>77083.520000000004</v>
      </c>
      <c r="D819" s="20">
        <v>77271.59</v>
      </c>
      <c r="E819" s="20">
        <v>77083.520000000004</v>
      </c>
      <c r="F819" s="1">
        <v>77178.179999999993</v>
      </c>
      <c r="G819" s="18">
        <v>292</v>
      </c>
      <c r="I819" s="21">
        <v>46053.857638888891</v>
      </c>
      <c r="J819" s="26"/>
      <c r="K819" s="29"/>
      <c r="L819" s="27">
        <v>77384.167140000005</v>
      </c>
      <c r="M819" s="27">
        <v>77048.822</v>
      </c>
      <c r="N819" s="30" t="s">
        <v>6</v>
      </c>
      <c r="O819" s="28" t="s">
        <v>8</v>
      </c>
      <c r="P819"/>
    </row>
    <row r="820" spans="1:16" x14ac:dyDescent="0.35">
      <c r="A820" s="4">
        <v>817</v>
      </c>
      <c r="B820" s="17">
        <v>46053.85833333333</v>
      </c>
      <c r="C820" s="1">
        <v>77178.22</v>
      </c>
      <c r="D820" s="20">
        <v>77330.66</v>
      </c>
      <c r="E820" s="20">
        <v>77171.56</v>
      </c>
      <c r="F820" s="1">
        <v>77189.52</v>
      </c>
      <c r="G820" s="18">
        <v>295</v>
      </c>
      <c r="I820" s="21">
        <v>46053.85833333333</v>
      </c>
      <c r="J820" s="26">
        <v>77330.66</v>
      </c>
      <c r="K820" s="29"/>
      <c r="L820" s="27">
        <v>77330.66</v>
      </c>
      <c r="M820" s="27">
        <v>77055.877999999997</v>
      </c>
      <c r="N820" s="30" t="s">
        <v>6</v>
      </c>
      <c r="O820" s="28" t="s">
        <v>8</v>
      </c>
      <c r="P820"/>
    </row>
    <row r="821" spans="1:16" x14ac:dyDescent="0.35">
      <c r="A821" s="4">
        <v>818</v>
      </c>
      <c r="B821" s="17">
        <v>46053.859027777777</v>
      </c>
      <c r="C821" s="1">
        <v>77198.600000000006</v>
      </c>
      <c r="D821" s="20">
        <v>77198.600000000006</v>
      </c>
      <c r="E821" s="20">
        <v>77140.5</v>
      </c>
      <c r="F821" s="1">
        <v>77174.320000000007</v>
      </c>
      <c r="G821" s="18">
        <v>250</v>
      </c>
      <c r="I821" s="21">
        <v>46053.859027777777</v>
      </c>
      <c r="J821" s="26"/>
      <c r="K821" s="29"/>
      <c r="L821" s="27">
        <v>77357.815709999995</v>
      </c>
      <c r="M821" s="27">
        <v>77062.933999999994</v>
      </c>
      <c r="N821" s="30" t="s">
        <v>7</v>
      </c>
      <c r="O821" s="28" t="s">
        <v>8</v>
      </c>
      <c r="P821"/>
    </row>
    <row r="822" spans="1:16" x14ac:dyDescent="0.35">
      <c r="A822" s="4">
        <v>819</v>
      </c>
      <c r="B822" s="17">
        <v>46053.859722222223</v>
      </c>
      <c r="C822" s="1">
        <v>77174</v>
      </c>
      <c r="D822" s="20">
        <v>77253.11</v>
      </c>
      <c r="E822" s="20">
        <v>77069.990000000005</v>
      </c>
      <c r="F822" s="1">
        <v>77241.27</v>
      </c>
      <c r="G822" s="18">
        <v>296</v>
      </c>
      <c r="I822" s="21">
        <v>46053.859722222223</v>
      </c>
      <c r="J822" s="26"/>
      <c r="K822" s="29">
        <v>77069.990000000005</v>
      </c>
      <c r="L822" s="27">
        <v>77384.971430000005</v>
      </c>
      <c r="M822" s="27">
        <v>77069.990000000005</v>
      </c>
      <c r="N822" s="30" t="s">
        <v>7</v>
      </c>
      <c r="O822" s="28" t="s">
        <v>8</v>
      </c>
      <c r="P822"/>
    </row>
    <row r="823" spans="1:16" x14ac:dyDescent="0.35">
      <c r="A823" s="4">
        <v>820</v>
      </c>
      <c r="B823" s="17">
        <v>46053.86041666667</v>
      </c>
      <c r="C823" s="1">
        <v>77226.47</v>
      </c>
      <c r="D823" s="20">
        <v>77266.5</v>
      </c>
      <c r="E823" s="20">
        <v>77158.100000000006</v>
      </c>
      <c r="F823" s="1">
        <v>77208.2</v>
      </c>
      <c r="G823" s="18">
        <v>281</v>
      </c>
      <c r="I823" s="21">
        <v>46053.86041666667</v>
      </c>
      <c r="J823" s="26"/>
      <c r="K823" s="29"/>
      <c r="L823" s="27">
        <v>77412.127139999997</v>
      </c>
      <c r="M823" s="27">
        <v>77095.526249999995</v>
      </c>
      <c r="N823" s="30" t="s">
        <v>7</v>
      </c>
      <c r="O823" s="28" t="s">
        <v>8</v>
      </c>
      <c r="P823"/>
    </row>
    <row r="824" spans="1:16" x14ac:dyDescent="0.35">
      <c r="A824" s="4">
        <v>821</v>
      </c>
      <c r="B824" s="17">
        <v>46053.861111111109</v>
      </c>
      <c r="C824" s="1">
        <v>77207.679999999993</v>
      </c>
      <c r="D824" s="20">
        <v>77230.83</v>
      </c>
      <c r="E824" s="20">
        <v>77169.740000000005</v>
      </c>
      <c r="F824" s="1">
        <v>77230.509999999995</v>
      </c>
      <c r="G824" s="18">
        <v>256</v>
      </c>
      <c r="I824" s="21">
        <v>46053.861111111109</v>
      </c>
      <c r="J824" s="26"/>
      <c r="K824" s="29"/>
      <c r="L824" s="27">
        <v>77439.282860000007</v>
      </c>
      <c r="M824" s="27">
        <v>77121.0625</v>
      </c>
      <c r="N824" s="30" t="s">
        <v>7</v>
      </c>
      <c r="O824" s="28" t="s">
        <v>8</v>
      </c>
      <c r="P824"/>
    </row>
    <row r="825" spans="1:16" x14ac:dyDescent="0.35">
      <c r="A825" s="4">
        <v>822</v>
      </c>
      <c r="B825" s="17">
        <v>46053.861805555556</v>
      </c>
      <c r="C825" s="1">
        <v>77230.45</v>
      </c>
      <c r="D825" s="20">
        <v>77362.83</v>
      </c>
      <c r="E825" s="20">
        <v>77210.539999999994</v>
      </c>
      <c r="F825" s="1">
        <v>77285.509999999995</v>
      </c>
      <c r="G825" s="18">
        <v>269</v>
      </c>
      <c r="I825" s="21">
        <v>46053.861805555556</v>
      </c>
      <c r="J825" s="26"/>
      <c r="K825" s="29"/>
      <c r="L825" s="27">
        <v>77466.438569999998</v>
      </c>
      <c r="M825" s="27">
        <v>77146.598750000005</v>
      </c>
      <c r="N825" s="30" t="s">
        <v>7</v>
      </c>
      <c r="O825" s="28" t="s">
        <v>8</v>
      </c>
      <c r="P825"/>
    </row>
    <row r="826" spans="1:16" x14ac:dyDescent="0.35">
      <c r="A826" s="4">
        <v>823</v>
      </c>
      <c r="B826" s="17">
        <v>46053.862500000003</v>
      </c>
      <c r="C826" s="1">
        <v>77285.5</v>
      </c>
      <c r="D826" s="20">
        <v>77351.11</v>
      </c>
      <c r="E826" s="20">
        <v>77277.759999999995</v>
      </c>
      <c r="F826" s="1">
        <v>77318.75</v>
      </c>
      <c r="G826" s="18">
        <v>280</v>
      </c>
      <c r="I826" s="21">
        <v>46053.862500000003</v>
      </c>
      <c r="J826" s="26"/>
      <c r="K826" s="29"/>
      <c r="L826" s="27">
        <v>77493.594289999994</v>
      </c>
      <c r="M826" s="27">
        <v>77172.134999999995</v>
      </c>
      <c r="N826" s="30" t="s">
        <v>7</v>
      </c>
      <c r="O826" s="28" t="s">
        <v>8</v>
      </c>
      <c r="P826"/>
    </row>
    <row r="827" spans="1:16" x14ac:dyDescent="0.35">
      <c r="A827" s="4">
        <v>824</v>
      </c>
      <c r="B827" s="17">
        <v>46053.863194444442</v>
      </c>
      <c r="C827" s="1">
        <v>77318.75</v>
      </c>
      <c r="D827" s="20">
        <v>77520.75</v>
      </c>
      <c r="E827" s="20">
        <v>77318.740000000005</v>
      </c>
      <c r="F827" s="1">
        <v>77448.22</v>
      </c>
      <c r="G827" s="18">
        <v>298</v>
      </c>
      <c r="I827" s="21">
        <v>46053.863194444442</v>
      </c>
      <c r="J827" s="26">
        <v>77520.75</v>
      </c>
      <c r="K827" s="29"/>
      <c r="L827" s="27">
        <v>77520.75</v>
      </c>
      <c r="M827" s="27">
        <v>77197.671249999999</v>
      </c>
      <c r="N827" s="30" t="s">
        <v>7</v>
      </c>
      <c r="O827" s="28" t="s">
        <v>8</v>
      </c>
      <c r="P827"/>
    </row>
    <row r="828" spans="1:16" x14ac:dyDescent="0.35">
      <c r="A828" s="4">
        <v>825</v>
      </c>
      <c r="B828" s="17">
        <v>46053.863888888889</v>
      </c>
      <c r="C828" s="1">
        <v>77448.47</v>
      </c>
      <c r="D828" s="20">
        <v>77475.509999999995</v>
      </c>
      <c r="E828" s="20">
        <v>77364.92</v>
      </c>
      <c r="F828" s="1">
        <v>77473.95</v>
      </c>
      <c r="G828" s="18">
        <v>254</v>
      </c>
      <c r="I828" s="21">
        <v>46053.863888888889</v>
      </c>
      <c r="J828" s="26"/>
      <c r="K828" s="29"/>
      <c r="L828" s="27">
        <v>77513.668000000005</v>
      </c>
      <c r="M828" s="27">
        <v>77223.207500000004</v>
      </c>
      <c r="N828" s="30" t="s">
        <v>6</v>
      </c>
      <c r="O828" s="28" t="s">
        <v>8</v>
      </c>
      <c r="P828"/>
    </row>
    <row r="829" spans="1:16" x14ac:dyDescent="0.35">
      <c r="A829" s="4">
        <v>826</v>
      </c>
      <c r="B829" s="17">
        <v>46053.864583333336</v>
      </c>
      <c r="C829" s="1">
        <v>77475.179999999993</v>
      </c>
      <c r="D829" s="20">
        <v>77490.3</v>
      </c>
      <c r="E829" s="20">
        <v>77363.929999999993</v>
      </c>
      <c r="F829" s="1">
        <v>77365.509999999995</v>
      </c>
      <c r="G829" s="18">
        <v>263</v>
      </c>
      <c r="I829" s="21">
        <v>46053.864583333336</v>
      </c>
      <c r="J829" s="26"/>
      <c r="K829" s="29"/>
      <c r="L829" s="27">
        <v>77506.585999999996</v>
      </c>
      <c r="M829" s="27">
        <v>77248.743749999994</v>
      </c>
      <c r="N829" s="30" t="s">
        <v>6</v>
      </c>
      <c r="O829" s="28" t="s">
        <v>8</v>
      </c>
      <c r="P829"/>
    </row>
    <row r="830" spans="1:16" x14ac:dyDescent="0.35">
      <c r="A830" s="4">
        <v>827</v>
      </c>
      <c r="B830" s="17">
        <v>46053.865277777775</v>
      </c>
      <c r="C830" s="1">
        <v>77360.240000000005</v>
      </c>
      <c r="D830" s="20">
        <v>77457.73</v>
      </c>
      <c r="E830" s="20">
        <v>77274.28</v>
      </c>
      <c r="F830" s="1">
        <v>77420.97</v>
      </c>
      <c r="G830" s="18">
        <v>280</v>
      </c>
      <c r="I830" s="21">
        <v>46053.865277777775</v>
      </c>
      <c r="J830" s="26"/>
      <c r="K830" s="29">
        <v>77274.28</v>
      </c>
      <c r="L830" s="27">
        <v>77499.504000000001</v>
      </c>
      <c r="M830" s="27">
        <v>77274.28</v>
      </c>
      <c r="N830" s="30" t="s">
        <v>6</v>
      </c>
      <c r="O830" s="28" t="s">
        <v>8</v>
      </c>
      <c r="P830"/>
    </row>
    <row r="831" spans="1:16" x14ac:dyDescent="0.35">
      <c r="A831" s="4">
        <v>828</v>
      </c>
      <c r="B831" s="17">
        <v>46053.865972222222</v>
      </c>
      <c r="C831" s="1">
        <v>77420.960000000006</v>
      </c>
      <c r="D831" s="20">
        <v>77476.73</v>
      </c>
      <c r="E831" s="20">
        <v>77354.009999999995</v>
      </c>
      <c r="F831" s="1">
        <v>77355.78</v>
      </c>
      <c r="G831" s="18">
        <v>267</v>
      </c>
      <c r="I831" s="21">
        <v>46053.865972222222</v>
      </c>
      <c r="J831" s="26"/>
      <c r="K831" s="29"/>
      <c r="L831" s="27">
        <v>77492.422000000006</v>
      </c>
      <c r="M831" s="27">
        <v>77289.113329999993</v>
      </c>
      <c r="N831" s="30" t="s">
        <v>6</v>
      </c>
      <c r="O831" s="28" t="s">
        <v>8</v>
      </c>
      <c r="P831"/>
    </row>
    <row r="832" spans="1:16" x14ac:dyDescent="0.35">
      <c r="A832" s="4">
        <v>829</v>
      </c>
      <c r="B832" s="17">
        <v>46053.866666666669</v>
      </c>
      <c r="C832" s="1">
        <v>77355.740000000005</v>
      </c>
      <c r="D832" s="20">
        <v>77485.34</v>
      </c>
      <c r="E832" s="20">
        <v>77355.740000000005</v>
      </c>
      <c r="F832" s="1">
        <v>77482.23</v>
      </c>
      <c r="G832" s="18">
        <v>270</v>
      </c>
      <c r="I832" s="21">
        <v>46053.866666666669</v>
      </c>
      <c r="J832" s="26">
        <v>77485.34</v>
      </c>
      <c r="K832" s="29"/>
      <c r="L832" s="27">
        <v>77485.34</v>
      </c>
      <c r="M832" s="27">
        <v>77303.946670000005</v>
      </c>
      <c r="N832" s="30" t="s">
        <v>6</v>
      </c>
      <c r="O832" s="28" t="s">
        <v>8</v>
      </c>
      <c r="P832"/>
    </row>
    <row r="833" spans="1:16" x14ac:dyDescent="0.35">
      <c r="A833" s="4">
        <v>830</v>
      </c>
      <c r="B833" s="17">
        <v>46053.867361111108</v>
      </c>
      <c r="C833" s="1">
        <v>77477.509999999995</v>
      </c>
      <c r="D833" s="20">
        <v>77477.509999999995</v>
      </c>
      <c r="E833" s="20">
        <v>77318.78</v>
      </c>
      <c r="F833" s="1">
        <v>77362.649999999994</v>
      </c>
      <c r="G833" s="18">
        <v>277</v>
      </c>
      <c r="I833" s="21">
        <v>46053.867361111108</v>
      </c>
      <c r="J833" s="26"/>
      <c r="K833" s="29">
        <v>77318.78</v>
      </c>
      <c r="L833" s="27">
        <v>77541.33</v>
      </c>
      <c r="M833" s="27">
        <v>77318.78</v>
      </c>
      <c r="N833" s="30" t="s">
        <v>7</v>
      </c>
      <c r="O833" s="28" t="s">
        <v>8</v>
      </c>
      <c r="P833"/>
    </row>
    <row r="834" spans="1:16" x14ac:dyDescent="0.35">
      <c r="A834" s="4">
        <v>831</v>
      </c>
      <c r="B834" s="17">
        <v>46053.868055555555</v>
      </c>
      <c r="C834" s="1">
        <v>77360.56</v>
      </c>
      <c r="D834" s="20">
        <v>77454.75</v>
      </c>
      <c r="E834" s="20">
        <v>77336.77</v>
      </c>
      <c r="F834" s="1">
        <v>77439.73</v>
      </c>
      <c r="G834" s="18">
        <v>271</v>
      </c>
      <c r="I834" s="21">
        <v>46053.868055555555</v>
      </c>
      <c r="J834" s="26"/>
      <c r="K834" s="29"/>
      <c r="L834" s="27">
        <v>77597.320000000007</v>
      </c>
      <c r="M834" s="27">
        <v>77338.354290000003</v>
      </c>
      <c r="N834" s="30" t="s">
        <v>7</v>
      </c>
      <c r="O834" s="28" t="s">
        <v>8</v>
      </c>
      <c r="P834"/>
    </row>
    <row r="835" spans="1:16" x14ac:dyDescent="0.35">
      <c r="A835" s="4">
        <v>832</v>
      </c>
      <c r="B835" s="17">
        <v>46053.868750000001</v>
      </c>
      <c r="C835" s="1">
        <v>77440.23</v>
      </c>
      <c r="D835" s="20">
        <v>77482.960000000006</v>
      </c>
      <c r="E835" s="20">
        <v>77425.39</v>
      </c>
      <c r="F835" s="1">
        <v>77468.789999999994</v>
      </c>
      <c r="G835" s="18">
        <v>237</v>
      </c>
      <c r="I835" s="21">
        <v>46053.868750000001</v>
      </c>
      <c r="J835" s="26"/>
      <c r="K835" s="29"/>
      <c r="L835" s="27">
        <v>77653.31</v>
      </c>
      <c r="M835" s="27">
        <v>77357.928570000004</v>
      </c>
      <c r="N835" s="30" t="s">
        <v>7</v>
      </c>
      <c r="O835" s="28" t="s">
        <v>8</v>
      </c>
      <c r="P835"/>
    </row>
    <row r="836" spans="1:16" x14ac:dyDescent="0.35">
      <c r="A836" s="4">
        <v>833</v>
      </c>
      <c r="B836" s="17">
        <v>46053.869444444441</v>
      </c>
      <c r="C836" s="1">
        <v>77468.59</v>
      </c>
      <c r="D836" s="20">
        <v>77576.81</v>
      </c>
      <c r="E836" s="20">
        <v>77468.59</v>
      </c>
      <c r="F836" s="1">
        <v>77552.56</v>
      </c>
      <c r="G836" s="18">
        <v>242</v>
      </c>
      <c r="I836" s="21">
        <v>46053.869444444441</v>
      </c>
      <c r="J836" s="26"/>
      <c r="K836" s="29"/>
      <c r="L836" s="27">
        <v>77709.3</v>
      </c>
      <c r="M836" s="27">
        <v>77377.502859999993</v>
      </c>
      <c r="N836" s="30" t="s">
        <v>7</v>
      </c>
      <c r="O836" s="28" t="s">
        <v>8</v>
      </c>
      <c r="P836"/>
    </row>
    <row r="837" spans="1:16" x14ac:dyDescent="0.35">
      <c r="A837" s="4">
        <v>834</v>
      </c>
      <c r="B837" s="17">
        <v>46053.870138888888</v>
      </c>
      <c r="C837" s="1">
        <v>77567.509999999995</v>
      </c>
      <c r="D837" s="20">
        <v>77577.740000000005</v>
      </c>
      <c r="E837" s="20">
        <v>77513.31</v>
      </c>
      <c r="F837" s="1">
        <v>77560.5</v>
      </c>
      <c r="G837" s="18">
        <v>272</v>
      </c>
      <c r="I837" s="21">
        <v>46053.870138888888</v>
      </c>
      <c r="J837" s="26"/>
      <c r="K837" s="29"/>
      <c r="L837" s="27">
        <v>77765.289999999994</v>
      </c>
      <c r="M837" s="27">
        <v>77397.077139999994</v>
      </c>
      <c r="N837" s="30" t="s">
        <v>7</v>
      </c>
      <c r="O837" s="28" t="s">
        <v>8</v>
      </c>
      <c r="P837"/>
    </row>
    <row r="838" spans="1:16" x14ac:dyDescent="0.35">
      <c r="A838" s="4">
        <v>835</v>
      </c>
      <c r="B838" s="17">
        <v>46053.870833333334</v>
      </c>
      <c r="C838" s="1">
        <v>77560.05</v>
      </c>
      <c r="D838" s="20">
        <v>77664.11</v>
      </c>
      <c r="E838" s="20">
        <v>77544.92</v>
      </c>
      <c r="F838" s="1">
        <v>77664.05</v>
      </c>
      <c r="G838" s="18">
        <v>236</v>
      </c>
      <c r="I838" s="21">
        <v>46053.870833333334</v>
      </c>
      <c r="J838" s="26"/>
      <c r="K838" s="29"/>
      <c r="L838" s="27">
        <v>77821.279999999999</v>
      </c>
      <c r="M838" s="27">
        <v>77416.651429999998</v>
      </c>
      <c r="N838" s="30" t="s">
        <v>7</v>
      </c>
      <c r="O838" s="28" t="s">
        <v>8</v>
      </c>
      <c r="P838"/>
    </row>
    <row r="839" spans="1:16" x14ac:dyDescent="0.35">
      <c r="A839" s="4">
        <v>836</v>
      </c>
      <c r="B839" s="17">
        <v>46053.871527777781</v>
      </c>
      <c r="C839" s="1">
        <v>77664.7</v>
      </c>
      <c r="D839" s="20">
        <v>77761.179999999993</v>
      </c>
      <c r="E839" s="20">
        <v>77627.990000000005</v>
      </c>
      <c r="F839" s="1">
        <v>77751.19</v>
      </c>
      <c r="G839" s="18">
        <v>279</v>
      </c>
      <c r="I839" s="21">
        <v>46053.871527777781</v>
      </c>
      <c r="J839" s="26"/>
      <c r="K839" s="29"/>
      <c r="L839" s="27">
        <v>77877.27</v>
      </c>
      <c r="M839" s="27">
        <v>77436.225709999999</v>
      </c>
      <c r="N839" s="30" t="s">
        <v>7</v>
      </c>
      <c r="O839" s="28" t="s">
        <v>8</v>
      </c>
      <c r="P839"/>
    </row>
    <row r="840" spans="1:16" x14ac:dyDescent="0.35">
      <c r="A840" s="4">
        <v>837</v>
      </c>
      <c r="B840" s="17">
        <v>46053.87222222222</v>
      </c>
      <c r="C840" s="1">
        <v>77753.7</v>
      </c>
      <c r="D840" s="20">
        <v>77932.03</v>
      </c>
      <c r="E840" s="20">
        <v>77727.210000000006</v>
      </c>
      <c r="F840" s="1">
        <v>77932.03</v>
      </c>
      <c r="G840" s="18">
        <v>283</v>
      </c>
      <c r="I840" s="21">
        <v>46053.87222222222</v>
      </c>
      <c r="J840" s="26"/>
      <c r="K840" s="29"/>
      <c r="L840" s="27">
        <v>77933.259999999995</v>
      </c>
      <c r="M840" s="27">
        <v>77455.8</v>
      </c>
      <c r="N840" s="30" t="s">
        <v>7</v>
      </c>
      <c r="O840" s="28" t="s">
        <v>8</v>
      </c>
      <c r="P840"/>
    </row>
    <row r="841" spans="1:16" x14ac:dyDescent="0.35">
      <c r="A841" s="4">
        <v>838</v>
      </c>
      <c r="B841" s="17">
        <v>46053.872916666667</v>
      </c>
      <c r="C841" s="1">
        <v>77911.19</v>
      </c>
      <c r="D841" s="20">
        <v>77955.73</v>
      </c>
      <c r="E841" s="20">
        <v>77853.48</v>
      </c>
      <c r="F841" s="1">
        <v>77926.67</v>
      </c>
      <c r="G841" s="18">
        <v>261</v>
      </c>
      <c r="I841" s="21">
        <v>46053.872916666667</v>
      </c>
      <c r="J841" s="26"/>
      <c r="K841" s="29"/>
      <c r="L841" s="27">
        <v>77989.25</v>
      </c>
      <c r="M841" s="27">
        <v>77475.374290000007</v>
      </c>
      <c r="N841" s="30" t="s">
        <v>7</v>
      </c>
      <c r="O841" s="28" t="s">
        <v>8</v>
      </c>
      <c r="P841"/>
    </row>
    <row r="842" spans="1:16" x14ac:dyDescent="0.35">
      <c r="A842" s="4">
        <v>839</v>
      </c>
      <c r="B842" s="17">
        <v>46053.873611111114</v>
      </c>
      <c r="C842" s="1">
        <v>77927.75</v>
      </c>
      <c r="D842" s="20">
        <v>78045.240000000005</v>
      </c>
      <c r="E842" s="20">
        <v>77927.75</v>
      </c>
      <c r="F842" s="1">
        <v>78024.22</v>
      </c>
      <c r="G842" s="18">
        <v>265</v>
      </c>
      <c r="I842" s="21">
        <v>46053.873611111114</v>
      </c>
      <c r="J842" s="26">
        <v>78045.240000000005</v>
      </c>
      <c r="K842" s="29"/>
      <c r="L842" s="27">
        <v>78045.240000000005</v>
      </c>
      <c r="M842" s="27">
        <v>77494.948569999993</v>
      </c>
      <c r="N842" s="30" t="s">
        <v>7</v>
      </c>
      <c r="O842" s="28" t="s">
        <v>8</v>
      </c>
      <c r="P842"/>
    </row>
    <row r="843" spans="1:16" x14ac:dyDescent="0.35">
      <c r="A843" s="4">
        <v>840</v>
      </c>
      <c r="B843" s="17">
        <v>46053.874305555553</v>
      </c>
      <c r="C843" s="1">
        <v>78024.2</v>
      </c>
      <c r="D843" s="20">
        <v>78037.58</v>
      </c>
      <c r="E843" s="20">
        <v>77943.86</v>
      </c>
      <c r="F843" s="1">
        <v>77945.94</v>
      </c>
      <c r="G843" s="18">
        <v>267</v>
      </c>
      <c r="I843" s="21">
        <v>46053.874305555553</v>
      </c>
      <c r="J843" s="26"/>
      <c r="K843" s="29"/>
      <c r="L843" s="27">
        <v>78066.36</v>
      </c>
      <c r="M843" s="27">
        <v>77514.522859999997</v>
      </c>
      <c r="N843" s="30" t="s">
        <v>7</v>
      </c>
      <c r="O843" s="28" t="s">
        <v>8</v>
      </c>
      <c r="P843"/>
    </row>
    <row r="844" spans="1:16" x14ac:dyDescent="0.35">
      <c r="A844" s="4">
        <v>841</v>
      </c>
      <c r="B844" s="17">
        <v>46053.875</v>
      </c>
      <c r="C844" s="1">
        <v>77940.5</v>
      </c>
      <c r="D844" s="20">
        <v>78042.2</v>
      </c>
      <c r="E844" s="20">
        <v>77940.5</v>
      </c>
      <c r="F844" s="1">
        <v>78017.75</v>
      </c>
      <c r="G844" s="18">
        <v>242</v>
      </c>
      <c r="I844" s="21">
        <v>46053.875</v>
      </c>
      <c r="J844" s="26"/>
      <c r="K844" s="29"/>
      <c r="L844" s="27">
        <v>78087.48</v>
      </c>
      <c r="M844" s="27">
        <v>77534.097139999998</v>
      </c>
      <c r="N844" s="30" t="s">
        <v>7</v>
      </c>
      <c r="O844" s="28" t="s">
        <v>8</v>
      </c>
      <c r="P844"/>
    </row>
    <row r="845" spans="1:16" x14ac:dyDescent="0.35">
      <c r="A845" s="4">
        <v>842</v>
      </c>
      <c r="B845" s="17">
        <v>46053.875694444447</v>
      </c>
      <c r="C845" s="1">
        <v>78017.64</v>
      </c>
      <c r="D845" s="20">
        <v>78108.600000000006</v>
      </c>
      <c r="E845" s="20">
        <v>78005.289999999994</v>
      </c>
      <c r="F845" s="1">
        <v>78049.58</v>
      </c>
      <c r="G845" s="18">
        <v>268</v>
      </c>
      <c r="I845" s="21">
        <v>46053.875694444447</v>
      </c>
      <c r="J845" s="26">
        <v>78108.600000000006</v>
      </c>
      <c r="K845" s="29"/>
      <c r="L845" s="27">
        <v>78108.600000000006</v>
      </c>
      <c r="M845" s="27">
        <v>77553.671430000002</v>
      </c>
      <c r="N845" s="30" t="s">
        <v>7</v>
      </c>
      <c r="O845" s="28" t="s">
        <v>8</v>
      </c>
      <c r="P845"/>
    </row>
    <row r="846" spans="1:16" x14ac:dyDescent="0.35">
      <c r="A846" s="4">
        <v>843</v>
      </c>
      <c r="B846" s="17">
        <v>46053.876388888886</v>
      </c>
      <c r="C846" s="1">
        <v>78049.63</v>
      </c>
      <c r="D846" s="20">
        <v>78049.63</v>
      </c>
      <c r="E846" s="20">
        <v>77801.84</v>
      </c>
      <c r="F846" s="1">
        <v>77819.61</v>
      </c>
      <c r="G846" s="18">
        <v>249</v>
      </c>
      <c r="I846" s="21">
        <v>46053.876388888886</v>
      </c>
      <c r="J846" s="26"/>
      <c r="K846" s="29"/>
      <c r="L846" s="27">
        <v>78081.820000000007</v>
      </c>
      <c r="M846" s="27">
        <v>77573.245710000003</v>
      </c>
      <c r="N846" s="30" t="s">
        <v>6</v>
      </c>
      <c r="O846" s="28" t="s">
        <v>8</v>
      </c>
      <c r="P846"/>
    </row>
    <row r="847" spans="1:16" x14ac:dyDescent="0.35">
      <c r="A847" s="4">
        <v>844</v>
      </c>
      <c r="B847" s="17">
        <v>46053.877083333333</v>
      </c>
      <c r="C847" s="1">
        <v>77838.3</v>
      </c>
      <c r="D847" s="20">
        <v>77890.23</v>
      </c>
      <c r="E847" s="20">
        <v>77592.820000000007</v>
      </c>
      <c r="F847" s="1">
        <v>77630.78</v>
      </c>
      <c r="G847" s="18">
        <v>261</v>
      </c>
      <c r="I847" s="21">
        <v>46053.877083333333</v>
      </c>
      <c r="J847" s="26"/>
      <c r="K847" s="29">
        <v>77592.820000000007</v>
      </c>
      <c r="L847" s="27">
        <v>78055.039999999994</v>
      </c>
      <c r="M847" s="27">
        <v>77592.820000000007</v>
      </c>
      <c r="N847" s="30" t="s">
        <v>6</v>
      </c>
      <c r="O847" s="28" t="s">
        <v>8</v>
      </c>
      <c r="P847"/>
    </row>
    <row r="848" spans="1:16" x14ac:dyDescent="0.35">
      <c r="A848" s="4">
        <v>845</v>
      </c>
      <c r="B848" s="17">
        <v>46053.87777777778</v>
      </c>
      <c r="C848" s="1">
        <v>77636.11</v>
      </c>
      <c r="D848" s="20">
        <v>77700.19</v>
      </c>
      <c r="E848" s="20">
        <v>77621.61</v>
      </c>
      <c r="F848" s="1">
        <v>77653.87</v>
      </c>
      <c r="G848" s="18">
        <v>206</v>
      </c>
      <c r="I848" s="21">
        <v>46053.87777777778</v>
      </c>
      <c r="J848" s="26"/>
      <c r="K848" s="29"/>
      <c r="L848" s="27">
        <v>78028.259999999995</v>
      </c>
      <c r="M848" s="27">
        <v>77590.319229999994</v>
      </c>
      <c r="N848" s="30" t="s">
        <v>6</v>
      </c>
      <c r="O848" s="28" t="s">
        <v>13</v>
      </c>
      <c r="P848"/>
    </row>
    <row r="849" spans="1:16" x14ac:dyDescent="0.35">
      <c r="A849" s="4">
        <v>846</v>
      </c>
      <c r="B849" s="17">
        <v>46053.878472222219</v>
      </c>
      <c r="C849" s="1">
        <v>77653.87</v>
      </c>
      <c r="D849" s="20">
        <v>77765.320000000007</v>
      </c>
      <c r="E849" s="20">
        <v>77629.259999999995</v>
      </c>
      <c r="F849" s="1">
        <v>77637.820000000007</v>
      </c>
      <c r="G849" s="18">
        <v>247</v>
      </c>
      <c r="I849" s="21">
        <v>46053.878472222219</v>
      </c>
      <c r="J849" s="26"/>
      <c r="K849" s="29"/>
      <c r="L849" s="27">
        <v>78001.48</v>
      </c>
      <c r="M849" s="27">
        <v>77587.818459999995</v>
      </c>
      <c r="N849" s="30" t="s">
        <v>6</v>
      </c>
      <c r="O849" s="28" t="s">
        <v>13</v>
      </c>
      <c r="P849"/>
    </row>
    <row r="850" spans="1:16" x14ac:dyDescent="0.35">
      <c r="A850" s="4">
        <v>847</v>
      </c>
      <c r="B850" s="17">
        <v>46053.879166666666</v>
      </c>
      <c r="C850" s="1">
        <v>77634.960000000006</v>
      </c>
      <c r="D850" s="20">
        <v>77752.31</v>
      </c>
      <c r="E850" s="20">
        <v>77632.31</v>
      </c>
      <c r="F850" s="1">
        <v>77743.64</v>
      </c>
      <c r="G850" s="18">
        <v>275</v>
      </c>
      <c r="I850" s="21">
        <v>46053.879166666666</v>
      </c>
      <c r="J850" s="26"/>
      <c r="K850" s="29"/>
      <c r="L850" s="27">
        <v>77974.7</v>
      </c>
      <c r="M850" s="27">
        <v>77585.317689999996</v>
      </c>
      <c r="N850" s="30" t="s">
        <v>6</v>
      </c>
      <c r="O850" s="28" t="s">
        <v>13</v>
      </c>
      <c r="P850"/>
    </row>
    <row r="851" spans="1:16" x14ac:dyDescent="0.35">
      <c r="A851" s="4">
        <v>848</v>
      </c>
      <c r="B851" s="17">
        <v>46053.879861111112</v>
      </c>
      <c r="C851" s="1">
        <v>77751.25</v>
      </c>
      <c r="D851" s="20">
        <v>77911.259999999995</v>
      </c>
      <c r="E851" s="20">
        <v>77739.12</v>
      </c>
      <c r="F851" s="1">
        <v>77883.600000000006</v>
      </c>
      <c r="G851" s="18">
        <v>271</v>
      </c>
      <c r="I851" s="21">
        <v>46053.879861111112</v>
      </c>
      <c r="J851" s="26"/>
      <c r="K851" s="29"/>
      <c r="L851" s="27">
        <v>77947.92</v>
      </c>
      <c r="M851" s="27">
        <v>77582.816919999997</v>
      </c>
      <c r="N851" s="30" t="s">
        <v>6</v>
      </c>
      <c r="O851" s="28" t="s">
        <v>13</v>
      </c>
      <c r="P851"/>
    </row>
    <row r="852" spans="1:16" x14ac:dyDescent="0.35">
      <c r="A852" s="4">
        <v>849</v>
      </c>
      <c r="B852" s="17">
        <v>46053.880555555559</v>
      </c>
      <c r="C852" s="1">
        <v>77884.22</v>
      </c>
      <c r="D852" s="20">
        <v>77921.14</v>
      </c>
      <c r="E852" s="20">
        <v>77849.83</v>
      </c>
      <c r="F852" s="1">
        <v>77863.429999999993</v>
      </c>
      <c r="G852" s="18">
        <v>278</v>
      </c>
      <c r="I852" s="21">
        <v>46053.880555555559</v>
      </c>
      <c r="J852" s="26">
        <v>77921.14</v>
      </c>
      <c r="K852" s="29"/>
      <c r="L852" s="27">
        <v>77921.14</v>
      </c>
      <c r="M852" s="27">
        <v>77580.316149999999</v>
      </c>
      <c r="N852" s="30" t="s">
        <v>6</v>
      </c>
      <c r="O852" s="28" t="s">
        <v>13</v>
      </c>
      <c r="P852"/>
    </row>
    <row r="853" spans="1:16" x14ac:dyDescent="0.35">
      <c r="A853" s="4">
        <v>850</v>
      </c>
      <c r="B853" s="17">
        <v>46053.881249999999</v>
      </c>
      <c r="C853" s="1">
        <v>77872.899999999994</v>
      </c>
      <c r="D853" s="20">
        <v>77919.11</v>
      </c>
      <c r="E853" s="20">
        <v>77857.259999999995</v>
      </c>
      <c r="F853" s="1">
        <v>77895.34</v>
      </c>
      <c r="G853" s="18">
        <v>261</v>
      </c>
      <c r="I853" s="21">
        <v>46053.881249999999</v>
      </c>
      <c r="J853" s="26"/>
      <c r="K853" s="29"/>
      <c r="L853" s="27">
        <v>77891.761429999999</v>
      </c>
      <c r="M853" s="27">
        <v>77577.81538</v>
      </c>
      <c r="N853" s="30" t="s">
        <v>6</v>
      </c>
      <c r="O853" s="28" t="s">
        <v>13</v>
      </c>
      <c r="P853"/>
    </row>
    <row r="854" spans="1:16" x14ac:dyDescent="0.35">
      <c r="A854" s="4">
        <v>851</v>
      </c>
      <c r="B854" s="17">
        <v>46053.881944444445</v>
      </c>
      <c r="C854" s="1">
        <v>77895.320000000007</v>
      </c>
      <c r="D854" s="20">
        <v>77895.320000000007</v>
      </c>
      <c r="E854" s="20">
        <v>77839.45</v>
      </c>
      <c r="F854" s="1">
        <v>77886.2</v>
      </c>
      <c r="G854" s="18">
        <v>204</v>
      </c>
      <c r="I854" s="21">
        <v>46053.881944444445</v>
      </c>
      <c r="J854" s="26"/>
      <c r="K854" s="29"/>
      <c r="L854" s="27">
        <v>77862.382859999998</v>
      </c>
      <c r="M854" s="27">
        <v>77575.314620000005</v>
      </c>
      <c r="N854" s="30" t="s">
        <v>6</v>
      </c>
      <c r="O854" s="28" t="s">
        <v>13</v>
      </c>
      <c r="P854"/>
    </row>
    <row r="855" spans="1:16" x14ac:dyDescent="0.35">
      <c r="A855" s="4">
        <v>852</v>
      </c>
      <c r="B855" s="17">
        <v>46053.882638888892</v>
      </c>
      <c r="C855" s="1">
        <v>77886.350000000006</v>
      </c>
      <c r="D855" s="20">
        <v>77886.350000000006</v>
      </c>
      <c r="E855" s="20">
        <v>77733.45</v>
      </c>
      <c r="F855" s="1">
        <v>77739.97</v>
      </c>
      <c r="G855" s="18">
        <v>261</v>
      </c>
      <c r="I855" s="21">
        <v>46053.882638888892</v>
      </c>
      <c r="J855" s="26"/>
      <c r="K855" s="29"/>
      <c r="L855" s="27">
        <v>77833.004289999997</v>
      </c>
      <c r="M855" s="27">
        <v>77572.813850000006</v>
      </c>
      <c r="N855" s="30" t="s">
        <v>6</v>
      </c>
      <c r="O855" s="28" t="s">
        <v>13</v>
      </c>
      <c r="P855"/>
    </row>
    <row r="856" spans="1:16" x14ac:dyDescent="0.35">
      <c r="A856" s="4">
        <v>853</v>
      </c>
      <c r="B856" s="17">
        <v>46053.883333333331</v>
      </c>
      <c r="C856" s="1">
        <v>77739.759999999995</v>
      </c>
      <c r="D856" s="20">
        <v>77791.850000000006</v>
      </c>
      <c r="E856" s="20">
        <v>77699.73</v>
      </c>
      <c r="F856" s="1">
        <v>77700.820000000007</v>
      </c>
      <c r="G856" s="18">
        <v>255</v>
      </c>
      <c r="I856" s="21">
        <v>46053.883333333331</v>
      </c>
      <c r="J856" s="26"/>
      <c r="K856" s="29"/>
      <c r="L856" s="27">
        <v>77803.625709999993</v>
      </c>
      <c r="M856" s="27">
        <v>77570.313080000007</v>
      </c>
      <c r="N856" s="30" t="s">
        <v>6</v>
      </c>
      <c r="O856" s="28" t="s">
        <v>13</v>
      </c>
      <c r="P856"/>
    </row>
    <row r="857" spans="1:16" x14ac:dyDescent="0.35">
      <c r="A857" s="4">
        <v>854</v>
      </c>
      <c r="B857" s="17">
        <v>46053.884027777778</v>
      </c>
      <c r="C857" s="1">
        <v>77690.64</v>
      </c>
      <c r="D857" s="20">
        <v>77713.83</v>
      </c>
      <c r="E857" s="20">
        <v>77636.75</v>
      </c>
      <c r="F857" s="1">
        <v>77636.75</v>
      </c>
      <c r="G857" s="18">
        <v>216</v>
      </c>
      <c r="I857" s="21">
        <v>46053.884027777778</v>
      </c>
      <c r="J857" s="26"/>
      <c r="K857" s="29"/>
      <c r="L857" s="27">
        <v>77774.247140000007</v>
      </c>
      <c r="M857" s="27">
        <v>77567.812309999994</v>
      </c>
      <c r="N857" s="30" t="s">
        <v>6</v>
      </c>
      <c r="O857" s="28" t="s">
        <v>13</v>
      </c>
      <c r="P857"/>
    </row>
    <row r="858" spans="1:16" x14ac:dyDescent="0.35">
      <c r="A858" s="4">
        <v>855</v>
      </c>
      <c r="B858" s="17">
        <v>46053.884722222225</v>
      </c>
      <c r="C858" s="1">
        <v>77626.73</v>
      </c>
      <c r="D858" s="20">
        <v>77626.73</v>
      </c>
      <c r="E858" s="20">
        <v>77560.38</v>
      </c>
      <c r="F858" s="1">
        <v>77612.09</v>
      </c>
      <c r="G858" s="18">
        <v>200</v>
      </c>
      <c r="I858" s="21">
        <v>46053.884722222225</v>
      </c>
      <c r="J858" s="26"/>
      <c r="K858" s="29"/>
      <c r="L858" s="27">
        <v>77744.868570000006</v>
      </c>
      <c r="M858" s="27">
        <v>77565.311539999995</v>
      </c>
      <c r="N858" s="30" t="s">
        <v>6</v>
      </c>
      <c r="O858" s="28" t="s">
        <v>13</v>
      </c>
      <c r="P858"/>
    </row>
    <row r="859" spans="1:16" x14ac:dyDescent="0.35">
      <c r="A859" s="4">
        <v>856</v>
      </c>
      <c r="B859" s="17">
        <v>46053.885416666664</v>
      </c>
      <c r="C859" s="1">
        <v>77599.08</v>
      </c>
      <c r="D859" s="20">
        <v>77715.490000000005</v>
      </c>
      <c r="E859" s="20">
        <v>77572.72</v>
      </c>
      <c r="F859" s="1">
        <v>77657.14</v>
      </c>
      <c r="G859" s="18">
        <v>248</v>
      </c>
      <c r="I859" s="21">
        <v>46053.885416666664</v>
      </c>
      <c r="J859" s="26">
        <v>77715.490000000005</v>
      </c>
      <c r="K859" s="29"/>
      <c r="L859" s="27">
        <v>77715.490000000005</v>
      </c>
      <c r="M859" s="27">
        <v>77562.810769999996</v>
      </c>
      <c r="N859" s="30" t="s">
        <v>6</v>
      </c>
      <c r="O859" s="28" t="s">
        <v>13</v>
      </c>
      <c r="P859"/>
    </row>
    <row r="860" spans="1:16" x14ac:dyDescent="0.35">
      <c r="A860" s="4">
        <v>857</v>
      </c>
      <c r="B860" s="17">
        <v>46053.886111111111</v>
      </c>
      <c r="C860" s="1">
        <v>77641.25</v>
      </c>
      <c r="D860" s="20">
        <v>77711.11</v>
      </c>
      <c r="E860" s="20">
        <v>77560.31</v>
      </c>
      <c r="F860" s="1">
        <v>77662.490000000005</v>
      </c>
      <c r="G860" s="18">
        <v>282</v>
      </c>
      <c r="I860" s="21">
        <v>46053.886111111111</v>
      </c>
      <c r="J860" s="26"/>
      <c r="K860" s="29">
        <v>77560.31</v>
      </c>
      <c r="L860" s="27">
        <v>77717.823329999999</v>
      </c>
      <c r="M860" s="27">
        <v>77560.31</v>
      </c>
      <c r="N860" s="30" t="s">
        <v>7</v>
      </c>
      <c r="O860" s="28" t="s">
        <v>13</v>
      </c>
      <c r="P860"/>
    </row>
    <row r="861" spans="1:16" x14ac:dyDescent="0.35">
      <c r="A861" s="4">
        <v>858</v>
      </c>
      <c r="B861" s="17">
        <v>46053.886805555558</v>
      </c>
      <c r="C861" s="1">
        <v>77652.55</v>
      </c>
      <c r="D861" s="20">
        <v>77693.47</v>
      </c>
      <c r="E861" s="20">
        <v>77627.08</v>
      </c>
      <c r="F861" s="1">
        <v>77681.399999999994</v>
      </c>
      <c r="G861" s="18">
        <v>216</v>
      </c>
      <c r="I861" s="21">
        <v>46053.886805555558</v>
      </c>
      <c r="J861" s="26"/>
      <c r="K861" s="29"/>
      <c r="L861" s="27">
        <v>77720.156669999997</v>
      </c>
      <c r="M861" s="27">
        <v>77524.964290000004</v>
      </c>
      <c r="N861" s="30" t="s">
        <v>7</v>
      </c>
      <c r="O861" s="28" t="s">
        <v>13</v>
      </c>
      <c r="P861"/>
    </row>
    <row r="862" spans="1:16" x14ac:dyDescent="0.35">
      <c r="A862" s="4">
        <v>859</v>
      </c>
      <c r="B862" s="17">
        <v>46053.887499999997</v>
      </c>
      <c r="C862" s="1">
        <v>77681.56</v>
      </c>
      <c r="D862" s="20">
        <v>77722.490000000005</v>
      </c>
      <c r="E862" s="20">
        <v>77626.039999999994</v>
      </c>
      <c r="F862" s="1">
        <v>77663.09</v>
      </c>
      <c r="G862" s="18">
        <v>229</v>
      </c>
      <c r="I862" s="21">
        <v>46053.887499999997</v>
      </c>
      <c r="J862" s="26">
        <v>77722.490000000005</v>
      </c>
      <c r="K862" s="29"/>
      <c r="L862" s="27">
        <v>77722.490000000005</v>
      </c>
      <c r="M862" s="27">
        <v>77489.618570000006</v>
      </c>
      <c r="N862" s="30" t="s">
        <v>7</v>
      </c>
      <c r="O862" s="28" t="s">
        <v>13</v>
      </c>
      <c r="P862"/>
    </row>
    <row r="863" spans="1:16" x14ac:dyDescent="0.35">
      <c r="A863" s="4">
        <v>860</v>
      </c>
      <c r="B863" s="17">
        <v>46053.888194444444</v>
      </c>
      <c r="C863" s="1">
        <v>77663.13</v>
      </c>
      <c r="D863" s="20">
        <v>77664.84</v>
      </c>
      <c r="E863" s="20">
        <v>77564.55</v>
      </c>
      <c r="F863" s="1">
        <v>77605.86</v>
      </c>
      <c r="G863" s="18">
        <v>246</v>
      </c>
      <c r="I863" s="21">
        <v>46053.888194444444</v>
      </c>
      <c r="J863" s="26"/>
      <c r="K863" s="29"/>
      <c r="L863" s="27">
        <v>77742.024000000005</v>
      </c>
      <c r="M863" s="27">
        <v>77454.272859999997</v>
      </c>
      <c r="N863" s="30" t="s">
        <v>7</v>
      </c>
      <c r="O863" s="28" t="s">
        <v>13</v>
      </c>
      <c r="P863"/>
    </row>
    <row r="864" spans="1:16" x14ac:dyDescent="0.35">
      <c r="A864" s="4">
        <v>861</v>
      </c>
      <c r="B864" s="17">
        <v>46053.888888888891</v>
      </c>
      <c r="C864" s="1">
        <v>77613.53</v>
      </c>
      <c r="D864" s="20">
        <v>77625.06</v>
      </c>
      <c r="E864" s="20">
        <v>77361.47</v>
      </c>
      <c r="F864" s="1">
        <v>77443.149999999994</v>
      </c>
      <c r="G864" s="18">
        <v>294</v>
      </c>
      <c r="I864" s="21">
        <v>46053.888888888891</v>
      </c>
      <c r="J864" s="26"/>
      <c r="K864" s="29"/>
      <c r="L864" s="27">
        <v>77761.558000000005</v>
      </c>
      <c r="M864" s="27">
        <v>77418.92714</v>
      </c>
      <c r="N864" s="30" t="s">
        <v>7</v>
      </c>
      <c r="O864" s="28" t="s">
        <v>13</v>
      </c>
      <c r="P864"/>
    </row>
    <row r="865" spans="1:16" x14ac:dyDescent="0.35">
      <c r="A865" s="4">
        <v>862</v>
      </c>
      <c r="B865" s="17">
        <v>46053.88958333333</v>
      </c>
      <c r="C865" s="1">
        <v>77450</v>
      </c>
      <c r="D865" s="20">
        <v>77490.41</v>
      </c>
      <c r="E865" s="20">
        <v>77345.460000000006</v>
      </c>
      <c r="F865" s="1">
        <v>77345.7</v>
      </c>
      <c r="G865" s="18">
        <v>260</v>
      </c>
      <c r="I865" s="21">
        <v>46053.88958333333</v>
      </c>
      <c r="J865" s="26"/>
      <c r="K865" s="29"/>
      <c r="L865" s="27">
        <v>77781.092000000004</v>
      </c>
      <c r="M865" s="27">
        <v>77383.581430000006</v>
      </c>
      <c r="N865" s="30" t="s">
        <v>7</v>
      </c>
      <c r="O865" s="28" t="s">
        <v>13</v>
      </c>
      <c r="P865"/>
    </row>
    <row r="866" spans="1:16" x14ac:dyDescent="0.35">
      <c r="A866" s="4">
        <v>863</v>
      </c>
      <c r="B866" s="17">
        <v>46053.890277777777</v>
      </c>
      <c r="C866" s="1">
        <v>77345.490000000005</v>
      </c>
      <c r="D866" s="20">
        <v>77452.289999999994</v>
      </c>
      <c r="E866" s="20">
        <v>77330.740000000005</v>
      </c>
      <c r="F866" s="1">
        <v>77333.11</v>
      </c>
      <c r="G866" s="18">
        <v>254</v>
      </c>
      <c r="I866" s="21">
        <v>46053.890277777777</v>
      </c>
      <c r="J866" s="26"/>
      <c r="K866" s="29"/>
      <c r="L866" s="27">
        <v>77800.626000000004</v>
      </c>
      <c r="M866" s="27">
        <v>77348.235709999994</v>
      </c>
      <c r="N866" s="30" t="s">
        <v>7</v>
      </c>
      <c r="O866" s="28" t="s">
        <v>13</v>
      </c>
      <c r="P866"/>
    </row>
    <row r="867" spans="1:16" x14ac:dyDescent="0.35">
      <c r="A867" s="4">
        <v>864</v>
      </c>
      <c r="B867" s="17">
        <v>46053.890972222223</v>
      </c>
      <c r="C867" s="1">
        <v>77333.149999999994</v>
      </c>
      <c r="D867" s="20">
        <v>77429.820000000007</v>
      </c>
      <c r="E867" s="20">
        <v>77312.89</v>
      </c>
      <c r="F867" s="1">
        <v>77429.820000000007</v>
      </c>
      <c r="G867" s="18">
        <v>267</v>
      </c>
      <c r="I867" s="21">
        <v>46053.890972222223</v>
      </c>
      <c r="J867" s="26"/>
      <c r="K867" s="29">
        <v>77312.89</v>
      </c>
      <c r="L867" s="27">
        <v>77820.160000000003</v>
      </c>
      <c r="M867" s="27">
        <v>77312.89</v>
      </c>
      <c r="N867" s="30" t="s">
        <v>7</v>
      </c>
      <c r="O867" s="28" t="s">
        <v>13</v>
      </c>
      <c r="P867"/>
    </row>
    <row r="868" spans="1:16" x14ac:dyDescent="0.35">
      <c r="A868" s="4">
        <v>865</v>
      </c>
      <c r="B868" s="17">
        <v>46053.89166666667</v>
      </c>
      <c r="C868" s="1">
        <v>77429.81</v>
      </c>
      <c r="D868" s="20">
        <v>77524.789999999994</v>
      </c>
      <c r="E868" s="20">
        <v>77411.69</v>
      </c>
      <c r="F868" s="1">
        <v>77428.31</v>
      </c>
      <c r="G868" s="18">
        <v>284</v>
      </c>
      <c r="I868" s="21">
        <v>46053.89166666667</v>
      </c>
      <c r="J868" s="26"/>
      <c r="K868" s="29"/>
      <c r="L868" s="27">
        <v>77839.694000000003</v>
      </c>
      <c r="M868" s="27">
        <v>77357.636249999996</v>
      </c>
      <c r="N868" s="30" t="s">
        <v>7</v>
      </c>
      <c r="O868" s="28" t="s">
        <v>8</v>
      </c>
      <c r="P868"/>
    </row>
    <row r="869" spans="1:16" x14ac:dyDescent="0.35">
      <c r="A869" s="4">
        <v>866</v>
      </c>
      <c r="B869" s="17">
        <v>46053.892361111109</v>
      </c>
      <c r="C869" s="1">
        <v>77423.02</v>
      </c>
      <c r="D869" s="20">
        <v>77526.570000000007</v>
      </c>
      <c r="E869" s="20">
        <v>77423.02</v>
      </c>
      <c r="F869" s="1">
        <v>77519.990000000005</v>
      </c>
      <c r="G869" s="18">
        <v>267</v>
      </c>
      <c r="I869" s="21">
        <v>46053.892361111109</v>
      </c>
      <c r="J869" s="26"/>
      <c r="K869" s="29"/>
      <c r="L869" s="27">
        <v>77859.228000000003</v>
      </c>
      <c r="M869" s="27">
        <v>77402.382500000007</v>
      </c>
      <c r="N869" s="30" t="s">
        <v>7</v>
      </c>
      <c r="O869" s="28" t="s">
        <v>8</v>
      </c>
      <c r="P869"/>
    </row>
    <row r="870" spans="1:16" x14ac:dyDescent="0.35">
      <c r="A870" s="4">
        <v>867</v>
      </c>
      <c r="B870" s="17">
        <v>46053.893055555556</v>
      </c>
      <c r="C870" s="1">
        <v>77528.759999999995</v>
      </c>
      <c r="D870" s="20">
        <v>77685.39</v>
      </c>
      <c r="E870" s="20">
        <v>77518.759999999995</v>
      </c>
      <c r="F870" s="1">
        <v>77681.14</v>
      </c>
      <c r="G870" s="18">
        <v>273</v>
      </c>
      <c r="I870" s="21">
        <v>46053.893055555556</v>
      </c>
      <c r="J870" s="26"/>
      <c r="K870" s="29"/>
      <c r="L870" s="27">
        <v>77878.762000000002</v>
      </c>
      <c r="M870" s="27">
        <v>77447.128750000003</v>
      </c>
      <c r="N870" s="30" t="s">
        <v>7</v>
      </c>
      <c r="O870" s="28" t="s">
        <v>8</v>
      </c>
      <c r="P870"/>
    </row>
    <row r="871" spans="1:16" x14ac:dyDescent="0.35">
      <c r="A871" s="4">
        <v>868</v>
      </c>
      <c r="B871" s="17">
        <v>46053.893750000003</v>
      </c>
      <c r="C871" s="1">
        <v>77720.11</v>
      </c>
      <c r="D871" s="20">
        <v>77879.149999999994</v>
      </c>
      <c r="E871" s="20">
        <v>77720.11</v>
      </c>
      <c r="F871" s="1">
        <v>77843.5</v>
      </c>
      <c r="G871" s="18">
        <v>285</v>
      </c>
      <c r="I871" s="21">
        <v>46053.893750000003</v>
      </c>
      <c r="J871" s="26"/>
      <c r="K871" s="29"/>
      <c r="L871" s="27">
        <v>77898.296000000002</v>
      </c>
      <c r="M871" s="27">
        <v>77491.875</v>
      </c>
      <c r="N871" s="30" t="s">
        <v>7</v>
      </c>
      <c r="O871" s="28" t="s">
        <v>8</v>
      </c>
      <c r="P871"/>
    </row>
    <row r="872" spans="1:16" x14ac:dyDescent="0.35">
      <c r="A872" s="4">
        <v>869</v>
      </c>
      <c r="B872" s="17">
        <v>46053.894444444442</v>
      </c>
      <c r="C872" s="1">
        <v>77838.75</v>
      </c>
      <c r="D872" s="20">
        <v>77917.83</v>
      </c>
      <c r="E872" s="20">
        <v>77817.789999999994</v>
      </c>
      <c r="F872" s="1">
        <v>77837.899999999994</v>
      </c>
      <c r="G872" s="18">
        <v>250</v>
      </c>
      <c r="I872" s="21">
        <v>46053.894444444442</v>
      </c>
      <c r="J872" s="26">
        <v>77917.83</v>
      </c>
      <c r="K872" s="29"/>
      <c r="L872" s="27">
        <v>77917.83</v>
      </c>
      <c r="M872" s="27">
        <v>77536.621249999997</v>
      </c>
      <c r="N872" s="30" t="s">
        <v>7</v>
      </c>
      <c r="O872" s="28" t="s">
        <v>8</v>
      </c>
      <c r="P872"/>
    </row>
    <row r="873" spans="1:16" x14ac:dyDescent="0.35">
      <c r="A873" s="4">
        <v>870</v>
      </c>
      <c r="B873" s="17">
        <v>46053.895138888889</v>
      </c>
      <c r="C873" s="1">
        <v>77837.919999999998</v>
      </c>
      <c r="D873" s="20">
        <v>77838.070000000007</v>
      </c>
      <c r="E873" s="20">
        <v>77748.38</v>
      </c>
      <c r="F873" s="1">
        <v>77782.720000000001</v>
      </c>
      <c r="G873" s="18">
        <v>247</v>
      </c>
      <c r="I873" s="21">
        <v>46053.895138888889</v>
      </c>
      <c r="J873" s="26"/>
      <c r="K873" s="29"/>
      <c r="L873" s="27">
        <v>77940.372730000003</v>
      </c>
      <c r="M873" s="27">
        <v>77581.367499999993</v>
      </c>
      <c r="N873" s="30" t="s">
        <v>7</v>
      </c>
      <c r="O873" s="28" t="s">
        <v>8</v>
      </c>
      <c r="P873"/>
    </row>
    <row r="874" spans="1:16" x14ac:dyDescent="0.35">
      <c r="A874" s="4">
        <v>871</v>
      </c>
      <c r="B874" s="17">
        <v>46053.895833333336</v>
      </c>
      <c r="C874" s="1">
        <v>77781.97</v>
      </c>
      <c r="D874" s="20">
        <v>77838.399999999994</v>
      </c>
      <c r="E874" s="20">
        <v>77745.5</v>
      </c>
      <c r="F874" s="1">
        <v>77745.5</v>
      </c>
      <c r="G874" s="18">
        <v>247</v>
      </c>
      <c r="I874" s="21">
        <v>46053.895833333336</v>
      </c>
      <c r="J874" s="26"/>
      <c r="K874" s="29"/>
      <c r="L874" s="27">
        <v>77962.91545</v>
      </c>
      <c r="M874" s="27">
        <v>77626.113750000004</v>
      </c>
      <c r="N874" s="30" t="s">
        <v>7</v>
      </c>
      <c r="O874" s="28" t="s">
        <v>8</v>
      </c>
      <c r="P874"/>
    </row>
    <row r="875" spans="1:16" x14ac:dyDescent="0.35">
      <c r="A875" s="4">
        <v>872</v>
      </c>
      <c r="B875" s="17">
        <v>46053.896527777775</v>
      </c>
      <c r="C875" s="1">
        <v>77745.5</v>
      </c>
      <c r="D875" s="20">
        <v>77777.98</v>
      </c>
      <c r="E875" s="20">
        <v>77670.86</v>
      </c>
      <c r="F875" s="1">
        <v>77768.89</v>
      </c>
      <c r="G875" s="18">
        <v>257</v>
      </c>
      <c r="I875" s="21">
        <v>46053.896527777775</v>
      </c>
      <c r="J875" s="26"/>
      <c r="K875" s="29">
        <v>77670.86</v>
      </c>
      <c r="L875" s="27">
        <v>77985.458180000001</v>
      </c>
      <c r="M875" s="27">
        <v>77670.86</v>
      </c>
      <c r="N875" s="30" t="s">
        <v>7</v>
      </c>
      <c r="O875" s="28" t="s">
        <v>8</v>
      </c>
      <c r="P875"/>
    </row>
    <row r="876" spans="1:16" x14ac:dyDescent="0.35">
      <c r="A876" s="4">
        <v>873</v>
      </c>
      <c r="B876" s="17">
        <v>46053.897222222222</v>
      </c>
      <c r="C876" s="1">
        <v>77768.88</v>
      </c>
      <c r="D876" s="20">
        <v>77904.55</v>
      </c>
      <c r="E876" s="20">
        <v>77703.69</v>
      </c>
      <c r="F876" s="1">
        <v>77895.509999999995</v>
      </c>
      <c r="G876" s="18">
        <v>206</v>
      </c>
      <c r="I876" s="21">
        <v>46053.897222222222</v>
      </c>
      <c r="J876" s="26"/>
      <c r="K876" s="29"/>
      <c r="L876" s="27">
        <v>78008.000910000002</v>
      </c>
      <c r="M876" s="27">
        <v>77700.911670000001</v>
      </c>
      <c r="N876" s="30" t="s">
        <v>7</v>
      </c>
      <c r="O876" s="28" t="s">
        <v>8</v>
      </c>
      <c r="P876"/>
    </row>
    <row r="877" spans="1:16" x14ac:dyDescent="0.35">
      <c r="A877" s="4">
        <v>874</v>
      </c>
      <c r="B877" s="17">
        <v>46053.897916666669</v>
      </c>
      <c r="C877" s="1">
        <v>77887.210000000006</v>
      </c>
      <c r="D877" s="20">
        <v>77887.210000000006</v>
      </c>
      <c r="E877" s="20">
        <v>77772.53</v>
      </c>
      <c r="F877" s="1">
        <v>77802.600000000006</v>
      </c>
      <c r="G877" s="18">
        <v>253</v>
      </c>
      <c r="I877" s="21">
        <v>46053.897916666669</v>
      </c>
      <c r="J877" s="26"/>
      <c r="K877" s="29"/>
      <c r="L877" s="27">
        <v>78030.543640000004</v>
      </c>
      <c r="M877" s="27">
        <v>77730.963329999999</v>
      </c>
      <c r="N877" s="30" t="s">
        <v>7</v>
      </c>
      <c r="O877" s="28" t="s">
        <v>8</v>
      </c>
      <c r="P877"/>
    </row>
    <row r="878" spans="1:16" x14ac:dyDescent="0.35">
      <c r="A878" s="4">
        <v>875</v>
      </c>
      <c r="B878" s="17">
        <v>46053.898611111108</v>
      </c>
      <c r="C878" s="1">
        <v>77802.789999999994</v>
      </c>
      <c r="D878" s="20">
        <v>77930.48</v>
      </c>
      <c r="E878" s="20">
        <v>77797.960000000006</v>
      </c>
      <c r="F878" s="1">
        <v>77923.009999999995</v>
      </c>
      <c r="G878" s="18">
        <v>250</v>
      </c>
      <c r="I878" s="21">
        <v>46053.898611111108</v>
      </c>
      <c r="J878" s="26"/>
      <c r="K878" s="29"/>
      <c r="L878" s="27">
        <v>78053.086360000001</v>
      </c>
      <c r="M878" s="27">
        <v>77761.014999999999</v>
      </c>
      <c r="N878" s="30" t="s">
        <v>7</v>
      </c>
      <c r="O878" s="28" t="s">
        <v>8</v>
      </c>
      <c r="P878"/>
    </row>
    <row r="879" spans="1:16" x14ac:dyDescent="0.35">
      <c r="A879" s="4">
        <v>876</v>
      </c>
      <c r="B879" s="17">
        <v>46053.899305555555</v>
      </c>
      <c r="C879" s="1">
        <v>77922.98</v>
      </c>
      <c r="D879" s="20">
        <v>77963.22</v>
      </c>
      <c r="E879" s="20">
        <v>77914.710000000006</v>
      </c>
      <c r="F879" s="1">
        <v>77963.22</v>
      </c>
      <c r="G879" s="18">
        <v>258</v>
      </c>
      <c r="I879" s="21">
        <v>46053.899305555555</v>
      </c>
      <c r="J879" s="26"/>
      <c r="K879" s="29"/>
      <c r="L879" s="27">
        <v>78075.629090000002</v>
      </c>
      <c r="M879" s="27">
        <v>77791.06667</v>
      </c>
      <c r="N879" s="30" t="s">
        <v>7</v>
      </c>
      <c r="O879" s="28" t="s">
        <v>8</v>
      </c>
      <c r="P879"/>
    </row>
    <row r="880" spans="1:16" x14ac:dyDescent="0.35">
      <c r="A880" s="4">
        <v>877</v>
      </c>
      <c r="B880" s="17">
        <v>46053.9</v>
      </c>
      <c r="C880" s="1">
        <v>77962.62</v>
      </c>
      <c r="D880" s="20">
        <v>77990.34</v>
      </c>
      <c r="E880" s="20">
        <v>77958.55</v>
      </c>
      <c r="F880" s="1">
        <v>77989.279999999999</v>
      </c>
      <c r="G880" s="18">
        <v>216</v>
      </c>
      <c r="I880" s="21">
        <v>46053.9</v>
      </c>
      <c r="J880" s="26"/>
      <c r="K880" s="29"/>
      <c r="L880" s="27">
        <v>78098.171820000003</v>
      </c>
      <c r="M880" s="27">
        <v>77821.118329999998</v>
      </c>
      <c r="N880" s="30" t="s">
        <v>7</v>
      </c>
      <c r="O880" s="28" t="s">
        <v>8</v>
      </c>
      <c r="P880"/>
    </row>
    <row r="881" spans="1:16" x14ac:dyDescent="0.35">
      <c r="A881" s="4">
        <v>878</v>
      </c>
      <c r="B881" s="17">
        <v>46053.900694444441</v>
      </c>
      <c r="C881" s="1">
        <v>77998.2</v>
      </c>
      <c r="D881" s="20">
        <v>78127.47</v>
      </c>
      <c r="E881" s="20">
        <v>77972.399999999994</v>
      </c>
      <c r="F881" s="1">
        <v>78111.06</v>
      </c>
      <c r="G881" s="18">
        <v>263</v>
      </c>
      <c r="I881" s="21">
        <v>46053.900694444441</v>
      </c>
      <c r="J881" s="26"/>
      <c r="K881" s="29"/>
      <c r="L881" s="27">
        <v>78120.714550000004</v>
      </c>
      <c r="M881" s="27">
        <v>77851.17</v>
      </c>
      <c r="N881" s="30" t="s">
        <v>7</v>
      </c>
      <c r="O881" s="28" t="s">
        <v>8</v>
      </c>
      <c r="P881"/>
    </row>
    <row r="882" spans="1:16" x14ac:dyDescent="0.35">
      <c r="A882" s="4">
        <v>879</v>
      </c>
      <c r="B882" s="17">
        <v>46053.901388888888</v>
      </c>
      <c r="C882" s="1">
        <v>78106.100000000006</v>
      </c>
      <c r="D882" s="20">
        <v>78106.100000000006</v>
      </c>
      <c r="E882" s="20">
        <v>77993.23</v>
      </c>
      <c r="F882" s="1">
        <v>78041.259999999995</v>
      </c>
      <c r="G882" s="18">
        <v>284</v>
      </c>
      <c r="I882" s="21">
        <v>46053.901388888888</v>
      </c>
      <c r="J882" s="26"/>
      <c r="K882" s="29"/>
      <c r="L882" s="27">
        <v>78143.257270000002</v>
      </c>
      <c r="M882" s="27">
        <v>77881.221669999999</v>
      </c>
      <c r="N882" s="30" t="s">
        <v>7</v>
      </c>
      <c r="O882" s="28" t="s">
        <v>8</v>
      </c>
      <c r="P882"/>
    </row>
    <row r="883" spans="1:16" x14ac:dyDescent="0.35">
      <c r="A883" s="4">
        <v>880</v>
      </c>
      <c r="B883" s="17">
        <v>46053.902083333334</v>
      </c>
      <c r="C883" s="1">
        <v>78040.67</v>
      </c>
      <c r="D883" s="20">
        <v>78165.8</v>
      </c>
      <c r="E883" s="20">
        <v>77996.84</v>
      </c>
      <c r="F883" s="1">
        <v>78097.34</v>
      </c>
      <c r="G883" s="18">
        <v>261</v>
      </c>
      <c r="I883" s="21">
        <v>46053.902083333334</v>
      </c>
      <c r="J883" s="26">
        <v>78165.8</v>
      </c>
      <c r="K883" s="29"/>
      <c r="L883" s="27">
        <v>78165.8</v>
      </c>
      <c r="M883" s="27">
        <v>77911.273329999996</v>
      </c>
      <c r="N883" s="30" t="s">
        <v>7</v>
      </c>
      <c r="O883" s="28" t="s">
        <v>8</v>
      </c>
      <c r="P883"/>
    </row>
    <row r="884" spans="1:16" x14ac:dyDescent="0.35">
      <c r="A884" s="4">
        <v>881</v>
      </c>
      <c r="B884" s="17">
        <v>46053.902777777781</v>
      </c>
      <c r="C884" s="1">
        <v>78097.350000000006</v>
      </c>
      <c r="D884" s="20">
        <v>78161.899999999994</v>
      </c>
      <c r="E884" s="20">
        <v>78050.27</v>
      </c>
      <c r="F884" s="1">
        <v>78101.13</v>
      </c>
      <c r="G884" s="18">
        <v>265</v>
      </c>
      <c r="I884" s="21">
        <v>46053.902777777781</v>
      </c>
      <c r="J884" s="26"/>
      <c r="K884" s="29"/>
      <c r="L884" s="27">
        <v>78178.843330000003</v>
      </c>
      <c r="M884" s="27">
        <v>77941.324999999997</v>
      </c>
      <c r="N884" s="30" t="s">
        <v>7</v>
      </c>
      <c r="O884" s="28" t="s">
        <v>8</v>
      </c>
      <c r="P884"/>
    </row>
    <row r="885" spans="1:16" x14ac:dyDescent="0.35">
      <c r="A885" s="4">
        <v>882</v>
      </c>
      <c r="B885" s="17">
        <v>46053.90347222222</v>
      </c>
      <c r="C885" s="1">
        <v>78100.73</v>
      </c>
      <c r="D885" s="20">
        <v>78155.22</v>
      </c>
      <c r="E885" s="20">
        <v>78035.399999999994</v>
      </c>
      <c r="F885" s="1">
        <v>78139.3</v>
      </c>
      <c r="G885" s="18">
        <v>262</v>
      </c>
      <c r="I885" s="21">
        <v>46053.90347222222</v>
      </c>
      <c r="J885" s="26"/>
      <c r="K885" s="29"/>
      <c r="L885" s="27">
        <v>78191.886670000007</v>
      </c>
      <c r="M885" s="27">
        <v>77971.376669999998</v>
      </c>
      <c r="N885" s="30" t="s">
        <v>7</v>
      </c>
      <c r="O885" s="28" t="s">
        <v>8</v>
      </c>
      <c r="P885"/>
    </row>
    <row r="886" spans="1:16" x14ac:dyDescent="0.35">
      <c r="A886" s="4">
        <v>883</v>
      </c>
      <c r="B886" s="17">
        <v>46053.904166666667</v>
      </c>
      <c r="C886" s="1">
        <v>78138.539999999994</v>
      </c>
      <c r="D886" s="20">
        <v>78204.929999999993</v>
      </c>
      <c r="E886" s="20">
        <v>78080.62</v>
      </c>
      <c r="F886" s="1">
        <v>78084.03</v>
      </c>
      <c r="G886" s="18">
        <v>263</v>
      </c>
      <c r="I886" s="21">
        <v>46053.904166666667</v>
      </c>
      <c r="J886" s="26">
        <v>78204.929999999993</v>
      </c>
      <c r="K886" s="29"/>
      <c r="L886" s="27">
        <v>78204.929999999993</v>
      </c>
      <c r="M886" s="27">
        <v>78001.428329999995</v>
      </c>
      <c r="N886" s="30" t="s">
        <v>7</v>
      </c>
      <c r="O886" s="28" t="s">
        <v>8</v>
      </c>
      <c r="P886"/>
    </row>
    <row r="887" spans="1:16" x14ac:dyDescent="0.35">
      <c r="A887" s="4">
        <v>884</v>
      </c>
      <c r="B887" s="17">
        <v>46053.904861111114</v>
      </c>
      <c r="C887" s="1">
        <v>78083.960000000006</v>
      </c>
      <c r="D887" s="20">
        <v>78126.880000000005</v>
      </c>
      <c r="E887" s="20">
        <v>78031.48</v>
      </c>
      <c r="F887" s="1">
        <v>78115.95</v>
      </c>
      <c r="G887" s="18">
        <v>269</v>
      </c>
      <c r="I887" s="21">
        <v>46053.904861111114</v>
      </c>
      <c r="J887" s="26"/>
      <c r="K887" s="29">
        <v>78031.48</v>
      </c>
      <c r="L887" s="27">
        <v>78191.48</v>
      </c>
      <c r="M887" s="27">
        <v>78031.48</v>
      </c>
      <c r="N887" s="30" t="s">
        <v>6</v>
      </c>
      <c r="O887" s="28" t="s">
        <v>8</v>
      </c>
      <c r="P887"/>
    </row>
    <row r="888" spans="1:16" x14ac:dyDescent="0.35">
      <c r="A888" s="4">
        <v>885</v>
      </c>
      <c r="B888" s="17">
        <v>46053.905555555553</v>
      </c>
      <c r="C888" s="1">
        <v>78115.37</v>
      </c>
      <c r="D888" s="20">
        <v>78120.03</v>
      </c>
      <c r="E888" s="20">
        <v>78082.78</v>
      </c>
      <c r="F888" s="1">
        <v>78116.539999999994</v>
      </c>
      <c r="G888" s="18">
        <v>216</v>
      </c>
      <c r="I888" s="21">
        <v>46053.905555555553</v>
      </c>
      <c r="J888" s="26"/>
      <c r="K888" s="29"/>
      <c r="L888" s="27">
        <v>78178.03</v>
      </c>
      <c r="M888" s="27">
        <v>78034.039999999994</v>
      </c>
      <c r="N888" s="30" t="s">
        <v>6</v>
      </c>
      <c r="O888" s="28" t="s">
        <v>8</v>
      </c>
      <c r="P888"/>
    </row>
    <row r="889" spans="1:16" x14ac:dyDescent="0.35">
      <c r="A889" s="4">
        <v>886</v>
      </c>
      <c r="B889" s="17">
        <v>46053.90625</v>
      </c>
      <c r="C889" s="1">
        <v>78109.100000000006</v>
      </c>
      <c r="D889" s="20">
        <v>78164.58</v>
      </c>
      <c r="E889" s="20">
        <v>78060.02</v>
      </c>
      <c r="F889" s="1">
        <v>78060.02</v>
      </c>
      <c r="G889" s="18">
        <v>254</v>
      </c>
      <c r="I889" s="21">
        <v>46053.90625</v>
      </c>
      <c r="J889" s="26">
        <v>78164.58</v>
      </c>
      <c r="K889" s="29"/>
      <c r="L889" s="27">
        <v>78164.58</v>
      </c>
      <c r="M889" s="27">
        <v>78036.600000000006</v>
      </c>
      <c r="N889" s="30" t="s">
        <v>6</v>
      </c>
      <c r="O889" s="28" t="s">
        <v>8</v>
      </c>
      <c r="P889"/>
    </row>
    <row r="890" spans="1:16" x14ac:dyDescent="0.35">
      <c r="A890" s="4">
        <v>887</v>
      </c>
      <c r="B890" s="17">
        <v>46053.906944444447</v>
      </c>
      <c r="C890" s="1">
        <v>78059.98</v>
      </c>
      <c r="D890" s="20">
        <v>78120.34</v>
      </c>
      <c r="E890" s="20">
        <v>78048.63</v>
      </c>
      <c r="F890" s="1">
        <v>78059.92</v>
      </c>
      <c r="G890" s="18">
        <v>238</v>
      </c>
      <c r="I890" s="21">
        <v>46053.906944444447</v>
      </c>
      <c r="J890" s="26"/>
      <c r="K890" s="29"/>
      <c r="L890" s="27">
        <v>78178.753330000007</v>
      </c>
      <c r="M890" s="27">
        <v>78039.16</v>
      </c>
      <c r="N890" s="30" t="s">
        <v>7</v>
      </c>
      <c r="O890" s="28" t="s">
        <v>8</v>
      </c>
      <c r="P890"/>
    </row>
    <row r="891" spans="1:16" x14ac:dyDescent="0.35">
      <c r="A891" s="4">
        <v>888</v>
      </c>
      <c r="B891" s="17">
        <v>46053.907638888886</v>
      </c>
      <c r="C891" s="1">
        <v>78060.02</v>
      </c>
      <c r="D891" s="20">
        <v>78115.33</v>
      </c>
      <c r="E891" s="20">
        <v>78041.72</v>
      </c>
      <c r="F891" s="1">
        <v>78115.320000000007</v>
      </c>
      <c r="G891" s="18">
        <v>226</v>
      </c>
      <c r="I891" s="21">
        <v>46053.907638888886</v>
      </c>
      <c r="J891" s="26"/>
      <c r="K891" s="29">
        <v>78041.72</v>
      </c>
      <c r="L891" s="27">
        <v>78192.926670000001</v>
      </c>
      <c r="M891" s="27">
        <v>78041.72</v>
      </c>
      <c r="N891" s="30" t="s">
        <v>7</v>
      </c>
      <c r="O891" s="28" t="s">
        <v>8</v>
      </c>
      <c r="P891"/>
    </row>
    <row r="892" spans="1:16" x14ac:dyDescent="0.35">
      <c r="A892" s="4">
        <v>889</v>
      </c>
      <c r="B892" s="17">
        <v>46053.908333333333</v>
      </c>
      <c r="C892" s="1">
        <v>78115.320000000007</v>
      </c>
      <c r="D892" s="20">
        <v>78158.7</v>
      </c>
      <c r="E892" s="20">
        <v>78071.11</v>
      </c>
      <c r="F892" s="1">
        <v>78116.710000000006</v>
      </c>
      <c r="G892" s="18">
        <v>235</v>
      </c>
      <c r="I892" s="21">
        <v>46053.908333333333</v>
      </c>
      <c r="J892" s="26"/>
      <c r="K892" s="29"/>
      <c r="L892" s="27">
        <v>78207.100000000006</v>
      </c>
      <c r="M892" s="27">
        <v>78053.228329999998</v>
      </c>
      <c r="N892" s="30" t="s">
        <v>7</v>
      </c>
      <c r="O892" s="28" t="s">
        <v>8</v>
      </c>
      <c r="P892"/>
    </row>
    <row r="893" spans="1:16" x14ac:dyDescent="0.35">
      <c r="A893" s="4">
        <v>890</v>
      </c>
      <c r="B893" s="17">
        <v>46053.90902777778</v>
      </c>
      <c r="C893" s="1">
        <v>78116.710000000006</v>
      </c>
      <c r="D893" s="20">
        <v>78180.61</v>
      </c>
      <c r="E893" s="20">
        <v>78063.649999999994</v>
      </c>
      <c r="F893" s="1">
        <v>78106.89</v>
      </c>
      <c r="G893" s="18">
        <v>230</v>
      </c>
      <c r="I893" s="21">
        <v>46053.90902777778</v>
      </c>
      <c r="J893" s="26"/>
      <c r="K893" s="29"/>
      <c r="L893" s="27">
        <v>78221.273329999996</v>
      </c>
      <c r="M893" s="27">
        <v>78064.736669999998</v>
      </c>
      <c r="N893" s="30" t="s">
        <v>7</v>
      </c>
      <c r="O893" s="28" t="s">
        <v>8</v>
      </c>
      <c r="P893"/>
    </row>
    <row r="894" spans="1:16" x14ac:dyDescent="0.35">
      <c r="A894" s="4">
        <v>891</v>
      </c>
      <c r="B894" s="17">
        <v>46053.909722222219</v>
      </c>
      <c r="C894" s="1">
        <v>78108</v>
      </c>
      <c r="D894" s="20">
        <v>78169.33</v>
      </c>
      <c r="E894" s="20">
        <v>78086.990000000005</v>
      </c>
      <c r="F894" s="1">
        <v>78169.33</v>
      </c>
      <c r="G894" s="18">
        <v>224</v>
      </c>
      <c r="I894" s="21">
        <v>46053.909722222219</v>
      </c>
      <c r="J894" s="26"/>
      <c r="K894" s="29"/>
      <c r="L894" s="27">
        <v>78235.446670000005</v>
      </c>
      <c r="M894" s="27">
        <v>78076.244999999995</v>
      </c>
      <c r="N894" s="30" t="s">
        <v>7</v>
      </c>
      <c r="O894" s="28" t="s">
        <v>8</v>
      </c>
      <c r="P894"/>
    </row>
    <row r="895" spans="1:16" x14ac:dyDescent="0.35">
      <c r="A895" s="4">
        <v>892</v>
      </c>
      <c r="B895" s="17">
        <v>46053.910416666666</v>
      </c>
      <c r="C895" s="1">
        <v>78169.320000000007</v>
      </c>
      <c r="D895" s="20">
        <v>78249.62</v>
      </c>
      <c r="E895" s="20">
        <v>78131.539999999994</v>
      </c>
      <c r="F895" s="1">
        <v>78246.350000000006</v>
      </c>
      <c r="G895" s="18">
        <v>259</v>
      </c>
      <c r="I895" s="21">
        <v>46053.910416666666</v>
      </c>
      <c r="J895" s="26">
        <v>78249.62</v>
      </c>
      <c r="K895" s="29"/>
      <c r="L895" s="27">
        <v>78249.62</v>
      </c>
      <c r="M895" s="27">
        <v>78087.753330000007</v>
      </c>
      <c r="N895" s="30" t="s">
        <v>7</v>
      </c>
      <c r="O895" s="28" t="s">
        <v>8</v>
      </c>
      <c r="P895"/>
    </row>
    <row r="896" spans="1:16" x14ac:dyDescent="0.35">
      <c r="A896" s="4">
        <v>893</v>
      </c>
      <c r="B896" s="17">
        <v>46053.911111111112</v>
      </c>
      <c r="C896" s="1">
        <v>78242.759999999995</v>
      </c>
      <c r="D896" s="20">
        <v>78242.759999999995</v>
      </c>
      <c r="E896" s="20">
        <v>78126.320000000007</v>
      </c>
      <c r="F896" s="1">
        <v>78140.98</v>
      </c>
      <c r="G896" s="18">
        <v>232</v>
      </c>
      <c r="I896" s="21">
        <v>46053.911111111112</v>
      </c>
      <c r="J896" s="26"/>
      <c r="K896" s="29"/>
      <c r="L896" s="27">
        <v>78258.67</v>
      </c>
      <c r="M896" s="27">
        <v>78099.261670000007</v>
      </c>
      <c r="N896" s="30" t="s">
        <v>7</v>
      </c>
      <c r="O896" s="28" t="s">
        <v>8</v>
      </c>
      <c r="P896"/>
    </row>
    <row r="897" spans="1:16" x14ac:dyDescent="0.35">
      <c r="A897" s="4">
        <v>894</v>
      </c>
      <c r="B897" s="17">
        <v>46053.911805555559</v>
      </c>
      <c r="C897" s="1">
        <v>78136.56</v>
      </c>
      <c r="D897" s="20">
        <v>78233.440000000002</v>
      </c>
      <c r="E897" s="20">
        <v>78110.77</v>
      </c>
      <c r="F897" s="1">
        <v>78200.61</v>
      </c>
      <c r="G897" s="18">
        <v>267</v>
      </c>
      <c r="I897" s="21">
        <v>46053.911805555559</v>
      </c>
      <c r="J897" s="26"/>
      <c r="K897" s="29">
        <v>78110.77</v>
      </c>
      <c r="L897" s="27">
        <v>78267.72</v>
      </c>
      <c r="M897" s="27">
        <v>78110.77</v>
      </c>
      <c r="N897" s="30" t="s">
        <v>7</v>
      </c>
      <c r="O897" s="28" t="s">
        <v>8</v>
      </c>
      <c r="P897"/>
    </row>
    <row r="898" spans="1:16" x14ac:dyDescent="0.35">
      <c r="A898" s="4">
        <v>895</v>
      </c>
      <c r="B898" s="17">
        <v>46053.912499999999</v>
      </c>
      <c r="C898" s="1">
        <v>78200.600000000006</v>
      </c>
      <c r="D898" s="20">
        <v>78200.710000000006</v>
      </c>
      <c r="E898" s="20">
        <v>78179.929999999993</v>
      </c>
      <c r="F898" s="1">
        <v>78188.509999999995</v>
      </c>
      <c r="G898" s="18">
        <v>180</v>
      </c>
      <c r="I898" s="21">
        <v>46053.912499999999</v>
      </c>
      <c r="J898" s="26"/>
      <c r="K898" s="29"/>
      <c r="L898" s="27">
        <v>78276.77</v>
      </c>
      <c r="M898" s="27">
        <v>78108.513330000002</v>
      </c>
      <c r="N898" s="30" t="s">
        <v>7</v>
      </c>
      <c r="O898" s="28" t="s">
        <v>13</v>
      </c>
      <c r="P898"/>
    </row>
    <row r="899" spans="1:16" x14ac:dyDescent="0.35">
      <c r="A899" s="4">
        <v>896</v>
      </c>
      <c r="B899" s="17">
        <v>46053.913194444445</v>
      </c>
      <c r="C899" s="1">
        <v>78188.509999999995</v>
      </c>
      <c r="D899" s="20">
        <v>78200.800000000003</v>
      </c>
      <c r="E899" s="20">
        <v>78162.350000000006</v>
      </c>
      <c r="F899" s="1">
        <v>78183.399999999994</v>
      </c>
      <c r="G899" s="18">
        <v>200</v>
      </c>
      <c r="I899" s="21">
        <v>46053.913194444445</v>
      </c>
      <c r="J899" s="26"/>
      <c r="K899" s="29"/>
      <c r="L899" s="27">
        <v>78285.820000000007</v>
      </c>
      <c r="M899" s="27">
        <v>78106.256670000002</v>
      </c>
      <c r="N899" s="30" t="s">
        <v>7</v>
      </c>
      <c r="O899" s="28" t="s">
        <v>13</v>
      </c>
      <c r="P899"/>
    </row>
    <row r="900" spans="1:16" x14ac:dyDescent="0.35">
      <c r="A900" s="4">
        <v>897</v>
      </c>
      <c r="B900" s="17">
        <v>46053.913888888892</v>
      </c>
      <c r="C900" s="1">
        <v>78183.38</v>
      </c>
      <c r="D900" s="20">
        <v>78209.13</v>
      </c>
      <c r="E900" s="20">
        <v>78159.08</v>
      </c>
      <c r="F900" s="1">
        <v>78187.86</v>
      </c>
      <c r="G900" s="18">
        <v>193</v>
      </c>
      <c r="I900" s="21">
        <v>46053.913888888892</v>
      </c>
      <c r="J900" s="26"/>
      <c r="K900" s="29"/>
      <c r="L900" s="27">
        <v>78294.87</v>
      </c>
      <c r="M900" s="27">
        <v>78104</v>
      </c>
      <c r="N900" s="30" t="s">
        <v>7</v>
      </c>
      <c r="O900" s="28" t="s">
        <v>13</v>
      </c>
      <c r="P900"/>
    </row>
    <row r="901" spans="1:16" x14ac:dyDescent="0.35">
      <c r="A901" s="4">
        <v>898</v>
      </c>
      <c r="B901" s="17">
        <v>46053.914583333331</v>
      </c>
      <c r="C901" s="1">
        <v>78187.86</v>
      </c>
      <c r="D901" s="20">
        <v>78230.710000000006</v>
      </c>
      <c r="E901" s="20">
        <v>78151.75</v>
      </c>
      <c r="F901" s="1">
        <v>78151.75</v>
      </c>
      <c r="G901" s="18">
        <v>195</v>
      </c>
      <c r="I901" s="21">
        <v>46053.914583333331</v>
      </c>
      <c r="J901" s="26"/>
      <c r="K901" s="29"/>
      <c r="L901" s="27">
        <v>78303.92</v>
      </c>
      <c r="M901" s="27">
        <v>78101.743329999998</v>
      </c>
      <c r="N901" s="30" t="s">
        <v>7</v>
      </c>
      <c r="O901" s="28" t="s">
        <v>13</v>
      </c>
      <c r="P901"/>
    </row>
    <row r="902" spans="1:16" x14ac:dyDescent="0.35">
      <c r="A902" s="4">
        <v>899</v>
      </c>
      <c r="B902" s="17">
        <v>46053.915277777778</v>
      </c>
      <c r="C902" s="1">
        <v>78159.28</v>
      </c>
      <c r="D902" s="20">
        <v>78312.97</v>
      </c>
      <c r="E902" s="20">
        <v>78159.27</v>
      </c>
      <c r="F902" s="1">
        <v>78306.710000000006</v>
      </c>
      <c r="G902" s="18">
        <v>208</v>
      </c>
      <c r="I902" s="21">
        <v>46053.915277777778</v>
      </c>
      <c r="J902" s="26">
        <v>78312.97</v>
      </c>
      <c r="K902" s="29"/>
      <c r="L902" s="27">
        <v>78312.97</v>
      </c>
      <c r="M902" s="27">
        <v>78099.486669999998</v>
      </c>
      <c r="N902" s="30" t="s">
        <v>7</v>
      </c>
      <c r="O902" s="28" t="s">
        <v>13</v>
      </c>
      <c r="P902"/>
    </row>
    <row r="903" spans="1:16" x14ac:dyDescent="0.35">
      <c r="A903" s="4">
        <v>900</v>
      </c>
      <c r="B903" s="17">
        <v>46053.915972222225</v>
      </c>
      <c r="C903" s="1">
        <v>78306.69</v>
      </c>
      <c r="D903" s="20">
        <v>78306.69</v>
      </c>
      <c r="E903" s="20">
        <v>78097.23</v>
      </c>
      <c r="F903" s="1">
        <v>78213.23</v>
      </c>
      <c r="G903" s="18">
        <v>240</v>
      </c>
      <c r="I903" s="21">
        <v>46053.915972222225</v>
      </c>
      <c r="J903" s="26"/>
      <c r="K903" s="29">
        <v>78097.23</v>
      </c>
      <c r="L903" s="27">
        <v>78330.161429999993</v>
      </c>
      <c r="M903" s="27">
        <v>78097.23</v>
      </c>
      <c r="N903" s="30" t="s">
        <v>7</v>
      </c>
      <c r="O903" s="28" t="s">
        <v>13</v>
      </c>
      <c r="P903"/>
    </row>
    <row r="904" spans="1:16" x14ac:dyDescent="0.35">
      <c r="A904" s="4">
        <v>901</v>
      </c>
      <c r="B904" s="17">
        <v>46053.916666666664</v>
      </c>
      <c r="C904" s="1">
        <v>78260.320000000007</v>
      </c>
      <c r="D904" s="20">
        <v>78300.5</v>
      </c>
      <c r="E904" s="20">
        <v>78238.149999999994</v>
      </c>
      <c r="F904" s="1">
        <v>78250.7</v>
      </c>
      <c r="G904" s="18">
        <v>243</v>
      </c>
      <c r="I904" s="21">
        <v>46053.916666666664</v>
      </c>
      <c r="J904" s="26"/>
      <c r="K904" s="29"/>
      <c r="L904" s="27">
        <v>78347.352859999999</v>
      </c>
      <c r="M904" s="27">
        <v>78097.089170000007</v>
      </c>
      <c r="N904" s="30" t="s">
        <v>7</v>
      </c>
      <c r="O904" s="28" t="s">
        <v>13</v>
      </c>
      <c r="P904"/>
    </row>
    <row r="905" spans="1:16" x14ac:dyDescent="0.35">
      <c r="A905" s="4">
        <v>902</v>
      </c>
      <c r="B905" s="17">
        <v>46053.917361111111</v>
      </c>
      <c r="C905" s="1">
        <v>78254.960000000006</v>
      </c>
      <c r="D905" s="20">
        <v>78330.399999999994</v>
      </c>
      <c r="E905" s="20">
        <v>78205.84</v>
      </c>
      <c r="F905" s="1">
        <v>78330.399999999994</v>
      </c>
      <c r="G905" s="18">
        <v>256</v>
      </c>
      <c r="I905" s="21">
        <v>46053.917361111111</v>
      </c>
      <c r="J905" s="26"/>
      <c r="K905" s="29"/>
      <c r="L905" s="27">
        <v>78364.544290000005</v>
      </c>
      <c r="M905" s="27">
        <v>78096.948329999999</v>
      </c>
      <c r="N905" s="30" t="s">
        <v>7</v>
      </c>
      <c r="O905" s="28" t="s">
        <v>13</v>
      </c>
      <c r="P905"/>
    </row>
    <row r="906" spans="1:16" x14ac:dyDescent="0.35">
      <c r="A906" s="4">
        <v>903</v>
      </c>
      <c r="B906" s="17">
        <v>46053.918055555558</v>
      </c>
      <c r="C906" s="1">
        <v>78323.289999999994</v>
      </c>
      <c r="D906" s="20">
        <v>78335.34</v>
      </c>
      <c r="E906" s="20">
        <v>78309.240000000005</v>
      </c>
      <c r="F906" s="1">
        <v>78331.56</v>
      </c>
      <c r="G906" s="18">
        <v>207</v>
      </c>
      <c r="I906" s="21">
        <v>46053.918055555558</v>
      </c>
      <c r="J906" s="26"/>
      <c r="K906" s="29"/>
      <c r="L906" s="27">
        <v>78381.735709999994</v>
      </c>
      <c r="M906" s="27">
        <v>78096.807499999995</v>
      </c>
      <c r="N906" s="30" t="s">
        <v>7</v>
      </c>
      <c r="O906" s="28" t="s">
        <v>13</v>
      </c>
      <c r="P906"/>
    </row>
    <row r="907" spans="1:16" x14ac:dyDescent="0.35">
      <c r="A907" s="4">
        <v>904</v>
      </c>
      <c r="B907" s="17">
        <v>46053.918749999997</v>
      </c>
      <c r="C907" s="1">
        <v>78331.460000000006</v>
      </c>
      <c r="D907" s="20">
        <v>78369.899999999994</v>
      </c>
      <c r="E907" s="20">
        <v>78272.63</v>
      </c>
      <c r="F907" s="1">
        <v>78349.100000000006</v>
      </c>
      <c r="G907" s="18">
        <v>253</v>
      </c>
      <c r="I907" s="21">
        <v>46053.918749999997</v>
      </c>
      <c r="J907" s="26"/>
      <c r="K907" s="29"/>
      <c r="L907" s="27">
        <v>78398.92714</v>
      </c>
      <c r="M907" s="27">
        <v>78096.666670000006</v>
      </c>
      <c r="N907" s="30" t="s">
        <v>7</v>
      </c>
      <c r="O907" s="28" t="s">
        <v>13</v>
      </c>
      <c r="P907"/>
    </row>
    <row r="908" spans="1:16" x14ac:dyDescent="0.35">
      <c r="A908" s="4">
        <v>905</v>
      </c>
      <c r="B908" s="17">
        <v>46053.919444444444</v>
      </c>
      <c r="C908" s="1">
        <v>78348.92</v>
      </c>
      <c r="D908" s="20">
        <v>78428.36</v>
      </c>
      <c r="E908" s="20">
        <v>78341.95</v>
      </c>
      <c r="F908" s="1">
        <v>78416.13</v>
      </c>
      <c r="G908" s="18">
        <v>237</v>
      </c>
      <c r="I908" s="21">
        <v>46053.919444444444</v>
      </c>
      <c r="J908" s="26"/>
      <c r="K908" s="29"/>
      <c r="L908" s="27">
        <v>78416.118570000006</v>
      </c>
      <c r="M908" s="27">
        <v>78096.525829999999</v>
      </c>
      <c r="N908" s="30" t="s">
        <v>7</v>
      </c>
      <c r="O908" s="28" t="s">
        <v>13</v>
      </c>
      <c r="P908"/>
    </row>
    <row r="909" spans="1:16" x14ac:dyDescent="0.35">
      <c r="A909" s="4">
        <v>906</v>
      </c>
      <c r="B909" s="17">
        <v>46053.920138888891</v>
      </c>
      <c r="C909" s="1">
        <v>78416.14</v>
      </c>
      <c r="D909" s="20">
        <v>78433.31</v>
      </c>
      <c r="E909" s="20">
        <v>78335.87</v>
      </c>
      <c r="F909" s="1">
        <v>78369.02</v>
      </c>
      <c r="G909" s="18">
        <v>235</v>
      </c>
      <c r="I909" s="21">
        <v>46053.920138888891</v>
      </c>
      <c r="J909" s="26">
        <v>78433.31</v>
      </c>
      <c r="K909" s="29"/>
      <c r="L909" s="27">
        <v>78433.31</v>
      </c>
      <c r="M909" s="27">
        <v>78096.384999999995</v>
      </c>
      <c r="N909" s="30" t="s">
        <v>7</v>
      </c>
      <c r="O909" s="28" t="s">
        <v>13</v>
      </c>
      <c r="P909"/>
    </row>
    <row r="910" spans="1:16" x14ac:dyDescent="0.35">
      <c r="A910" s="4">
        <v>907</v>
      </c>
      <c r="B910" s="17">
        <v>46053.92083333333</v>
      </c>
      <c r="C910" s="1">
        <v>78369</v>
      </c>
      <c r="D910" s="20">
        <v>78369.02</v>
      </c>
      <c r="E910" s="20">
        <v>78258.990000000005</v>
      </c>
      <c r="F910" s="1">
        <v>78287.509999999995</v>
      </c>
      <c r="G910" s="18">
        <v>137</v>
      </c>
      <c r="I910" s="21">
        <v>46053.92083333333</v>
      </c>
      <c r="J910" s="26"/>
      <c r="K910" s="29"/>
      <c r="L910" s="27">
        <v>78411.923999999999</v>
      </c>
      <c r="M910" s="27">
        <v>78096.244170000005</v>
      </c>
      <c r="N910" s="30" t="s">
        <v>6</v>
      </c>
      <c r="O910" s="28" t="s">
        <v>13</v>
      </c>
      <c r="P910"/>
    </row>
    <row r="911" spans="1:16" x14ac:dyDescent="0.35">
      <c r="A911" s="4">
        <v>908</v>
      </c>
      <c r="B911" s="17">
        <v>46053.921527777777</v>
      </c>
      <c r="C911" s="1">
        <v>78340.899999999994</v>
      </c>
      <c r="D911" s="20">
        <v>78352.009999999995</v>
      </c>
      <c r="E911" s="20">
        <v>78300.429999999993</v>
      </c>
      <c r="F911" s="1">
        <v>78300.460000000006</v>
      </c>
      <c r="G911" s="18">
        <v>62</v>
      </c>
      <c r="I911" s="21">
        <v>46053.921527777777</v>
      </c>
      <c r="J911" s="26"/>
      <c r="K911" s="29"/>
      <c r="L911" s="27">
        <v>78390.538</v>
      </c>
      <c r="M911" s="27">
        <v>78096.103329999998</v>
      </c>
      <c r="N911" s="30" t="s">
        <v>6</v>
      </c>
      <c r="O911" s="28" t="s">
        <v>13</v>
      </c>
      <c r="P911"/>
    </row>
    <row r="912" spans="1:16" x14ac:dyDescent="0.35">
      <c r="A912" s="4">
        <v>909</v>
      </c>
      <c r="B912" s="17">
        <v>46053.922222222223</v>
      </c>
      <c r="C912" s="1">
        <v>78300.460000000006</v>
      </c>
      <c r="D912" s="20">
        <v>78324.77</v>
      </c>
      <c r="E912" s="20">
        <v>78207.28</v>
      </c>
      <c r="F912" s="1">
        <v>78252.13</v>
      </c>
      <c r="G912" s="18">
        <v>217</v>
      </c>
      <c r="I912" s="21">
        <v>46053.922222222223</v>
      </c>
      <c r="J912" s="26"/>
      <c r="K912" s="29"/>
      <c r="L912" s="27">
        <v>78369.152000000002</v>
      </c>
      <c r="M912" s="27">
        <v>78095.962499999994</v>
      </c>
      <c r="N912" s="30" t="s">
        <v>6</v>
      </c>
      <c r="O912" s="28" t="s">
        <v>13</v>
      </c>
      <c r="P912"/>
    </row>
    <row r="913" spans="1:16" x14ac:dyDescent="0.35">
      <c r="A913" s="4">
        <v>910</v>
      </c>
      <c r="B913" s="17">
        <v>46053.92291666667</v>
      </c>
      <c r="C913" s="1">
        <v>78252.160000000003</v>
      </c>
      <c r="D913" s="20">
        <v>78268.009999999995</v>
      </c>
      <c r="E913" s="20">
        <v>78213.58</v>
      </c>
      <c r="F913" s="1">
        <v>78221.649999999994</v>
      </c>
      <c r="G913" s="18">
        <v>225</v>
      </c>
      <c r="I913" s="21">
        <v>46053.92291666667</v>
      </c>
      <c r="J913" s="26"/>
      <c r="K913" s="29"/>
      <c r="L913" s="27">
        <v>78347.766000000003</v>
      </c>
      <c r="M913" s="27">
        <v>78095.821670000005</v>
      </c>
      <c r="N913" s="30" t="s">
        <v>6</v>
      </c>
      <c r="O913" s="28" t="s">
        <v>13</v>
      </c>
      <c r="P913"/>
    </row>
    <row r="914" spans="1:16" x14ac:dyDescent="0.35">
      <c r="A914" s="4">
        <v>911</v>
      </c>
      <c r="B914" s="17">
        <v>46053.923611111109</v>
      </c>
      <c r="C914" s="1">
        <v>78221.649999999994</v>
      </c>
      <c r="D914" s="20">
        <v>78239.490000000005</v>
      </c>
      <c r="E914" s="20">
        <v>78186.960000000006</v>
      </c>
      <c r="F914" s="1">
        <v>78197.31</v>
      </c>
      <c r="G914" s="18">
        <v>190</v>
      </c>
      <c r="I914" s="21">
        <v>46053.923611111109</v>
      </c>
      <c r="J914" s="26"/>
      <c r="K914" s="29"/>
      <c r="L914" s="27">
        <v>78326.38</v>
      </c>
      <c r="M914" s="27">
        <v>78095.680829999998</v>
      </c>
      <c r="N914" s="30" t="s">
        <v>6</v>
      </c>
      <c r="O914" s="28" t="s">
        <v>13</v>
      </c>
      <c r="P914"/>
    </row>
    <row r="915" spans="1:16" x14ac:dyDescent="0.35">
      <c r="A915" s="4">
        <v>912</v>
      </c>
      <c r="B915" s="17">
        <v>46053.924305555556</v>
      </c>
      <c r="C915" s="1">
        <v>78197.289999999994</v>
      </c>
      <c r="D915" s="20">
        <v>78197.289999999994</v>
      </c>
      <c r="E915" s="20">
        <v>78095.539999999994</v>
      </c>
      <c r="F915" s="1">
        <v>78113.61</v>
      </c>
      <c r="G915" s="18">
        <v>221</v>
      </c>
      <c r="I915" s="21">
        <v>46053.924305555556</v>
      </c>
      <c r="J915" s="26"/>
      <c r="K915" s="29">
        <v>78095.539999999994</v>
      </c>
      <c r="L915" s="27">
        <v>78304.994000000006</v>
      </c>
      <c r="M915" s="27">
        <v>78095.539999999994</v>
      </c>
      <c r="N915" s="30" t="s">
        <v>6</v>
      </c>
      <c r="O915" s="28" t="s">
        <v>13</v>
      </c>
      <c r="P915"/>
    </row>
    <row r="916" spans="1:16" x14ac:dyDescent="0.35">
      <c r="A916" s="4">
        <v>913</v>
      </c>
      <c r="B916" s="17">
        <v>46053.925000000003</v>
      </c>
      <c r="C916" s="1">
        <v>78113.61</v>
      </c>
      <c r="D916" s="20">
        <v>78167.45</v>
      </c>
      <c r="E916" s="20">
        <v>78102.3</v>
      </c>
      <c r="F916" s="1">
        <v>78120.91</v>
      </c>
      <c r="G916" s="18">
        <v>215</v>
      </c>
      <c r="I916" s="21">
        <v>46053.925000000003</v>
      </c>
      <c r="J916" s="26"/>
      <c r="K916" s="29"/>
      <c r="L916" s="27">
        <v>78283.607999999993</v>
      </c>
      <c r="M916" s="27">
        <v>78085.927500000005</v>
      </c>
      <c r="N916" s="30" t="s">
        <v>6</v>
      </c>
      <c r="O916" s="28" t="s">
        <v>13</v>
      </c>
      <c r="P916"/>
    </row>
    <row r="917" spans="1:16" x14ac:dyDescent="0.35">
      <c r="A917" s="4">
        <v>914</v>
      </c>
      <c r="B917" s="17">
        <v>46053.925694444442</v>
      </c>
      <c r="C917" s="1">
        <v>78105.81</v>
      </c>
      <c r="D917" s="20">
        <v>78141.72</v>
      </c>
      <c r="E917" s="20">
        <v>78099.83</v>
      </c>
      <c r="F917" s="1">
        <v>78131.34</v>
      </c>
      <c r="G917" s="18">
        <v>198</v>
      </c>
      <c r="I917" s="21">
        <v>46053.925694444442</v>
      </c>
      <c r="J917" s="26"/>
      <c r="K917" s="29"/>
      <c r="L917" s="27">
        <v>78262.221999999994</v>
      </c>
      <c r="M917" s="27">
        <v>78076.315000000002</v>
      </c>
      <c r="N917" s="30" t="s">
        <v>6</v>
      </c>
      <c r="O917" s="28" t="s">
        <v>13</v>
      </c>
      <c r="P917"/>
    </row>
    <row r="918" spans="1:16" x14ac:dyDescent="0.35">
      <c r="A918" s="4">
        <v>915</v>
      </c>
      <c r="B918" s="17">
        <v>46053.926388888889</v>
      </c>
      <c r="C918" s="1">
        <v>78124.960000000006</v>
      </c>
      <c r="D918" s="20">
        <v>78198.55</v>
      </c>
      <c r="E918" s="20">
        <v>78122.92</v>
      </c>
      <c r="F918" s="1">
        <v>78131.02</v>
      </c>
      <c r="G918" s="18">
        <v>202</v>
      </c>
      <c r="I918" s="21">
        <v>46053.926388888889</v>
      </c>
      <c r="J918" s="26"/>
      <c r="K918" s="29"/>
      <c r="L918" s="27">
        <v>78240.835999999996</v>
      </c>
      <c r="M918" s="27">
        <v>78066.702499999999</v>
      </c>
      <c r="N918" s="30" t="s">
        <v>6</v>
      </c>
      <c r="O918" s="28" t="s">
        <v>13</v>
      </c>
      <c r="P918"/>
    </row>
    <row r="919" spans="1:16" x14ac:dyDescent="0.35">
      <c r="A919" s="4">
        <v>916</v>
      </c>
      <c r="B919" s="17">
        <v>46053.927083333336</v>
      </c>
      <c r="C919" s="1">
        <v>78133.73</v>
      </c>
      <c r="D919" s="20">
        <v>78219.45</v>
      </c>
      <c r="E919" s="20">
        <v>78108.070000000007</v>
      </c>
      <c r="F919" s="1">
        <v>78188.37</v>
      </c>
      <c r="G919" s="18">
        <v>201</v>
      </c>
      <c r="I919" s="21">
        <v>46053.927083333336</v>
      </c>
      <c r="J919" s="26">
        <v>78219.45</v>
      </c>
      <c r="K919" s="29"/>
      <c r="L919" s="27">
        <v>78219.45</v>
      </c>
      <c r="M919" s="27">
        <v>78057.09</v>
      </c>
      <c r="N919" s="30" t="s">
        <v>6</v>
      </c>
      <c r="O919" s="28" t="s">
        <v>13</v>
      </c>
      <c r="P919"/>
    </row>
    <row r="920" spans="1:16" x14ac:dyDescent="0.35">
      <c r="A920" s="4">
        <v>917</v>
      </c>
      <c r="B920" s="17">
        <v>46053.927777777775</v>
      </c>
      <c r="C920" s="1">
        <v>78181.440000000002</v>
      </c>
      <c r="D920" s="20">
        <v>78194.73</v>
      </c>
      <c r="E920" s="20">
        <v>78153.52</v>
      </c>
      <c r="F920" s="1">
        <v>78159.509999999995</v>
      </c>
      <c r="G920" s="18">
        <v>176</v>
      </c>
      <c r="I920" s="21">
        <v>46053.927777777775</v>
      </c>
      <c r="J920" s="26"/>
      <c r="K920" s="29"/>
      <c r="L920" s="27">
        <v>78220.490000000005</v>
      </c>
      <c r="M920" s="27">
        <v>78047.477499999994</v>
      </c>
      <c r="N920" s="30" t="s">
        <v>7</v>
      </c>
      <c r="O920" s="28" t="s">
        <v>13</v>
      </c>
      <c r="P920"/>
    </row>
    <row r="921" spans="1:16" x14ac:dyDescent="0.35">
      <c r="A921" s="4">
        <v>918</v>
      </c>
      <c r="B921" s="17">
        <v>46053.928472222222</v>
      </c>
      <c r="C921" s="1">
        <v>78159.509999999995</v>
      </c>
      <c r="D921" s="20">
        <v>78216.72</v>
      </c>
      <c r="E921" s="20">
        <v>78159.509999999995</v>
      </c>
      <c r="F921" s="1">
        <v>78178.36</v>
      </c>
      <c r="G921" s="18">
        <v>202</v>
      </c>
      <c r="I921" s="21">
        <v>46053.928472222222</v>
      </c>
      <c r="J921" s="26"/>
      <c r="K921" s="29"/>
      <c r="L921" s="27">
        <v>78221.53</v>
      </c>
      <c r="M921" s="27">
        <v>78037.865000000005</v>
      </c>
      <c r="N921" s="30" t="s">
        <v>7</v>
      </c>
      <c r="O921" s="28" t="s">
        <v>13</v>
      </c>
      <c r="P921"/>
    </row>
    <row r="922" spans="1:16" x14ac:dyDescent="0.35">
      <c r="A922" s="4">
        <v>919</v>
      </c>
      <c r="B922" s="17">
        <v>46053.929166666669</v>
      </c>
      <c r="C922" s="1">
        <v>78178.36</v>
      </c>
      <c r="D922" s="20">
        <v>78178.53</v>
      </c>
      <c r="E922" s="20">
        <v>78123.58</v>
      </c>
      <c r="F922" s="1">
        <v>78130.06</v>
      </c>
      <c r="G922" s="18">
        <v>196</v>
      </c>
      <c r="I922" s="21">
        <v>46053.929166666669</v>
      </c>
      <c r="J922" s="26"/>
      <c r="K922" s="29"/>
      <c r="L922" s="27">
        <v>78222.570000000007</v>
      </c>
      <c r="M922" s="27">
        <v>78028.252500000002</v>
      </c>
      <c r="N922" s="30" t="s">
        <v>7</v>
      </c>
      <c r="O922" s="28" t="s">
        <v>13</v>
      </c>
      <c r="P922"/>
    </row>
    <row r="923" spans="1:16" x14ac:dyDescent="0.35">
      <c r="A923" s="4">
        <v>920</v>
      </c>
      <c r="B923" s="17">
        <v>46053.929861111108</v>
      </c>
      <c r="C923" s="1">
        <v>78130.03</v>
      </c>
      <c r="D923" s="20">
        <v>78137.149999999994</v>
      </c>
      <c r="E923" s="20">
        <v>78018.64</v>
      </c>
      <c r="F923" s="1">
        <v>78051.210000000006</v>
      </c>
      <c r="G923" s="18">
        <v>221</v>
      </c>
      <c r="I923" s="21">
        <v>46053.929861111108</v>
      </c>
      <c r="J923" s="26"/>
      <c r="K923" s="29">
        <v>78018.64</v>
      </c>
      <c r="L923" s="27">
        <v>78223.61</v>
      </c>
      <c r="M923" s="27">
        <v>78018.64</v>
      </c>
      <c r="N923" s="30" t="s">
        <v>7</v>
      </c>
      <c r="O923" s="28" t="s">
        <v>13</v>
      </c>
      <c r="P923"/>
    </row>
    <row r="924" spans="1:16" x14ac:dyDescent="0.35">
      <c r="A924" s="4">
        <v>921</v>
      </c>
      <c r="B924" s="17">
        <v>46053.930555555555</v>
      </c>
      <c r="C924" s="1">
        <v>78048.03</v>
      </c>
      <c r="D924" s="20">
        <v>78106.559999999998</v>
      </c>
      <c r="E924" s="20">
        <v>78044</v>
      </c>
      <c r="F924" s="1">
        <v>78060.5</v>
      </c>
      <c r="G924" s="18">
        <v>195</v>
      </c>
      <c r="I924" s="21">
        <v>46053.930555555555</v>
      </c>
      <c r="J924" s="26"/>
      <c r="K924" s="29"/>
      <c r="L924" s="27">
        <v>78224.649999999994</v>
      </c>
      <c r="M924" s="27">
        <v>78029.262499999997</v>
      </c>
      <c r="N924" s="30" t="s">
        <v>7</v>
      </c>
      <c r="O924" s="28" t="s">
        <v>8</v>
      </c>
      <c r="P924"/>
    </row>
    <row r="925" spans="1:16" x14ac:dyDescent="0.35">
      <c r="A925" s="4">
        <v>922</v>
      </c>
      <c r="B925" s="17">
        <v>46053.931250000001</v>
      </c>
      <c r="C925" s="1">
        <v>78059.77</v>
      </c>
      <c r="D925" s="20">
        <v>78180.38</v>
      </c>
      <c r="E925" s="20">
        <v>78055.23</v>
      </c>
      <c r="F925" s="1">
        <v>78180.28</v>
      </c>
      <c r="G925" s="18">
        <v>204</v>
      </c>
      <c r="I925" s="21">
        <v>46053.931250000001</v>
      </c>
      <c r="J925" s="26"/>
      <c r="K925" s="29"/>
      <c r="L925" s="27">
        <v>78225.69</v>
      </c>
      <c r="M925" s="27">
        <v>78039.884999999995</v>
      </c>
      <c r="N925" s="30" t="s">
        <v>7</v>
      </c>
      <c r="O925" s="28" t="s">
        <v>8</v>
      </c>
      <c r="P925"/>
    </row>
    <row r="926" spans="1:16" x14ac:dyDescent="0.35">
      <c r="A926" s="4">
        <v>923</v>
      </c>
      <c r="B926" s="17">
        <v>46053.931944444441</v>
      </c>
      <c r="C926" s="1">
        <v>78180.27</v>
      </c>
      <c r="D926" s="20">
        <v>78181.600000000006</v>
      </c>
      <c r="E926" s="20">
        <v>78061.13</v>
      </c>
      <c r="F926" s="1">
        <v>78076.710000000006</v>
      </c>
      <c r="G926" s="18">
        <v>204</v>
      </c>
      <c r="I926" s="21">
        <v>46053.931944444441</v>
      </c>
      <c r="J926" s="26"/>
      <c r="K926" s="29"/>
      <c r="L926" s="27">
        <v>78226.73</v>
      </c>
      <c r="M926" s="27">
        <v>78050.507500000007</v>
      </c>
      <c r="N926" s="30" t="s">
        <v>7</v>
      </c>
      <c r="O926" s="28" t="s">
        <v>8</v>
      </c>
      <c r="P926"/>
    </row>
    <row r="927" spans="1:16" x14ac:dyDescent="0.35">
      <c r="A927" s="4">
        <v>924</v>
      </c>
      <c r="B927" s="17">
        <v>46053.932638888888</v>
      </c>
      <c r="C927" s="1">
        <v>78076.710000000006</v>
      </c>
      <c r="D927" s="20">
        <v>78140.259999999995</v>
      </c>
      <c r="E927" s="20">
        <v>78076.44</v>
      </c>
      <c r="F927" s="1">
        <v>78109.509999999995</v>
      </c>
      <c r="G927" s="18">
        <v>199</v>
      </c>
      <c r="I927" s="21">
        <v>46053.932638888888</v>
      </c>
      <c r="J927" s="26"/>
      <c r="K927" s="29"/>
      <c r="L927" s="27">
        <v>78227.77</v>
      </c>
      <c r="M927" s="27">
        <v>78061.13</v>
      </c>
      <c r="N927" s="30" t="s">
        <v>7</v>
      </c>
      <c r="O927" s="28" t="s">
        <v>8</v>
      </c>
      <c r="P927"/>
    </row>
    <row r="928" spans="1:16" x14ac:dyDescent="0.35">
      <c r="A928" s="4">
        <v>925</v>
      </c>
      <c r="B928" s="17">
        <v>46053.933333333334</v>
      </c>
      <c r="C928" s="1">
        <v>78110.12</v>
      </c>
      <c r="D928" s="20">
        <v>78192.509999999995</v>
      </c>
      <c r="E928" s="20">
        <v>78110.09</v>
      </c>
      <c r="F928" s="1">
        <v>78150.78</v>
      </c>
      <c r="G928" s="18">
        <v>198</v>
      </c>
      <c r="I928" s="21">
        <v>46053.933333333334</v>
      </c>
      <c r="J928" s="26"/>
      <c r="K928" s="29"/>
      <c r="L928" s="27">
        <v>78228.81</v>
      </c>
      <c r="M928" s="27">
        <v>78071.752500000002</v>
      </c>
      <c r="N928" s="30" t="s">
        <v>7</v>
      </c>
      <c r="O928" s="28" t="s">
        <v>8</v>
      </c>
      <c r="P928"/>
    </row>
    <row r="929" spans="1:16" x14ac:dyDescent="0.35">
      <c r="A929" s="4">
        <v>926</v>
      </c>
      <c r="B929" s="17">
        <v>46053.934027777781</v>
      </c>
      <c r="C929" s="1">
        <v>78152.03</v>
      </c>
      <c r="D929" s="20">
        <v>78229.850000000006</v>
      </c>
      <c r="E929" s="20">
        <v>78149.87</v>
      </c>
      <c r="F929" s="1">
        <v>78217.88</v>
      </c>
      <c r="G929" s="18">
        <v>209</v>
      </c>
      <c r="I929" s="21">
        <v>46053.934027777781</v>
      </c>
      <c r="J929" s="26">
        <v>78229.850000000006</v>
      </c>
      <c r="K929" s="29"/>
      <c r="L929" s="27">
        <v>78229.850000000006</v>
      </c>
      <c r="M929" s="27">
        <v>78082.375</v>
      </c>
      <c r="N929" s="30" t="s">
        <v>7</v>
      </c>
      <c r="O929" s="28" t="s">
        <v>8</v>
      </c>
      <c r="P929"/>
    </row>
    <row r="930" spans="1:16" x14ac:dyDescent="0.35">
      <c r="A930" s="4">
        <v>927</v>
      </c>
      <c r="B930" s="17">
        <v>46053.93472222222</v>
      </c>
      <c r="C930" s="1">
        <v>78217.850000000006</v>
      </c>
      <c r="D930" s="20">
        <v>78222.350000000006</v>
      </c>
      <c r="E930" s="20">
        <v>78108.05</v>
      </c>
      <c r="F930" s="1">
        <v>78117.77</v>
      </c>
      <c r="G930" s="18">
        <v>186</v>
      </c>
      <c r="I930" s="21">
        <v>46053.93472222222</v>
      </c>
      <c r="J930" s="26"/>
      <c r="K930" s="29"/>
      <c r="L930" s="27">
        <v>78258.850000000006</v>
      </c>
      <c r="M930" s="27">
        <v>78092.997499999998</v>
      </c>
      <c r="N930" s="30" t="s">
        <v>7</v>
      </c>
      <c r="O930" s="28" t="s">
        <v>8</v>
      </c>
      <c r="P930"/>
    </row>
    <row r="931" spans="1:16" x14ac:dyDescent="0.35">
      <c r="A931" s="4">
        <v>928</v>
      </c>
      <c r="B931" s="17">
        <v>46053.935416666667</v>
      </c>
      <c r="C931" s="1">
        <v>78117.75</v>
      </c>
      <c r="D931" s="20">
        <v>78159.740000000005</v>
      </c>
      <c r="E931" s="20">
        <v>78103.62</v>
      </c>
      <c r="F931" s="1">
        <v>78159.73</v>
      </c>
      <c r="G931" s="18">
        <v>212</v>
      </c>
      <c r="I931" s="21">
        <v>46053.935416666667</v>
      </c>
      <c r="J931" s="26"/>
      <c r="K931" s="29">
        <v>78103.62</v>
      </c>
      <c r="L931" s="27">
        <v>78287.850000000006</v>
      </c>
      <c r="M931" s="27">
        <v>78103.62</v>
      </c>
      <c r="N931" s="30" t="s">
        <v>7</v>
      </c>
      <c r="O931" s="28" t="s">
        <v>8</v>
      </c>
      <c r="P931"/>
    </row>
    <row r="932" spans="1:16" x14ac:dyDescent="0.35">
      <c r="A932" s="4">
        <v>929</v>
      </c>
      <c r="B932" s="17">
        <v>46053.936111111114</v>
      </c>
      <c r="C932" s="1">
        <v>78159.740000000005</v>
      </c>
      <c r="D932" s="20">
        <v>78266.899999999994</v>
      </c>
      <c r="E932" s="20">
        <v>78159.740000000005</v>
      </c>
      <c r="F932" s="1">
        <v>78266.899999999994</v>
      </c>
      <c r="G932" s="18">
        <v>164</v>
      </c>
      <c r="I932" s="21">
        <v>46053.936111111114</v>
      </c>
      <c r="J932" s="26"/>
      <c r="K932" s="29"/>
      <c r="L932" s="27">
        <v>78316.850000000006</v>
      </c>
      <c r="M932" s="27">
        <v>78119.683999999994</v>
      </c>
      <c r="N932" s="30" t="s">
        <v>7</v>
      </c>
      <c r="O932" s="28" t="s">
        <v>8</v>
      </c>
      <c r="P932"/>
    </row>
    <row r="933" spans="1:16" x14ac:dyDescent="0.35">
      <c r="A933" s="4">
        <v>930</v>
      </c>
      <c r="B933" s="17">
        <v>46053.936805555553</v>
      </c>
      <c r="C933" s="1">
        <v>78266.899999999994</v>
      </c>
      <c r="D933" s="20">
        <v>78310.559999999998</v>
      </c>
      <c r="E933" s="20">
        <v>78237.8</v>
      </c>
      <c r="F933" s="1">
        <v>78282.600000000006</v>
      </c>
      <c r="G933" s="18">
        <v>197</v>
      </c>
      <c r="I933" s="21">
        <v>46053.936805555553</v>
      </c>
      <c r="J933" s="26"/>
      <c r="K933" s="29"/>
      <c r="L933" s="27">
        <v>78345.850000000006</v>
      </c>
      <c r="M933" s="27">
        <v>78135.748000000007</v>
      </c>
      <c r="N933" s="30" t="s">
        <v>7</v>
      </c>
      <c r="O933" s="28" t="s">
        <v>8</v>
      </c>
      <c r="P933"/>
    </row>
    <row r="934" spans="1:16" x14ac:dyDescent="0.35">
      <c r="A934" s="4">
        <v>931</v>
      </c>
      <c r="B934" s="17">
        <v>46053.9375</v>
      </c>
      <c r="C934" s="1">
        <v>78282.570000000007</v>
      </c>
      <c r="D934" s="20">
        <v>78374.850000000006</v>
      </c>
      <c r="E934" s="20">
        <v>78274.02</v>
      </c>
      <c r="F934" s="1">
        <v>78276.58</v>
      </c>
      <c r="G934" s="18">
        <v>253</v>
      </c>
      <c r="I934" s="21">
        <v>46053.9375</v>
      </c>
      <c r="J934" s="26">
        <v>78374.850000000006</v>
      </c>
      <c r="K934" s="29"/>
      <c r="L934" s="27">
        <v>78374.850000000006</v>
      </c>
      <c r="M934" s="27">
        <v>78151.812000000005</v>
      </c>
      <c r="N934" s="30" t="s">
        <v>7</v>
      </c>
      <c r="O934" s="28" t="s">
        <v>8</v>
      </c>
      <c r="P934"/>
    </row>
    <row r="935" spans="1:16" x14ac:dyDescent="0.35">
      <c r="A935" s="4">
        <v>932</v>
      </c>
      <c r="B935" s="17">
        <v>46053.938194444447</v>
      </c>
      <c r="C935" s="1">
        <v>78278.22</v>
      </c>
      <c r="D935" s="20">
        <v>78278.92</v>
      </c>
      <c r="E935" s="20">
        <v>78185.62</v>
      </c>
      <c r="F935" s="1">
        <v>78214.78</v>
      </c>
      <c r="G935" s="18">
        <v>193</v>
      </c>
      <c r="I935" s="21">
        <v>46053.938194444447</v>
      </c>
      <c r="J935" s="26"/>
      <c r="K935" s="29"/>
      <c r="L935" s="27">
        <v>78355.473329999993</v>
      </c>
      <c r="M935" s="27">
        <v>78167.876000000004</v>
      </c>
      <c r="N935" s="30" t="s">
        <v>6</v>
      </c>
      <c r="O935" s="28" t="s">
        <v>8</v>
      </c>
      <c r="P935"/>
    </row>
    <row r="936" spans="1:16" x14ac:dyDescent="0.35">
      <c r="A936" s="4">
        <v>933</v>
      </c>
      <c r="B936" s="17">
        <v>46053.938888888886</v>
      </c>
      <c r="C936" s="1">
        <v>78215.240000000005</v>
      </c>
      <c r="D936" s="20">
        <v>78244.94</v>
      </c>
      <c r="E936" s="20">
        <v>78183.94</v>
      </c>
      <c r="F936" s="1">
        <v>78221.16</v>
      </c>
      <c r="G936" s="18">
        <v>221</v>
      </c>
      <c r="I936" s="21">
        <v>46053.938888888886</v>
      </c>
      <c r="J936" s="26"/>
      <c r="K936" s="29">
        <v>78183.94</v>
      </c>
      <c r="L936" s="27">
        <v>78336.096669999999</v>
      </c>
      <c r="M936" s="27">
        <v>78183.94</v>
      </c>
      <c r="N936" s="30" t="s">
        <v>6</v>
      </c>
      <c r="O936" s="28" t="s">
        <v>8</v>
      </c>
      <c r="P936"/>
    </row>
    <row r="937" spans="1:16" x14ac:dyDescent="0.35">
      <c r="A937" s="4">
        <v>934</v>
      </c>
      <c r="B937" s="17">
        <v>46053.939583333333</v>
      </c>
      <c r="C937" s="1">
        <v>78220.740000000005</v>
      </c>
      <c r="D937" s="20">
        <v>78316.72</v>
      </c>
      <c r="E937" s="20">
        <v>78220.740000000005</v>
      </c>
      <c r="F937" s="1">
        <v>78288.37</v>
      </c>
      <c r="G937" s="18">
        <v>167</v>
      </c>
      <c r="I937" s="21">
        <v>46053.939583333333</v>
      </c>
      <c r="J937" s="26">
        <v>78316.72</v>
      </c>
      <c r="K937" s="29"/>
      <c r="L937" s="27">
        <v>78316.72</v>
      </c>
      <c r="M937" s="27">
        <v>78154.793999999994</v>
      </c>
      <c r="N937" s="30" t="s">
        <v>6</v>
      </c>
      <c r="O937" s="28" t="s">
        <v>13</v>
      </c>
      <c r="P937"/>
    </row>
    <row r="938" spans="1:16" x14ac:dyDescent="0.35">
      <c r="A938" s="4">
        <v>935</v>
      </c>
      <c r="B938" s="17">
        <v>46053.94027777778</v>
      </c>
      <c r="C938" s="1">
        <v>78288.37</v>
      </c>
      <c r="D938" s="20">
        <v>78310.31</v>
      </c>
      <c r="E938" s="20">
        <v>78263.37</v>
      </c>
      <c r="F938" s="1">
        <v>78267.34</v>
      </c>
      <c r="G938" s="18">
        <v>179</v>
      </c>
      <c r="I938" s="21">
        <v>46053.94027777778</v>
      </c>
      <c r="J938" s="26"/>
      <c r="K938" s="29"/>
      <c r="L938" s="27">
        <v>78312.006670000002</v>
      </c>
      <c r="M938" s="27">
        <v>78125.648000000001</v>
      </c>
      <c r="N938" s="30" t="s">
        <v>6</v>
      </c>
      <c r="O938" s="28" t="s">
        <v>13</v>
      </c>
      <c r="P938"/>
    </row>
    <row r="939" spans="1:16" x14ac:dyDescent="0.35">
      <c r="A939" s="4">
        <v>936</v>
      </c>
      <c r="B939" s="17">
        <v>46053.940972222219</v>
      </c>
      <c r="C939" s="1">
        <v>78249.94</v>
      </c>
      <c r="D939" s="20">
        <v>78249.94</v>
      </c>
      <c r="E939" s="20">
        <v>78189.61</v>
      </c>
      <c r="F939" s="1">
        <v>78190.5</v>
      </c>
      <c r="G939" s="18">
        <v>143</v>
      </c>
      <c r="I939" s="21">
        <v>46053.940972222219</v>
      </c>
      <c r="J939" s="26"/>
      <c r="K939" s="29"/>
      <c r="L939" s="27">
        <v>78307.29333</v>
      </c>
      <c r="M939" s="27">
        <v>78096.501999999993</v>
      </c>
      <c r="N939" s="30" t="s">
        <v>6</v>
      </c>
      <c r="O939" s="28" t="s">
        <v>13</v>
      </c>
      <c r="P939"/>
    </row>
    <row r="940" spans="1:16" x14ac:dyDescent="0.35">
      <c r="A940" s="4">
        <v>937</v>
      </c>
      <c r="B940" s="17">
        <v>46053.941666666666</v>
      </c>
      <c r="C940" s="1">
        <v>78190.5</v>
      </c>
      <c r="D940" s="20">
        <v>78190.509999999995</v>
      </c>
      <c r="E940" s="20">
        <v>78133.3</v>
      </c>
      <c r="F940" s="1">
        <v>78133.320000000007</v>
      </c>
      <c r="G940" s="18">
        <v>159</v>
      </c>
      <c r="I940" s="21">
        <v>46053.941666666666</v>
      </c>
      <c r="J940" s="26"/>
      <c r="K940" s="29"/>
      <c r="L940" s="27">
        <v>78302.58</v>
      </c>
      <c r="M940" s="27">
        <v>78067.356</v>
      </c>
      <c r="N940" s="30" t="s">
        <v>6</v>
      </c>
      <c r="O940" s="28" t="s">
        <v>13</v>
      </c>
      <c r="P940"/>
    </row>
    <row r="941" spans="1:16" x14ac:dyDescent="0.35">
      <c r="A941" s="4">
        <v>938</v>
      </c>
      <c r="B941" s="17">
        <v>46053.942361111112</v>
      </c>
      <c r="C941" s="1">
        <v>78133.31</v>
      </c>
      <c r="D941" s="20">
        <v>78182.320000000007</v>
      </c>
      <c r="E941" s="20">
        <v>78038.210000000006</v>
      </c>
      <c r="F941" s="1">
        <v>78057.460000000006</v>
      </c>
      <c r="G941" s="18">
        <v>225</v>
      </c>
      <c r="I941" s="21">
        <v>46053.942361111112</v>
      </c>
      <c r="J941" s="26"/>
      <c r="K941" s="29">
        <v>78038.210000000006</v>
      </c>
      <c r="L941" s="27">
        <v>78297.866670000003</v>
      </c>
      <c r="M941" s="27">
        <v>78038.210000000006</v>
      </c>
      <c r="N941" s="30" t="s">
        <v>6</v>
      </c>
      <c r="O941" s="28" t="s">
        <v>13</v>
      </c>
      <c r="P941"/>
    </row>
    <row r="942" spans="1:16" x14ac:dyDescent="0.35">
      <c r="A942" s="4">
        <v>939</v>
      </c>
      <c r="B942" s="17">
        <v>46053.943055555559</v>
      </c>
      <c r="C942" s="1">
        <v>78056.100000000006</v>
      </c>
      <c r="D942" s="20">
        <v>78116.490000000005</v>
      </c>
      <c r="E942" s="20">
        <v>78041.509999999995</v>
      </c>
      <c r="F942" s="1">
        <v>78103.62</v>
      </c>
      <c r="G942" s="18">
        <v>234</v>
      </c>
      <c r="I942" s="21">
        <v>46053.943055555559</v>
      </c>
      <c r="J942" s="26"/>
      <c r="K942" s="29"/>
      <c r="L942" s="27">
        <v>78293.153330000001</v>
      </c>
      <c r="M942" s="27">
        <v>78027.782500000001</v>
      </c>
      <c r="N942" s="30" t="s">
        <v>6</v>
      </c>
      <c r="O942" s="28" t="s">
        <v>13</v>
      </c>
      <c r="P942"/>
    </row>
    <row r="943" spans="1:16" x14ac:dyDescent="0.35">
      <c r="A943" s="4">
        <v>940</v>
      </c>
      <c r="B943" s="17">
        <v>46053.943749999999</v>
      </c>
      <c r="C943" s="1">
        <v>78103.62</v>
      </c>
      <c r="D943" s="20">
        <v>78145.33</v>
      </c>
      <c r="E943" s="20">
        <v>78077.55</v>
      </c>
      <c r="F943" s="1">
        <v>78145.33</v>
      </c>
      <c r="G943" s="18">
        <v>213</v>
      </c>
      <c r="I943" s="21">
        <v>46053.943749999999</v>
      </c>
      <c r="J943" s="26"/>
      <c r="K943" s="29"/>
      <c r="L943" s="27">
        <v>78288.44</v>
      </c>
      <c r="M943" s="27">
        <v>78017.354999999996</v>
      </c>
      <c r="N943" s="30" t="s">
        <v>6</v>
      </c>
      <c r="O943" s="28" t="s">
        <v>13</v>
      </c>
      <c r="P943"/>
    </row>
    <row r="944" spans="1:16" x14ac:dyDescent="0.35">
      <c r="A944" s="4">
        <v>941</v>
      </c>
      <c r="B944" s="17">
        <v>46053.944444444445</v>
      </c>
      <c r="C944" s="1">
        <v>78151.62</v>
      </c>
      <c r="D944" s="20">
        <v>78153.23</v>
      </c>
      <c r="E944" s="20">
        <v>78102.78</v>
      </c>
      <c r="F944" s="1">
        <v>78132.86</v>
      </c>
      <c r="G944" s="18">
        <v>163</v>
      </c>
      <c r="I944" s="21">
        <v>46053.944444444445</v>
      </c>
      <c r="J944" s="26"/>
      <c r="K944" s="29"/>
      <c r="L944" s="27">
        <v>78283.726670000004</v>
      </c>
      <c r="M944" s="27">
        <v>78006.927500000005</v>
      </c>
      <c r="N944" s="30" t="s">
        <v>6</v>
      </c>
      <c r="O944" s="28" t="s">
        <v>13</v>
      </c>
      <c r="P944"/>
    </row>
    <row r="945" spans="1:16" x14ac:dyDescent="0.35">
      <c r="A945" s="4">
        <v>942</v>
      </c>
      <c r="B945" s="17">
        <v>46053.945138888892</v>
      </c>
      <c r="C945" s="1">
        <v>78132.86</v>
      </c>
      <c r="D945" s="20">
        <v>78132.86</v>
      </c>
      <c r="E945" s="20">
        <v>77996.5</v>
      </c>
      <c r="F945" s="1">
        <v>78088.42</v>
      </c>
      <c r="G945" s="18">
        <v>178</v>
      </c>
      <c r="I945" s="21">
        <v>46053.945138888892</v>
      </c>
      <c r="J945" s="26"/>
      <c r="K945" s="29">
        <v>77996.5</v>
      </c>
      <c r="L945" s="27">
        <v>78279.013330000002</v>
      </c>
      <c r="M945" s="27">
        <v>77996.5</v>
      </c>
      <c r="N945" s="30" t="s">
        <v>6</v>
      </c>
      <c r="O945" s="28" t="s">
        <v>13</v>
      </c>
      <c r="P945"/>
    </row>
    <row r="946" spans="1:16" x14ac:dyDescent="0.35">
      <c r="A946" s="4">
        <v>943</v>
      </c>
      <c r="B946" s="17">
        <v>46053.945833333331</v>
      </c>
      <c r="C946" s="1">
        <v>78090.320000000007</v>
      </c>
      <c r="D946" s="20">
        <v>78274.3</v>
      </c>
      <c r="E946" s="20">
        <v>78051.55</v>
      </c>
      <c r="F946" s="1">
        <v>78052.28</v>
      </c>
      <c r="G946" s="18">
        <v>204</v>
      </c>
      <c r="I946" s="21">
        <v>46053.945833333331</v>
      </c>
      <c r="J946" s="26">
        <v>78274.3</v>
      </c>
      <c r="K946" s="29"/>
      <c r="L946" s="27">
        <v>78274.3</v>
      </c>
      <c r="M946" s="27">
        <v>77980.13</v>
      </c>
      <c r="N946" s="30" t="s">
        <v>6</v>
      </c>
      <c r="O946" s="28" t="s">
        <v>13</v>
      </c>
      <c r="P946"/>
    </row>
    <row r="947" spans="1:16" x14ac:dyDescent="0.35">
      <c r="A947" s="4">
        <v>944</v>
      </c>
      <c r="B947" s="17">
        <v>46053.946527777778</v>
      </c>
      <c r="C947" s="1">
        <v>78052.41</v>
      </c>
      <c r="D947" s="20">
        <v>78153.72</v>
      </c>
      <c r="E947" s="20">
        <v>78052.350000000006</v>
      </c>
      <c r="F947" s="1">
        <v>78112.62</v>
      </c>
      <c r="G947" s="18">
        <v>174</v>
      </c>
      <c r="I947" s="21">
        <v>46053.946527777778</v>
      </c>
      <c r="J947" s="26"/>
      <c r="K947" s="29"/>
      <c r="L947" s="27">
        <v>78249.762499999997</v>
      </c>
      <c r="M947" s="27">
        <v>77963.759999999995</v>
      </c>
      <c r="N947" s="30" t="s">
        <v>6</v>
      </c>
      <c r="O947" s="28" t="s">
        <v>13</v>
      </c>
      <c r="P947"/>
    </row>
    <row r="948" spans="1:16" x14ac:dyDescent="0.35">
      <c r="A948" s="4">
        <v>945</v>
      </c>
      <c r="B948" s="17">
        <v>46053.947222222225</v>
      </c>
      <c r="C948" s="1">
        <v>78120.62</v>
      </c>
      <c r="D948" s="20">
        <v>78120.740000000005</v>
      </c>
      <c r="E948" s="20">
        <v>78008.7</v>
      </c>
      <c r="F948" s="1">
        <v>78043.520000000004</v>
      </c>
      <c r="G948" s="18">
        <v>162</v>
      </c>
      <c r="I948" s="21">
        <v>46053.947222222225</v>
      </c>
      <c r="J948" s="26"/>
      <c r="K948" s="29"/>
      <c r="L948" s="27">
        <v>78225.225000000006</v>
      </c>
      <c r="M948" s="27">
        <v>77947.39</v>
      </c>
      <c r="N948" s="30" t="s">
        <v>6</v>
      </c>
      <c r="O948" s="28" t="s">
        <v>13</v>
      </c>
      <c r="P948"/>
    </row>
    <row r="949" spans="1:16" x14ac:dyDescent="0.35">
      <c r="A949" s="4">
        <v>946</v>
      </c>
      <c r="B949" s="17">
        <v>46053.947916666664</v>
      </c>
      <c r="C949" s="1">
        <v>78043.509999999995</v>
      </c>
      <c r="D949" s="20">
        <v>78043.53</v>
      </c>
      <c r="E949" s="20">
        <v>77931.02</v>
      </c>
      <c r="F949" s="1">
        <v>77978.350000000006</v>
      </c>
      <c r="G949" s="18">
        <v>201</v>
      </c>
      <c r="I949" s="21">
        <v>46053.947916666664</v>
      </c>
      <c r="J949" s="26"/>
      <c r="K949" s="29">
        <v>77931.02</v>
      </c>
      <c r="L949" s="27">
        <v>78200.6875</v>
      </c>
      <c r="M949" s="27">
        <v>77931.02</v>
      </c>
      <c r="N949" s="30" t="s">
        <v>6</v>
      </c>
      <c r="O949" s="28" t="s">
        <v>13</v>
      </c>
      <c r="P949"/>
    </row>
    <row r="950" spans="1:16" x14ac:dyDescent="0.35">
      <c r="A950" s="4">
        <v>947</v>
      </c>
      <c r="B950" s="17">
        <v>46053.948611111111</v>
      </c>
      <c r="C950" s="1">
        <v>77978.350000000006</v>
      </c>
      <c r="D950" s="20">
        <v>77985.11</v>
      </c>
      <c r="E950" s="20">
        <v>77941.87</v>
      </c>
      <c r="F950" s="1">
        <v>77957.22</v>
      </c>
      <c r="G950" s="18">
        <v>187</v>
      </c>
      <c r="I950" s="21">
        <v>46053.948611111111</v>
      </c>
      <c r="J950" s="26"/>
      <c r="K950" s="29"/>
      <c r="L950" s="27">
        <v>78176.149999999994</v>
      </c>
      <c r="M950" s="27">
        <v>77939.138569999996</v>
      </c>
      <c r="N950" s="30" t="s">
        <v>6</v>
      </c>
      <c r="O950" s="28" t="s">
        <v>8</v>
      </c>
      <c r="P950"/>
    </row>
    <row r="951" spans="1:16" x14ac:dyDescent="0.35">
      <c r="A951" s="4">
        <v>948</v>
      </c>
      <c r="B951" s="17">
        <v>46053.949305555558</v>
      </c>
      <c r="C951" s="1">
        <v>77957.23</v>
      </c>
      <c r="D951" s="20">
        <v>78060.87</v>
      </c>
      <c r="E951" s="20">
        <v>77957.23</v>
      </c>
      <c r="F951" s="1">
        <v>78002.210000000006</v>
      </c>
      <c r="G951" s="18">
        <v>218</v>
      </c>
      <c r="I951" s="21">
        <v>46053.949305555558</v>
      </c>
      <c r="J951" s="26"/>
      <c r="K951" s="29"/>
      <c r="L951" s="27">
        <v>78151.612500000003</v>
      </c>
      <c r="M951" s="27">
        <v>77947.257140000002</v>
      </c>
      <c r="N951" s="30" t="s">
        <v>6</v>
      </c>
      <c r="O951" s="28" t="s">
        <v>8</v>
      </c>
      <c r="P951"/>
    </row>
    <row r="952" spans="1:16" x14ac:dyDescent="0.35">
      <c r="A952" s="4">
        <v>949</v>
      </c>
      <c r="B952" s="17">
        <v>46053.95</v>
      </c>
      <c r="C952" s="1">
        <v>78002.210000000006</v>
      </c>
      <c r="D952" s="20">
        <v>78042.539999999994</v>
      </c>
      <c r="E952" s="20">
        <v>77962.86</v>
      </c>
      <c r="F952" s="1">
        <v>78042.539999999994</v>
      </c>
      <c r="G952" s="18">
        <v>154</v>
      </c>
      <c r="I952" s="21">
        <v>46053.95</v>
      </c>
      <c r="J952" s="26"/>
      <c r="K952" s="29"/>
      <c r="L952" s="27">
        <v>78127.074999999997</v>
      </c>
      <c r="M952" s="27">
        <v>77955.375709999993</v>
      </c>
      <c r="N952" s="30" t="s">
        <v>6</v>
      </c>
      <c r="O952" s="28" t="s">
        <v>8</v>
      </c>
      <c r="P952"/>
    </row>
    <row r="953" spans="1:16" x14ac:dyDescent="0.35">
      <c r="A953" s="4">
        <v>950</v>
      </c>
      <c r="B953" s="17">
        <v>46053.950694444444</v>
      </c>
      <c r="C953" s="1">
        <v>78042.59</v>
      </c>
      <c r="D953" s="20">
        <v>78065.91</v>
      </c>
      <c r="E953" s="20">
        <v>77957.66</v>
      </c>
      <c r="F953" s="1">
        <v>77957.75</v>
      </c>
      <c r="G953" s="18">
        <v>179</v>
      </c>
      <c r="I953" s="21">
        <v>46053.950694444444</v>
      </c>
      <c r="J953" s="26"/>
      <c r="K953" s="29"/>
      <c r="L953" s="27">
        <v>78102.537500000006</v>
      </c>
      <c r="M953" s="27">
        <v>77963.494290000002</v>
      </c>
      <c r="N953" s="30" t="s">
        <v>6</v>
      </c>
      <c r="O953" s="28" t="s">
        <v>8</v>
      </c>
      <c r="P953"/>
    </row>
    <row r="954" spans="1:16" x14ac:dyDescent="0.35">
      <c r="A954" s="4">
        <v>951</v>
      </c>
      <c r="B954" s="17">
        <v>46053.951388888891</v>
      </c>
      <c r="C954" s="1">
        <v>77957.740000000005</v>
      </c>
      <c r="D954" s="20">
        <v>78078</v>
      </c>
      <c r="E954" s="20">
        <v>77957.740000000005</v>
      </c>
      <c r="F954" s="1">
        <v>78059.16</v>
      </c>
      <c r="G954" s="18">
        <v>214</v>
      </c>
      <c r="I954" s="21">
        <v>46053.951388888891</v>
      </c>
      <c r="J954" s="26">
        <v>78078</v>
      </c>
      <c r="K954" s="29"/>
      <c r="L954" s="27">
        <v>78078</v>
      </c>
      <c r="M954" s="27">
        <v>77971.612859999994</v>
      </c>
      <c r="N954" s="30" t="s">
        <v>6</v>
      </c>
      <c r="O954" s="28" t="s">
        <v>8</v>
      </c>
      <c r="P954"/>
    </row>
    <row r="955" spans="1:16" x14ac:dyDescent="0.35">
      <c r="A955" s="4">
        <v>952</v>
      </c>
      <c r="B955" s="17">
        <v>46053.95208333333</v>
      </c>
      <c r="C955" s="1">
        <v>78061.399999999994</v>
      </c>
      <c r="D955" s="20">
        <v>78061.399999999994</v>
      </c>
      <c r="E955" s="20">
        <v>78006.11</v>
      </c>
      <c r="F955" s="1">
        <v>78011.86</v>
      </c>
      <c r="G955" s="18">
        <v>152</v>
      </c>
      <c r="I955" s="21">
        <v>46053.95208333333</v>
      </c>
      <c r="J955" s="26"/>
      <c r="K955" s="29"/>
      <c r="L955" s="27">
        <v>78095.416249999995</v>
      </c>
      <c r="M955" s="27">
        <v>77979.73143</v>
      </c>
      <c r="N955" s="30" t="s">
        <v>7</v>
      </c>
      <c r="O955" s="28" t="s">
        <v>8</v>
      </c>
      <c r="P955"/>
    </row>
    <row r="956" spans="1:16" x14ac:dyDescent="0.35">
      <c r="A956" s="4">
        <v>953</v>
      </c>
      <c r="B956" s="17">
        <v>46053.952777777777</v>
      </c>
      <c r="C956" s="1">
        <v>78012.08</v>
      </c>
      <c r="D956" s="20">
        <v>78027.740000000005</v>
      </c>
      <c r="E956" s="20">
        <v>77987.53</v>
      </c>
      <c r="F956" s="1">
        <v>77989.53</v>
      </c>
      <c r="G956" s="18">
        <v>146</v>
      </c>
      <c r="I956" s="21">
        <v>46053.952777777777</v>
      </c>
      <c r="J956" s="26"/>
      <c r="K956" s="29"/>
      <c r="L956" s="27">
        <v>78112.832500000004</v>
      </c>
      <c r="M956" s="27">
        <v>77987.850000000006</v>
      </c>
      <c r="N956" s="30" t="s">
        <v>7</v>
      </c>
      <c r="O956" s="28" t="s">
        <v>8</v>
      </c>
      <c r="P956"/>
    </row>
    <row r="957" spans="1:16" x14ac:dyDescent="0.35">
      <c r="A957" s="4">
        <v>954</v>
      </c>
      <c r="B957" s="17">
        <v>46053.953472222223</v>
      </c>
      <c r="C957" s="1">
        <v>78002.53</v>
      </c>
      <c r="D957" s="20">
        <v>78013.73</v>
      </c>
      <c r="E957" s="20">
        <v>78002.53</v>
      </c>
      <c r="F957" s="1">
        <v>78013.73</v>
      </c>
      <c r="G957" s="18">
        <v>8</v>
      </c>
      <c r="I957" s="21">
        <v>46053.953472222223</v>
      </c>
      <c r="J957" s="26"/>
      <c r="K957" s="29"/>
      <c r="L957" s="27">
        <v>78130.248749999999</v>
      </c>
      <c r="M957" s="27">
        <v>77995.968569999997</v>
      </c>
      <c r="N957" s="30" t="s">
        <v>7</v>
      </c>
      <c r="O957" s="28" t="s">
        <v>8</v>
      </c>
      <c r="P957"/>
    </row>
    <row r="958" spans="1:16" x14ac:dyDescent="0.35">
      <c r="A958" s="4">
        <v>955</v>
      </c>
      <c r="B958" s="17">
        <v>46053.95416666667</v>
      </c>
      <c r="C958" s="1">
        <v>78012.83</v>
      </c>
      <c r="D958" s="20">
        <v>78066.33</v>
      </c>
      <c r="E958" s="20">
        <v>78012.83</v>
      </c>
      <c r="F958" s="1">
        <v>78066.33</v>
      </c>
      <c r="G958" s="18">
        <v>115</v>
      </c>
      <c r="I958" s="21">
        <v>46053.95416666667</v>
      </c>
      <c r="J958" s="26"/>
      <c r="K958" s="29"/>
      <c r="L958" s="27">
        <v>78147.664999999994</v>
      </c>
      <c r="M958" s="27">
        <v>78004.087140000003</v>
      </c>
      <c r="N958" s="30" t="s">
        <v>7</v>
      </c>
      <c r="O958" s="28" t="s">
        <v>8</v>
      </c>
      <c r="P958"/>
    </row>
    <row r="959" spans="1:16" x14ac:dyDescent="0.35">
      <c r="A959" s="4">
        <v>956</v>
      </c>
      <c r="B959" s="17">
        <v>46053.954861111109</v>
      </c>
      <c r="C959" s="1">
        <v>78066.33</v>
      </c>
      <c r="D959" s="20">
        <v>78173.02</v>
      </c>
      <c r="E959" s="20">
        <v>78066.320000000007</v>
      </c>
      <c r="F959" s="1">
        <v>78155.520000000004</v>
      </c>
      <c r="G959" s="18">
        <v>205</v>
      </c>
      <c r="I959" s="21">
        <v>46053.954861111109</v>
      </c>
      <c r="J959" s="26"/>
      <c r="K959" s="29"/>
      <c r="L959" s="27">
        <v>78165.081250000003</v>
      </c>
      <c r="M959" s="27">
        <v>78012.205709999995</v>
      </c>
      <c r="N959" s="30" t="s">
        <v>7</v>
      </c>
      <c r="O959" s="28" t="s">
        <v>8</v>
      </c>
      <c r="P959"/>
    </row>
    <row r="960" spans="1:16" x14ac:dyDescent="0.35">
      <c r="A960" s="4">
        <v>957</v>
      </c>
      <c r="B960" s="17">
        <v>46053.955555555556</v>
      </c>
      <c r="C960" s="1">
        <v>78155.520000000004</v>
      </c>
      <c r="D960" s="20">
        <v>78158.69</v>
      </c>
      <c r="E960" s="20">
        <v>78093.77</v>
      </c>
      <c r="F960" s="1">
        <v>78158.2</v>
      </c>
      <c r="G960" s="18">
        <v>212</v>
      </c>
      <c r="I960" s="21">
        <v>46053.955555555556</v>
      </c>
      <c r="J960" s="26"/>
      <c r="K960" s="29"/>
      <c r="L960" s="27">
        <v>78182.497499999998</v>
      </c>
      <c r="M960" s="27">
        <v>78020.324290000004</v>
      </c>
      <c r="N960" s="30" t="s">
        <v>7</v>
      </c>
      <c r="O960" s="28" t="s">
        <v>8</v>
      </c>
      <c r="P960"/>
    </row>
    <row r="961" spans="1:16" x14ac:dyDescent="0.35">
      <c r="A961" s="4">
        <v>958</v>
      </c>
      <c r="B961" s="17">
        <v>46053.956250000003</v>
      </c>
      <c r="C961" s="1">
        <v>78157.919999999998</v>
      </c>
      <c r="D961" s="20">
        <v>78215.41</v>
      </c>
      <c r="E961" s="20">
        <v>78154.080000000002</v>
      </c>
      <c r="F961" s="1">
        <v>78205.600000000006</v>
      </c>
      <c r="G961" s="18">
        <v>191</v>
      </c>
      <c r="I961" s="21">
        <v>46053.956250000003</v>
      </c>
      <c r="J961" s="26"/>
      <c r="K961" s="29"/>
      <c r="L961" s="27">
        <v>78199.913750000007</v>
      </c>
      <c r="M961" s="27">
        <v>78028.442859999996</v>
      </c>
      <c r="N961" s="30" t="s">
        <v>7</v>
      </c>
      <c r="O961" s="28" t="s">
        <v>8</v>
      </c>
      <c r="P961"/>
    </row>
    <row r="962" spans="1:16" x14ac:dyDescent="0.35">
      <c r="A962" s="4">
        <v>959</v>
      </c>
      <c r="B962" s="17">
        <v>46053.956944444442</v>
      </c>
      <c r="C962" s="1">
        <v>78205.7</v>
      </c>
      <c r="D962" s="20">
        <v>78217.33</v>
      </c>
      <c r="E962" s="20">
        <v>78117.98</v>
      </c>
      <c r="F962" s="1">
        <v>78126.94</v>
      </c>
      <c r="G962" s="18">
        <v>192</v>
      </c>
      <c r="I962" s="21">
        <v>46053.956944444442</v>
      </c>
      <c r="J962" s="26">
        <v>78217.33</v>
      </c>
      <c r="K962" s="29"/>
      <c r="L962" s="27">
        <v>78217.33</v>
      </c>
      <c r="M962" s="27">
        <v>78036.561430000002</v>
      </c>
      <c r="N962" s="30" t="s">
        <v>7</v>
      </c>
      <c r="O962" s="28" t="s">
        <v>8</v>
      </c>
      <c r="P962"/>
    </row>
    <row r="963" spans="1:16" x14ac:dyDescent="0.35">
      <c r="A963" s="4">
        <v>960</v>
      </c>
      <c r="B963" s="17">
        <v>46053.957638888889</v>
      </c>
      <c r="C963" s="1">
        <v>78126.94</v>
      </c>
      <c r="D963" s="20">
        <v>78153.02</v>
      </c>
      <c r="E963" s="20">
        <v>78044.679999999993</v>
      </c>
      <c r="F963" s="1">
        <v>78102.61</v>
      </c>
      <c r="G963" s="18">
        <v>209</v>
      </c>
      <c r="I963" s="21">
        <v>46053.957638888889</v>
      </c>
      <c r="J963" s="26"/>
      <c r="K963" s="29">
        <v>78044.679999999993</v>
      </c>
      <c r="L963" s="27">
        <v>78225.057270000005</v>
      </c>
      <c r="M963" s="27">
        <v>78044.679999999993</v>
      </c>
      <c r="N963" s="30" t="s">
        <v>7</v>
      </c>
      <c r="O963" s="28" t="s">
        <v>8</v>
      </c>
      <c r="P963"/>
    </row>
    <row r="964" spans="1:16" x14ac:dyDescent="0.35">
      <c r="A964" s="4">
        <v>961</v>
      </c>
      <c r="B964" s="17">
        <v>46053.958333333336</v>
      </c>
      <c r="C964" s="1">
        <v>78103.460000000006</v>
      </c>
      <c r="D964" s="20">
        <v>78184.210000000006</v>
      </c>
      <c r="E964" s="20">
        <v>78081.77</v>
      </c>
      <c r="F964" s="1">
        <v>78106.55</v>
      </c>
      <c r="G964" s="18">
        <v>213</v>
      </c>
      <c r="I964" s="21">
        <v>46053.958333333336</v>
      </c>
      <c r="J964" s="26"/>
      <c r="K964" s="29"/>
      <c r="L964" s="27">
        <v>78232.784549999997</v>
      </c>
      <c r="M964" s="27">
        <v>78037.865000000005</v>
      </c>
      <c r="N964" s="30" t="s">
        <v>7</v>
      </c>
      <c r="O964" s="28" t="s">
        <v>13</v>
      </c>
      <c r="P964"/>
    </row>
    <row r="965" spans="1:16" x14ac:dyDescent="0.35">
      <c r="A965" s="4">
        <v>962</v>
      </c>
      <c r="B965" s="17">
        <v>46053.959027777775</v>
      </c>
      <c r="C965" s="1">
        <v>78106.52</v>
      </c>
      <c r="D965" s="20">
        <v>78134.53</v>
      </c>
      <c r="E965" s="20">
        <v>78048.800000000003</v>
      </c>
      <c r="F965" s="1">
        <v>78134.53</v>
      </c>
      <c r="G965" s="18">
        <v>191</v>
      </c>
      <c r="I965" s="21">
        <v>46053.959027777775</v>
      </c>
      <c r="J965" s="26"/>
      <c r="K965" s="29"/>
      <c r="L965" s="27">
        <v>78240.51182</v>
      </c>
      <c r="M965" s="27">
        <v>78031.05</v>
      </c>
      <c r="N965" s="30" t="s">
        <v>7</v>
      </c>
      <c r="O965" s="28" t="s">
        <v>13</v>
      </c>
      <c r="P965"/>
    </row>
    <row r="966" spans="1:16" x14ac:dyDescent="0.35">
      <c r="A966" s="4">
        <v>963</v>
      </c>
      <c r="B966" s="17">
        <v>46053.959722222222</v>
      </c>
      <c r="C966" s="1">
        <v>78150.3</v>
      </c>
      <c r="D966" s="20">
        <v>78155.33</v>
      </c>
      <c r="E966" s="20">
        <v>78099.64</v>
      </c>
      <c r="F966" s="1">
        <v>78105.850000000006</v>
      </c>
      <c r="G966" s="18">
        <v>165</v>
      </c>
      <c r="I966" s="21">
        <v>46053.959722222222</v>
      </c>
      <c r="J966" s="26"/>
      <c r="K966" s="29"/>
      <c r="L966" s="27">
        <v>78248.239090000003</v>
      </c>
      <c r="M966" s="27">
        <v>78024.235000000001</v>
      </c>
      <c r="N966" s="30" t="s">
        <v>7</v>
      </c>
      <c r="O966" s="28" t="s">
        <v>13</v>
      </c>
      <c r="P966"/>
    </row>
    <row r="967" spans="1:16" x14ac:dyDescent="0.35">
      <c r="A967" s="4">
        <v>964</v>
      </c>
      <c r="B967" s="17">
        <v>46053.960416666669</v>
      </c>
      <c r="C967" s="1">
        <v>78106.52</v>
      </c>
      <c r="D967" s="20">
        <v>78181.009999999995</v>
      </c>
      <c r="E967" s="20">
        <v>78017.42</v>
      </c>
      <c r="F967" s="1">
        <v>78181.009999999995</v>
      </c>
      <c r="G967" s="18">
        <v>197</v>
      </c>
      <c r="I967" s="21">
        <v>46053.960416666669</v>
      </c>
      <c r="J967" s="26"/>
      <c r="K967" s="29">
        <v>78017.42</v>
      </c>
      <c r="L967" s="27">
        <v>78255.966360000006</v>
      </c>
      <c r="M967" s="27">
        <v>78017.42</v>
      </c>
      <c r="N967" s="30" t="s">
        <v>7</v>
      </c>
      <c r="O967" s="28" t="s">
        <v>13</v>
      </c>
      <c r="P967"/>
    </row>
    <row r="968" spans="1:16" x14ac:dyDescent="0.35">
      <c r="A968" s="4">
        <v>965</v>
      </c>
      <c r="B968" s="17">
        <v>46053.961111111108</v>
      </c>
      <c r="C968" s="1">
        <v>78169.039999999994</v>
      </c>
      <c r="D968" s="20">
        <v>78183.31</v>
      </c>
      <c r="E968" s="20">
        <v>78085.61</v>
      </c>
      <c r="F968" s="1">
        <v>78171.89</v>
      </c>
      <c r="G968" s="18">
        <v>198</v>
      </c>
      <c r="I968" s="21">
        <v>46053.961111111108</v>
      </c>
      <c r="J968" s="26"/>
      <c r="K968" s="29"/>
      <c r="L968" s="27">
        <v>78263.693639999998</v>
      </c>
      <c r="M968" s="27">
        <v>78047.687999999995</v>
      </c>
      <c r="N968" s="30" t="s">
        <v>7</v>
      </c>
      <c r="O968" s="28" t="s">
        <v>8</v>
      </c>
      <c r="P968"/>
    </row>
    <row r="969" spans="1:16" x14ac:dyDescent="0.35">
      <c r="A969" s="4">
        <v>966</v>
      </c>
      <c r="B969" s="17">
        <v>46053.961805555555</v>
      </c>
      <c r="C969" s="1">
        <v>78174.25</v>
      </c>
      <c r="D969" s="20">
        <v>78218.399999999994</v>
      </c>
      <c r="E969" s="20">
        <v>78134.600000000006</v>
      </c>
      <c r="F969" s="1">
        <v>78191.899999999994</v>
      </c>
      <c r="G969" s="18">
        <v>196</v>
      </c>
      <c r="I969" s="21">
        <v>46053.961805555555</v>
      </c>
      <c r="J969" s="26"/>
      <c r="K969" s="29"/>
      <c r="L969" s="27">
        <v>78271.420910000001</v>
      </c>
      <c r="M969" s="27">
        <v>78077.956000000006</v>
      </c>
      <c r="N969" s="30" t="s">
        <v>7</v>
      </c>
      <c r="O969" s="28" t="s">
        <v>8</v>
      </c>
      <c r="P969"/>
    </row>
    <row r="970" spans="1:16" x14ac:dyDescent="0.35">
      <c r="A970" s="4">
        <v>967</v>
      </c>
      <c r="B970" s="17">
        <v>46053.962500000001</v>
      </c>
      <c r="C970" s="1">
        <v>78191.899999999994</v>
      </c>
      <c r="D970" s="20">
        <v>78251.16</v>
      </c>
      <c r="E970" s="20">
        <v>78176.7</v>
      </c>
      <c r="F970" s="1">
        <v>78233.94</v>
      </c>
      <c r="G970" s="18">
        <v>222</v>
      </c>
      <c r="I970" s="21">
        <v>46053.962500000001</v>
      </c>
      <c r="J970" s="26"/>
      <c r="K970" s="29"/>
      <c r="L970" s="27">
        <v>78279.148180000004</v>
      </c>
      <c r="M970" s="27">
        <v>78108.224000000002</v>
      </c>
      <c r="N970" s="30" t="s">
        <v>7</v>
      </c>
      <c r="O970" s="28" t="s">
        <v>8</v>
      </c>
      <c r="P970"/>
    </row>
    <row r="971" spans="1:16" x14ac:dyDescent="0.35">
      <c r="A971" s="4">
        <v>968</v>
      </c>
      <c r="B971" s="17">
        <v>46053.963194444441</v>
      </c>
      <c r="C971" s="1">
        <v>78234.34</v>
      </c>
      <c r="D971" s="20">
        <v>78262.03</v>
      </c>
      <c r="E971" s="20">
        <v>78188.13</v>
      </c>
      <c r="F971" s="1">
        <v>78261.98</v>
      </c>
      <c r="G971" s="18">
        <v>176</v>
      </c>
      <c r="I971" s="21">
        <v>46053.963194444441</v>
      </c>
      <c r="J971" s="26"/>
      <c r="K971" s="29"/>
      <c r="L971" s="27">
        <v>78286.875450000007</v>
      </c>
      <c r="M971" s="27">
        <v>78138.491999999998</v>
      </c>
      <c r="N971" s="30" t="s">
        <v>7</v>
      </c>
      <c r="O971" s="28" t="s">
        <v>8</v>
      </c>
      <c r="P971"/>
    </row>
    <row r="972" spans="1:16" x14ac:dyDescent="0.35">
      <c r="A972" s="4">
        <v>969</v>
      </c>
      <c r="B972" s="17">
        <v>46053.963888888888</v>
      </c>
      <c r="C972" s="1">
        <v>78261.820000000007</v>
      </c>
      <c r="D972" s="20">
        <v>78293.3</v>
      </c>
      <c r="E972" s="20">
        <v>78168.759999999995</v>
      </c>
      <c r="F972" s="1">
        <v>78241.05</v>
      </c>
      <c r="G972" s="18">
        <v>210</v>
      </c>
      <c r="I972" s="21">
        <v>46053.963888888888</v>
      </c>
      <c r="J972" s="26"/>
      <c r="K972" s="29">
        <v>78168.759999999995</v>
      </c>
      <c r="L972" s="27">
        <v>78294.602729999999</v>
      </c>
      <c r="M972" s="27">
        <v>78168.759999999995</v>
      </c>
      <c r="N972" s="30" t="s">
        <v>7</v>
      </c>
      <c r="O972" s="28" t="s">
        <v>8</v>
      </c>
      <c r="P972"/>
    </row>
    <row r="973" spans="1:16" x14ac:dyDescent="0.35">
      <c r="A973" s="4">
        <v>970</v>
      </c>
      <c r="B973" s="17">
        <v>46053.964583333334</v>
      </c>
      <c r="C973" s="1">
        <v>78241.740000000005</v>
      </c>
      <c r="D973" s="20">
        <v>78302.33</v>
      </c>
      <c r="E973" s="20">
        <v>78241.740000000005</v>
      </c>
      <c r="F973" s="1">
        <v>78288.149999999994</v>
      </c>
      <c r="G973" s="18">
        <v>178</v>
      </c>
      <c r="I973" s="21">
        <v>46053.964583333334</v>
      </c>
      <c r="J973" s="26">
        <v>78302.33</v>
      </c>
      <c r="K973" s="29"/>
      <c r="L973" s="27">
        <v>78302.33</v>
      </c>
      <c r="M973" s="27">
        <v>78154.820000000007</v>
      </c>
      <c r="N973" s="30" t="s">
        <v>7</v>
      </c>
      <c r="O973" s="28" t="s">
        <v>13</v>
      </c>
      <c r="P973"/>
    </row>
    <row r="974" spans="1:16" x14ac:dyDescent="0.35">
      <c r="A974" s="4">
        <v>971</v>
      </c>
      <c r="B974" s="17">
        <v>46053.965277777781</v>
      </c>
      <c r="C974" s="1">
        <v>78286.84</v>
      </c>
      <c r="D974" s="20">
        <v>78290.399999999994</v>
      </c>
      <c r="E974" s="20">
        <v>78240.800000000003</v>
      </c>
      <c r="F974" s="1">
        <v>78266.11</v>
      </c>
      <c r="G974" s="18">
        <v>214</v>
      </c>
      <c r="I974" s="21">
        <v>46053.965277777781</v>
      </c>
      <c r="J974" s="26"/>
      <c r="K974" s="29"/>
      <c r="L974" s="27">
        <v>78361.315329999998</v>
      </c>
      <c r="M974" s="27">
        <v>78140.88</v>
      </c>
      <c r="N974" s="30" t="s">
        <v>7</v>
      </c>
      <c r="O974" s="28" t="s">
        <v>13</v>
      </c>
      <c r="P974"/>
    </row>
    <row r="975" spans="1:16" x14ac:dyDescent="0.35">
      <c r="A975" s="4">
        <v>972</v>
      </c>
      <c r="B975" s="17">
        <v>46053.96597222222</v>
      </c>
      <c r="C975" s="1">
        <v>78266.11</v>
      </c>
      <c r="D975" s="20">
        <v>78272.399999999994</v>
      </c>
      <c r="E975" s="20">
        <v>78190.52</v>
      </c>
      <c r="F975" s="1">
        <v>78194.649999999994</v>
      </c>
      <c r="G975" s="18">
        <v>219</v>
      </c>
      <c r="I975" s="21">
        <v>46053.96597222222</v>
      </c>
      <c r="J975" s="26"/>
      <c r="K975" s="29"/>
      <c r="L975" s="27">
        <v>78420.300669999997</v>
      </c>
      <c r="M975" s="27">
        <v>78126.94</v>
      </c>
      <c r="N975" s="30" t="s">
        <v>7</v>
      </c>
      <c r="O975" s="28" t="s">
        <v>13</v>
      </c>
      <c r="P975"/>
    </row>
    <row r="976" spans="1:16" x14ac:dyDescent="0.35">
      <c r="A976" s="4">
        <v>973</v>
      </c>
      <c r="B976" s="17">
        <v>46053.966666666667</v>
      </c>
      <c r="C976" s="1">
        <v>78194.710000000006</v>
      </c>
      <c r="D976" s="20">
        <v>78194.710000000006</v>
      </c>
      <c r="E976" s="20">
        <v>78113</v>
      </c>
      <c r="F976" s="1">
        <v>78160.350000000006</v>
      </c>
      <c r="G976" s="18">
        <v>238</v>
      </c>
      <c r="I976" s="21">
        <v>46053.966666666667</v>
      </c>
      <c r="J976" s="26"/>
      <c r="K976" s="29">
        <v>78113</v>
      </c>
      <c r="L976" s="27">
        <v>78479.285999999993</v>
      </c>
      <c r="M976" s="27">
        <v>78113</v>
      </c>
      <c r="N976" s="30" t="s">
        <v>7</v>
      </c>
      <c r="O976" s="28" t="s">
        <v>13</v>
      </c>
      <c r="P976"/>
    </row>
    <row r="977" spans="1:16" x14ac:dyDescent="0.35">
      <c r="A977" s="4">
        <v>974</v>
      </c>
      <c r="B977" s="17">
        <v>46053.967361111114</v>
      </c>
      <c r="C977" s="1">
        <v>78168</v>
      </c>
      <c r="D977" s="20">
        <v>78217.13</v>
      </c>
      <c r="E977" s="20">
        <v>78126.62</v>
      </c>
      <c r="F977" s="1">
        <v>78207.37</v>
      </c>
      <c r="G977" s="18">
        <v>236</v>
      </c>
      <c r="I977" s="21">
        <v>46053.967361111114</v>
      </c>
      <c r="J977" s="26"/>
      <c r="K977" s="29"/>
      <c r="L977" s="27">
        <v>78538.271330000003</v>
      </c>
      <c r="M977" s="27">
        <v>78105.923330000005</v>
      </c>
      <c r="N977" s="30" t="s">
        <v>7</v>
      </c>
      <c r="O977" s="28" t="s">
        <v>13</v>
      </c>
      <c r="P977"/>
    </row>
    <row r="978" spans="1:16" x14ac:dyDescent="0.35">
      <c r="A978" s="4">
        <v>975</v>
      </c>
      <c r="B978" s="17">
        <v>46053.968055555553</v>
      </c>
      <c r="C978" s="1">
        <v>78207.210000000006</v>
      </c>
      <c r="D978" s="20">
        <v>78208.12</v>
      </c>
      <c r="E978" s="20">
        <v>78173.34</v>
      </c>
      <c r="F978" s="1">
        <v>78179.350000000006</v>
      </c>
      <c r="G978" s="18">
        <v>230</v>
      </c>
      <c r="I978" s="21">
        <v>46053.968055555553</v>
      </c>
      <c r="J978" s="26"/>
      <c r="K978" s="29"/>
      <c r="L978" s="27">
        <v>78597.256670000002</v>
      </c>
      <c r="M978" s="27">
        <v>78098.846669999999</v>
      </c>
      <c r="N978" s="30" t="s">
        <v>7</v>
      </c>
      <c r="O978" s="28" t="s">
        <v>13</v>
      </c>
      <c r="P978"/>
    </row>
    <row r="979" spans="1:16" x14ac:dyDescent="0.35">
      <c r="A979" s="4">
        <v>976</v>
      </c>
      <c r="B979" s="17">
        <v>46053.96875</v>
      </c>
      <c r="C979" s="1">
        <v>78179.44</v>
      </c>
      <c r="D979" s="20">
        <v>78213</v>
      </c>
      <c r="E979" s="20">
        <v>78091.77</v>
      </c>
      <c r="F979" s="1">
        <v>78212.990000000005</v>
      </c>
      <c r="G979" s="18">
        <v>230</v>
      </c>
      <c r="I979" s="21">
        <v>46053.96875</v>
      </c>
      <c r="J979" s="26"/>
      <c r="K979" s="29">
        <v>78091.77</v>
      </c>
      <c r="L979" s="27">
        <v>78656.241999999998</v>
      </c>
      <c r="M979" s="27">
        <v>78091.77</v>
      </c>
      <c r="N979" s="30" t="s">
        <v>7</v>
      </c>
      <c r="O979" s="28" t="s">
        <v>13</v>
      </c>
      <c r="P979"/>
    </row>
    <row r="980" spans="1:16" x14ac:dyDescent="0.35">
      <c r="A980" s="4">
        <v>977</v>
      </c>
      <c r="B980" s="17">
        <v>46053.969444444447</v>
      </c>
      <c r="C980" s="1">
        <v>78212.990000000005</v>
      </c>
      <c r="D980" s="20">
        <v>78256.61</v>
      </c>
      <c r="E980" s="20">
        <v>78184.399999999994</v>
      </c>
      <c r="F980" s="1">
        <v>78232.55</v>
      </c>
      <c r="G980" s="18">
        <v>239</v>
      </c>
      <c r="I980" s="21">
        <v>46053.969444444447</v>
      </c>
      <c r="J980" s="26"/>
      <c r="K980" s="29"/>
      <c r="L980" s="27">
        <v>78715.227329999994</v>
      </c>
      <c r="M980" s="27">
        <v>78134.992499999993</v>
      </c>
      <c r="N980" s="30" t="s">
        <v>7</v>
      </c>
      <c r="O980" s="28" t="s">
        <v>8</v>
      </c>
      <c r="P980"/>
    </row>
    <row r="981" spans="1:16" x14ac:dyDescent="0.35">
      <c r="A981" s="4">
        <v>978</v>
      </c>
      <c r="B981" s="17">
        <v>46053.970138888886</v>
      </c>
      <c r="C981" s="1">
        <v>78232.53</v>
      </c>
      <c r="D981" s="20">
        <v>78359.199999999997</v>
      </c>
      <c r="E981" s="20">
        <v>78232.210000000006</v>
      </c>
      <c r="F981" s="1">
        <v>78359.13</v>
      </c>
      <c r="G981" s="18">
        <v>219</v>
      </c>
      <c r="I981" s="21">
        <v>46053.970138888886</v>
      </c>
      <c r="J981" s="26"/>
      <c r="K981" s="29"/>
      <c r="L981" s="27">
        <v>78774.212669999994</v>
      </c>
      <c r="M981" s="27">
        <v>78178.214999999997</v>
      </c>
      <c r="N981" s="30" t="s">
        <v>7</v>
      </c>
      <c r="O981" s="28" t="s">
        <v>8</v>
      </c>
      <c r="P981"/>
    </row>
    <row r="982" spans="1:16" x14ac:dyDescent="0.35">
      <c r="A982" s="4">
        <v>979</v>
      </c>
      <c r="B982" s="17">
        <v>46053.970833333333</v>
      </c>
      <c r="C982" s="1">
        <v>78352.789999999994</v>
      </c>
      <c r="D982" s="20">
        <v>78374.399999999994</v>
      </c>
      <c r="E982" s="20">
        <v>78290.97</v>
      </c>
      <c r="F982" s="1">
        <v>78364.509999999995</v>
      </c>
      <c r="G982" s="18">
        <v>229</v>
      </c>
      <c r="I982" s="21">
        <v>46053.970833333333</v>
      </c>
      <c r="J982" s="26"/>
      <c r="K982" s="29"/>
      <c r="L982" s="27">
        <v>78833.198000000004</v>
      </c>
      <c r="M982" s="27">
        <v>78221.4375</v>
      </c>
      <c r="N982" s="30" t="s">
        <v>7</v>
      </c>
      <c r="O982" s="28" t="s">
        <v>8</v>
      </c>
      <c r="P982"/>
    </row>
    <row r="983" spans="1:16" x14ac:dyDescent="0.35">
      <c r="A983" s="4">
        <v>980</v>
      </c>
      <c r="B983" s="17">
        <v>46053.97152777778</v>
      </c>
      <c r="C983" s="1">
        <v>78364.5</v>
      </c>
      <c r="D983" s="20">
        <v>78513</v>
      </c>
      <c r="E983" s="20">
        <v>78346.100000000006</v>
      </c>
      <c r="F983" s="1">
        <v>78513</v>
      </c>
      <c r="G983" s="18">
        <v>204</v>
      </c>
      <c r="I983" s="21">
        <v>46053.97152777778</v>
      </c>
      <c r="J983" s="26"/>
      <c r="K983" s="29"/>
      <c r="L983" s="27">
        <v>78892.18333</v>
      </c>
      <c r="M983" s="27">
        <v>78264.66</v>
      </c>
      <c r="N983" s="30" t="s">
        <v>7</v>
      </c>
      <c r="O983" s="28" t="s">
        <v>8</v>
      </c>
      <c r="P983"/>
    </row>
    <row r="984" spans="1:16" x14ac:dyDescent="0.35">
      <c r="A984" s="4">
        <v>981</v>
      </c>
      <c r="B984" s="17">
        <v>46053.972222222219</v>
      </c>
      <c r="C984" s="1">
        <v>78537.3</v>
      </c>
      <c r="D984" s="20">
        <v>78612.91</v>
      </c>
      <c r="E984" s="20">
        <v>78461.2</v>
      </c>
      <c r="F984" s="1">
        <v>78508.990000000005</v>
      </c>
      <c r="G984" s="18">
        <v>295</v>
      </c>
      <c r="I984" s="21">
        <v>46053.972222222219</v>
      </c>
      <c r="J984" s="26"/>
      <c r="K984" s="29"/>
      <c r="L984" s="27">
        <v>78951.168669999999</v>
      </c>
      <c r="M984" s="27">
        <v>78307.882500000007</v>
      </c>
      <c r="N984" s="30" t="s">
        <v>7</v>
      </c>
      <c r="O984" s="28" t="s">
        <v>8</v>
      </c>
      <c r="P984"/>
    </row>
    <row r="985" spans="1:16" x14ac:dyDescent="0.35">
      <c r="A985" s="4">
        <v>982</v>
      </c>
      <c r="B985" s="17">
        <v>46053.972916666666</v>
      </c>
      <c r="C985" s="1">
        <v>78506.39</v>
      </c>
      <c r="D985" s="20">
        <v>78762.81</v>
      </c>
      <c r="E985" s="20">
        <v>78470.53</v>
      </c>
      <c r="F985" s="1">
        <v>78717.070000000007</v>
      </c>
      <c r="G985" s="18">
        <v>286</v>
      </c>
      <c r="I985" s="21">
        <v>46053.972916666666</v>
      </c>
      <c r="J985" s="26"/>
      <c r="K985" s="29"/>
      <c r="L985" s="27">
        <v>79010.153999999995</v>
      </c>
      <c r="M985" s="27">
        <v>78351.104999999996</v>
      </c>
      <c r="N985" s="30" t="s">
        <v>7</v>
      </c>
      <c r="O985" s="28" t="s">
        <v>8</v>
      </c>
      <c r="P985"/>
    </row>
    <row r="986" spans="1:16" x14ac:dyDescent="0.35">
      <c r="A986" s="4">
        <v>983</v>
      </c>
      <c r="B986" s="17">
        <v>46053.973611111112</v>
      </c>
      <c r="C986" s="1">
        <v>78731</v>
      </c>
      <c r="D986" s="20">
        <v>78856.31</v>
      </c>
      <c r="E986" s="20">
        <v>78667.289999999994</v>
      </c>
      <c r="F986" s="1">
        <v>78731.83</v>
      </c>
      <c r="G986" s="18">
        <v>293</v>
      </c>
      <c r="I986" s="21">
        <v>46053.973611111112</v>
      </c>
      <c r="J986" s="26"/>
      <c r="K986" s="29"/>
      <c r="L986" s="27">
        <v>79069.139330000005</v>
      </c>
      <c r="M986" s="27">
        <v>78394.327499999999</v>
      </c>
      <c r="N986" s="30" t="s">
        <v>7</v>
      </c>
      <c r="O986" s="28" t="s">
        <v>8</v>
      </c>
      <c r="P986"/>
    </row>
    <row r="987" spans="1:16" x14ac:dyDescent="0.35">
      <c r="A987" s="4">
        <v>984</v>
      </c>
      <c r="B987" s="17">
        <v>46053.974305555559</v>
      </c>
      <c r="C987" s="1">
        <v>78737.350000000006</v>
      </c>
      <c r="D987" s="20">
        <v>79132.009999999995</v>
      </c>
      <c r="E987" s="20">
        <v>78737.33</v>
      </c>
      <c r="F987" s="1">
        <v>79054.91</v>
      </c>
      <c r="G987" s="18">
        <v>305</v>
      </c>
      <c r="I987" s="21">
        <v>46053.974305555559</v>
      </c>
      <c r="J987" s="26"/>
      <c r="K987" s="29"/>
      <c r="L987" s="27">
        <v>79128.124670000005</v>
      </c>
      <c r="M987" s="27">
        <v>78437.55</v>
      </c>
      <c r="N987" s="30" t="s">
        <v>7</v>
      </c>
      <c r="O987" s="28" t="s">
        <v>8</v>
      </c>
      <c r="P987"/>
    </row>
    <row r="988" spans="1:16" x14ac:dyDescent="0.35">
      <c r="A988" s="4">
        <v>985</v>
      </c>
      <c r="B988" s="17">
        <v>46053.974999999999</v>
      </c>
      <c r="C988" s="1">
        <v>79049.55</v>
      </c>
      <c r="D988" s="20">
        <v>79187.11</v>
      </c>
      <c r="E988" s="20">
        <v>79010.5</v>
      </c>
      <c r="F988" s="1">
        <v>79156.740000000005</v>
      </c>
      <c r="G988" s="18">
        <v>300</v>
      </c>
      <c r="I988" s="21">
        <v>46053.974999999999</v>
      </c>
      <c r="J988" s="26">
        <v>79187.11</v>
      </c>
      <c r="K988" s="29"/>
      <c r="L988" s="27">
        <v>79187.11</v>
      </c>
      <c r="M988" s="27">
        <v>78480.772500000006</v>
      </c>
      <c r="N988" s="30" t="s">
        <v>7</v>
      </c>
      <c r="O988" s="28" t="s">
        <v>8</v>
      </c>
      <c r="P988"/>
    </row>
    <row r="989" spans="1:16" x14ac:dyDescent="0.35">
      <c r="A989" s="4">
        <v>986</v>
      </c>
      <c r="B989" s="17">
        <v>46053.975694444445</v>
      </c>
      <c r="C989" s="1">
        <v>79155.12</v>
      </c>
      <c r="D989" s="20">
        <v>79155.98</v>
      </c>
      <c r="E989" s="20">
        <v>79013.5</v>
      </c>
      <c r="F989" s="1">
        <v>79013.5</v>
      </c>
      <c r="G989" s="18">
        <v>288</v>
      </c>
      <c r="I989" s="21">
        <v>46053.975694444445</v>
      </c>
      <c r="J989" s="26"/>
      <c r="K989" s="29"/>
      <c r="L989" s="27">
        <v>79182.259090000007</v>
      </c>
      <c r="M989" s="27">
        <v>78523.994999999995</v>
      </c>
      <c r="N989" s="30" t="s">
        <v>6</v>
      </c>
      <c r="O989" s="28" t="s">
        <v>8</v>
      </c>
      <c r="P989"/>
    </row>
    <row r="990" spans="1:16" x14ac:dyDescent="0.35">
      <c r="A990" s="4">
        <v>987</v>
      </c>
      <c r="B990" s="17">
        <v>46053.976388888892</v>
      </c>
      <c r="C990" s="1">
        <v>79011.570000000007</v>
      </c>
      <c r="D990" s="20">
        <v>79032.25</v>
      </c>
      <c r="E990" s="20">
        <v>78860.28</v>
      </c>
      <c r="F990" s="1">
        <v>78869.440000000002</v>
      </c>
      <c r="G990" s="18">
        <v>288</v>
      </c>
      <c r="I990" s="21">
        <v>46053.976388888892</v>
      </c>
      <c r="J990" s="26"/>
      <c r="K990" s="29"/>
      <c r="L990" s="27">
        <v>79177.408179999999</v>
      </c>
      <c r="M990" s="27">
        <v>78567.217499999999</v>
      </c>
      <c r="N990" s="30" t="s">
        <v>6</v>
      </c>
      <c r="O990" s="28" t="s">
        <v>8</v>
      </c>
      <c r="P990"/>
    </row>
    <row r="991" spans="1:16" x14ac:dyDescent="0.35">
      <c r="A991" s="4">
        <v>988</v>
      </c>
      <c r="B991" s="17">
        <v>46053.977083333331</v>
      </c>
      <c r="C991" s="1">
        <v>78869.45</v>
      </c>
      <c r="D991" s="20">
        <v>78965.429999999993</v>
      </c>
      <c r="E991" s="20">
        <v>78860.17</v>
      </c>
      <c r="F991" s="1">
        <v>78907.88</v>
      </c>
      <c r="G991" s="18">
        <v>270</v>
      </c>
      <c r="I991" s="21">
        <v>46053.977083333331</v>
      </c>
      <c r="J991" s="26"/>
      <c r="K991" s="29"/>
      <c r="L991" s="27">
        <v>79172.557270000005</v>
      </c>
      <c r="M991" s="27">
        <v>78610.44</v>
      </c>
      <c r="N991" s="30" t="s">
        <v>6</v>
      </c>
      <c r="O991" s="28" t="s">
        <v>8</v>
      </c>
      <c r="P991"/>
    </row>
    <row r="992" spans="1:16" x14ac:dyDescent="0.35">
      <c r="A992" s="4">
        <v>989</v>
      </c>
      <c r="B992" s="17">
        <v>46053.977777777778</v>
      </c>
      <c r="C992" s="1">
        <v>78904.929999999993</v>
      </c>
      <c r="D992" s="20">
        <v>78914.64</v>
      </c>
      <c r="E992" s="20">
        <v>78839.350000000006</v>
      </c>
      <c r="F992" s="1">
        <v>78872.95</v>
      </c>
      <c r="G992" s="18">
        <v>261</v>
      </c>
      <c r="I992" s="21">
        <v>46053.977777777778</v>
      </c>
      <c r="J992" s="26"/>
      <c r="K992" s="29"/>
      <c r="L992" s="27">
        <v>79167.706359999996</v>
      </c>
      <c r="M992" s="27">
        <v>78653.662500000006</v>
      </c>
      <c r="N992" s="30" t="s">
        <v>6</v>
      </c>
      <c r="O992" s="28" t="s">
        <v>8</v>
      </c>
      <c r="P992"/>
    </row>
    <row r="993" spans="1:16" x14ac:dyDescent="0.35">
      <c r="A993" s="4">
        <v>990</v>
      </c>
      <c r="B993" s="17">
        <v>46053.978472222225</v>
      </c>
      <c r="C993" s="1">
        <v>78867.460000000006</v>
      </c>
      <c r="D993" s="20">
        <v>78954.960000000006</v>
      </c>
      <c r="E993" s="20">
        <v>78811.360000000001</v>
      </c>
      <c r="F993" s="1">
        <v>78922.45</v>
      </c>
      <c r="G993" s="18">
        <v>275</v>
      </c>
      <c r="I993" s="21">
        <v>46053.978472222225</v>
      </c>
      <c r="J993" s="26"/>
      <c r="K993" s="29"/>
      <c r="L993" s="27">
        <v>79162.855450000003</v>
      </c>
      <c r="M993" s="27">
        <v>78696.884999999995</v>
      </c>
      <c r="N993" s="30" t="s">
        <v>6</v>
      </c>
      <c r="O993" s="28" t="s">
        <v>8</v>
      </c>
      <c r="P993"/>
    </row>
    <row r="994" spans="1:16" x14ac:dyDescent="0.35">
      <c r="A994" s="4">
        <v>991</v>
      </c>
      <c r="B994" s="17">
        <v>46053.979166666664</v>
      </c>
      <c r="C994" s="1">
        <v>78918.97</v>
      </c>
      <c r="D994" s="20">
        <v>78938.03</v>
      </c>
      <c r="E994" s="20">
        <v>78856.73</v>
      </c>
      <c r="F994" s="1">
        <v>78899.05</v>
      </c>
      <c r="G994" s="18">
        <v>268</v>
      </c>
      <c r="I994" s="21">
        <v>46053.979166666664</v>
      </c>
      <c r="J994" s="26"/>
      <c r="K994" s="29"/>
      <c r="L994" s="27">
        <v>79158.004549999998</v>
      </c>
      <c r="M994" s="27">
        <v>78740.107499999998</v>
      </c>
      <c r="N994" s="30" t="s">
        <v>6</v>
      </c>
      <c r="O994" s="28" t="s">
        <v>8</v>
      </c>
      <c r="P994"/>
    </row>
    <row r="995" spans="1:16" x14ac:dyDescent="0.35">
      <c r="A995" s="4">
        <v>992</v>
      </c>
      <c r="B995" s="17">
        <v>46053.979861111111</v>
      </c>
      <c r="C995" s="1">
        <v>78889.34</v>
      </c>
      <c r="D995" s="20">
        <v>78889.34</v>
      </c>
      <c r="E995" s="20">
        <v>78783.33</v>
      </c>
      <c r="F995" s="1">
        <v>78812.28</v>
      </c>
      <c r="G995" s="18">
        <v>270</v>
      </c>
      <c r="I995" s="21">
        <v>46053.979861111111</v>
      </c>
      <c r="J995" s="26"/>
      <c r="K995" s="29">
        <v>78783.33</v>
      </c>
      <c r="L995" s="27">
        <v>79153.153640000004</v>
      </c>
      <c r="M995" s="27">
        <v>78783.33</v>
      </c>
      <c r="N995" s="30" t="s">
        <v>6</v>
      </c>
      <c r="O995" s="28" t="s">
        <v>8</v>
      </c>
      <c r="P995"/>
    </row>
    <row r="996" spans="1:16" x14ac:dyDescent="0.35">
      <c r="A996" s="4">
        <v>993</v>
      </c>
      <c r="B996" s="17">
        <v>46053.980555555558</v>
      </c>
      <c r="C996" s="1">
        <v>78813.91</v>
      </c>
      <c r="D996" s="20">
        <v>78882.7</v>
      </c>
      <c r="E996" s="20">
        <v>78811.740000000005</v>
      </c>
      <c r="F996" s="1">
        <v>78873.31</v>
      </c>
      <c r="G996" s="18">
        <v>201</v>
      </c>
      <c r="I996" s="21">
        <v>46053.980555555558</v>
      </c>
      <c r="J996" s="26"/>
      <c r="K996" s="29"/>
      <c r="L996" s="27">
        <v>79148.302729999996</v>
      </c>
      <c r="M996" s="27">
        <v>78788.675709999996</v>
      </c>
      <c r="N996" s="30" t="s">
        <v>6</v>
      </c>
      <c r="O996" s="28" t="s">
        <v>8</v>
      </c>
      <c r="P996"/>
    </row>
    <row r="997" spans="1:16" x14ac:dyDescent="0.35">
      <c r="A997" s="4">
        <v>994</v>
      </c>
      <c r="B997" s="17">
        <v>46053.981249999997</v>
      </c>
      <c r="C997" s="1">
        <v>78873.31</v>
      </c>
      <c r="D997" s="20">
        <v>79011.45</v>
      </c>
      <c r="E997" s="20">
        <v>78839.61</v>
      </c>
      <c r="F997" s="1">
        <v>78993.14</v>
      </c>
      <c r="G997" s="18">
        <v>242</v>
      </c>
      <c r="I997" s="21">
        <v>46053.981249999997</v>
      </c>
      <c r="J997" s="26"/>
      <c r="K997" s="29"/>
      <c r="L997" s="27">
        <v>79143.451820000002</v>
      </c>
      <c r="M997" s="27">
        <v>78794.021429999993</v>
      </c>
      <c r="N997" s="30" t="s">
        <v>6</v>
      </c>
      <c r="O997" s="28" t="s">
        <v>8</v>
      </c>
      <c r="P997"/>
    </row>
    <row r="998" spans="1:16" x14ac:dyDescent="0.35">
      <c r="A998" s="4">
        <v>995</v>
      </c>
      <c r="B998" s="17">
        <v>46053.981944444444</v>
      </c>
      <c r="C998" s="1">
        <v>78993.61</v>
      </c>
      <c r="D998" s="20">
        <v>79069.72</v>
      </c>
      <c r="E998" s="20">
        <v>78969.539999999994</v>
      </c>
      <c r="F998" s="1">
        <v>79069.72</v>
      </c>
      <c r="G998" s="18">
        <v>232</v>
      </c>
      <c r="I998" s="21">
        <v>46053.981944444444</v>
      </c>
      <c r="J998" s="26"/>
      <c r="K998" s="29"/>
      <c r="L998" s="27">
        <v>79138.600909999994</v>
      </c>
      <c r="M998" s="27">
        <v>78799.367140000002</v>
      </c>
      <c r="N998" s="30" t="s">
        <v>6</v>
      </c>
      <c r="O998" s="28" t="s">
        <v>8</v>
      </c>
      <c r="P998"/>
    </row>
    <row r="999" spans="1:16" x14ac:dyDescent="0.35">
      <c r="A999" s="4">
        <v>996</v>
      </c>
      <c r="B999" s="17">
        <v>46053.982638888891</v>
      </c>
      <c r="C999" s="1">
        <v>79092.399999999994</v>
      </c>
      <c r="D999" s="20">
        <v>79133.75</v>
      </c>
      <c r="E999" s="20">
        <v>79076.509999999995</v>
      </c>
      <c r="F999" s="1">
        <v>79116.149999999994</v>
      </c>
      <c r="G999" s="18">
        <v>265</v>
      </c>
      <c r="I999" s="21">
        <v>46053.982638888891</v>
      </c>
      <c r="J999" s="26">
        <v>79133.75</v>
      </c>
      <c r="K999" s="29"/>
      <c r="L999" s="27">
        <v>79133.75</v>
      </c>
      <c r="M999" s="27">
        <v>78804.71286</v>
      </c>
      <c r="N999" s="30" t="s">
        <v>6</v>
      </c>
      <c r="O999" s="28" t="s">
        <v>8</v>
      </c>
      <c r="P999"/>
    </row>
    <row r="1000" spans="1:16" x14ac:dyDescent="0.35">
      <c r="A1000" s="4">
        <v>997</v>
      </c>
      <c r="B1000" s="17">
        <v>46053.98333333333</v>
      </c>
      <c r="C1000" s="1">
        <v>79116.009999999995</v>
      </c>
      <c r="D1000" s="20">
        <v>79120.45</v>
      </c>
      <c r="E1000" s="20">
        <v>79040.5</v>
      </c>
      <c r="F1000" s="1">
        <v>79040.5</v>
      </c>
      <c r="G1000" s="18">
        <v>251</v>
      </c>
      <c r="I1000" s="21">
        <v>46053.98333333333</v>
      </c>
      <c r="J1000" s="26"/>
      <c r="K1000" s="29"/>
      <c r="L1000" s="27">
        <v>79107.67</v>
      </c>
      <c r="M1000" s="27">
        <v>78810.058569999994</v>
      </c>
      <c r="N1000" s="30" t="s">
        <v>6</v>
      </c>
      <c r="O1000" s="28" t="s">
        <v>8</v>
      </c>
      <c r="P1000"/>
    </row>
    <row r="1001" spans="1:16" x14ac:dyDescent="0.35">
      <c r="A1001" s="4">
        <v>998</v>
      </c>
      <c r="B1001" s="17">
        <v>46053.984027777777</v>
      </c>
      <c r="C1001" s="1">
        <v>79040.5</v>
      </c>
      <c r="D1001" s="20">
        <v>79047.67</v>
      </c>
      <c r="E1001" s="20">
        <v>78982.14</v>
      </c>
      <c r="F1001" s="1">
        <v>79039.149999999994</v>
      </c>
      <c r="G1001" s="18">
        <v>262</v>
      </c>
      <c r="I1001" s="21">
        <v>46053.984027777777</v>
      </c>
      <c r="J1001" s="26"/>
      <c r="K1001" s="29"/>
      <c r="L1001" s="27">
        <v>79081.59</v>
      </c>
      <c r="M1001" s="27">
        <v>78815.404290000006</v>
      </c>
      <c r="N1001" s="30" t="s">
        <v>6</v>
      </c>
      <c r="O1001" s="28" t="s">
        <v>8</v>
      </c>
      <c r="P1001"/>
    </row>
    <row r="1002" spans="1:16" x14ac:dyDescent="0.35">
      <c r="A1002" s="4">
        <v>999</v>
      </c>
      <c r="B1002" s="17">
        <v>46053.984722222223</v>
      </c>
      <c r="C1002" s="1">
        <v>79039.360000000001</v>
      </c>
      <c r="D1002" s="20">
        <v>79039.360000000001</v>
      </c>
      <c r="E1002" s="20">
        <v>78820.75</v>
      </c>
      <c r="F1002" s="1">
        <v>78845.100000000006</v>
      </c>
      <c r="G1002" s="18">
        <v>267</v>
      </c>
      <c r="I1002" s="21">
        <v>46053.984722222223</v>
      </c>
      <c r="J1002" s="26"/>
      <c r="K1002" s="29">
        <v>78820.75</v>
      </c>
      <c r="L1002" s="27">
        <v>79055.509999999995</v>
      </c>
      <c r="M1002" s="27">
        <v>78820.75</v>
      </c>
      <c r="N1002" s="30" t="s">
        <v>6</v>
      </c>
      <c r="O1002" s="28" t="s">
        <v>8</v>
      </c>
      <c r="P1002"/>
    </row>
    <row r="1003" spans="1:16" x14ac:dyDescent="0.35">
      <c r="A1003" s="4">
        <v>1000</v>
      </c>
      <c r="B1003" s="17">
        <v>46053.98541666667</v>
      </c>
      <c r="C1003" s="1">
        <v>78845.539999999994</v>
      </c>
      <c r="D1003" s="20">
        <v>78903.97</v>
      </c>
      <c r="E1003" s="20">
        <v>78845.52</v>
      </c>
      <c r="F1003" s="1">
        <v>78861.490000000005</v>
      </c>
      <c r="G1003" s="18">
        <v>252</v>
      </c>
      <c r="I1003" s="21">
        <v>46053.98541666667</v>
      </c>
      <c r="J1003" s="26"/>
      <c r="K1003" s="29"/>
      <c r="L1003" s="27">
        <v>79029.429999999993</v>
      </c>
      <c r="M1003" s="27">
        <v>78792.210000000006</v>
      </c>
      <c r="N1003" s="30" t="s">
        <v>6</v>
      </c>
      <c r="O1003" s="28" t="s">
        <v>13</v>
      </c>
      <c r="P1003"/>
    </row>
    <row r="1004" spans="1:16" x14ac:dyDescent="0.35">
      <c r="A1004" s="4">
        <v>1001</v>
      </c>
      <c r="B1004" s="17">
        <v>46053.986111111109</v>
      </c>
      <c r="C1004" s="1">
        <v>78860.649999999994</v>
      </c>
      <c r="D1004" s="20">
        <v>78963.820000000007</v>
      </c>
      <c r="E1004" s="20">
        <v>78857.45</v>
      </c>
      <c r="F1004" s="1">
        <v>78963.820000000007</v>
      </c>
      <c r="G1004" s="18">
        <v>229</v>
      </c>
      <c r="I1004" s="21">
        <v>46053.986111111109</v>
      </c>
      <c r="J1004" s="26"/>
      <c r="K1004" s="29"/>
      <c r="L1004" s="27">
        <v>79003.350000000006</v>
      </c>
      <c r="M1004" s="27">
        <v>78763.67</v>
      </c>
      <c r="N1004" s="30" t="s">
        <v>6</v>
      </c>
      <c r="O1004" s="28" t="s">
        <v>13</v>
      </c>
      <c r="P1004"/>
    </row>
    <row r="1005" spans="1:16" x14ac:dyDescent="0.35">
      <c r="A1005" s="4">
        <v>1002</v>
      </c>
      <c r="B1005" s="17">
        <v>46053.986805555556</v>
      </c>
      <c r="C1005" s="1">
        <v>78968.97</v>
      </c>
      <c r="D1005" s="20">
        <v>78977.27</v>
      </c>
      <c r="E1005" s="20">
        <v>78870.94</v>
      </c>
      <c r="F1005" s="1">
        <v>78870.94</v>
      </c>
      <c r="G1005" s="18">
        <v>237</v>
      </c>
      <c r="I1005" s="21">
        <v>46053.986805555556</v>
      </c>
      <c r="J1005" s="26">
        <v>78977.27</v>
      </c>
      <c r="K1005" s="29"/>
      <c r="L1005" s="27">
        <v>78977.27</v>
      </c>
      <c r="M1005" s="27">
        <v>78735.13</v>
      </c>
      <c r="N1005" s="30" t="s">
        <v>6</v>
      </c>
      <c r="O1005" s="28" t="s">
        <v>13</v>
      </c>
      <c r="P1005"/>
    </row>
    <row r="1006" spans="1:16" x14ac:dyDescent="0.35">
      <c r="A1006" s="4">
        <v>1003</v>
      </c>
      <c r="B1006" s="17">
        <v>46053.987500000003</v>
      </c>
      <c r="C1006" s="1">
        <v>78870.89</v>
      </c>
      <c r="D1006" s="20">
        <v>78870.89</v>
      </c>
      <c r="E1006" s="20">
        <v>78798</v>
      </c>
      <c r="F1006" s="1">
        <v>78853.7</v>
      </c>
      <c r="G1006" s="18">
        <v>218</v>
      </c>
      <c r="I1006" s="21">
        <v>46053.987500000003</v>
      </c>
      <c r="J1006" s="26"/>
      <c r="K1006" s="29"/>
      <c r="L1006" s="27">
        <v>78970.799169999998</v>
      </c>
      <c r="M1006" s="27">
        <v>78706.59</v>
      </c>
      <c r="N1006" s="30" t="s">
        <v>6</v>
      </c>
      <c r="O1006" s="28" t="s">
        <v>13</v>
      </c>
      <c r="P1006"/>
    </row>
    <row r="1007" spans="1:16" x14ac:dyDescent="0.35">
      <c r="A1007" s="4">
        <v>1004</v>
      </c>
      <c r="B1007" s="17">
        <v>46053.988194444442</v>
      </c>
      <c r="C1007" s="1">
        <v>78853.710000000006</v>
      </c>
      <c r="D1007" s="20">
        <v>78854.73</v>
      </c>
      <c r="E1007" s="20">
        <v>78714.11</v>
      </c>
      <c r="F1007" s="1">
        <v>78724.84</v>
      </c>
      <c r="G1007" s="18">
        <v>251</v>
      </c>
      <c r="I1007" s="21">
        <v>46053.988194444442</v>
      </c>
      <c r="J1007" s="26"/>
      <c r="K1007" s="29"/>
      <c r="L1007" s="27">
        <v>78964.328330000004</v>
      </c>
      <c r="M1007" s="27">
        <v>78678.05</v>
      </c>
      <c r="N1007" s="30" t="s">
        <v>6</v>
      </c>
      <c r="O1007" s="28" t="s">
        <v>13</v>
      </c>
      <c r="P1007"/>
    </row>
    <row r="1008" spans="1:16" x14ac:dyDescent="0.35">
      <c r="A1008" s="4">
        <v>1005</v>
      </c>
      <c r="B1008" s="17">
        <v>46053.988888888889</v>
      </c>
      <c r="C1008" s="1">
        <v>78725.350000000006</v>
      </c>
      <c r="D1008" s="20">
        <v>78798.25</v>
      </c>
      <c r="E1008" s="20">
        <v>78725.33</v>
      </c>
      <c r="F1008" s="1">
        <v>78786.11</v>
      </c>
      <c r="G1008" s="18">
        <v>215</v>
      </c>
      <c r="I1008" s="21">
        <v>46053.988888888889</v>
      </c>
      <c r="J1008" s="26"/>
      <c r="K1008" s="29"/>
      <c r="L1008" s="27">
        <v>78957.857499999998</v>
      </c>
      <c r="M1008" s="27">
        <v>78649.509999999995</v>
      </c>
      <c r="N1008" s="30" t="s">
        <v>6</v>
      </c>
      <c r="O1008" s="28" t="s">
        <v>13</v>
      </c>
      <c r="P1008"/>
    </row>
    <row r="1009" spans="1:16" x14ac:dyDescent="0.35">
      <c r="A1009" s="4">
        <v>1006</v>
      </c>
      <c r="B1009" s="17">
        <v>46053.989583333336</v>
      </c>
      <c r="C1009" s="1">
        <v>78792</v>
      </c>
      <c r="D1009" s="20">
        <v>78818.149999999994</v>
      </c>
      <c r="E1009" s="20">
        <v>78656.62</v>
      </c>
      <c r="F1009" s="1">
        <v>78656.62</v>
      </c>
      <c r="G1009" s="18">
        <v>238</v>
      </c>
      <c r="I1009" s="21">
        <v>46053.989583333336</v>
      </c>
      <c r="J1009" s="26"/>
      <c r="K1009" s="29"/>
      <c r="L1009" s="27">
        <v>78951.386670000007</v>
      </c>
      <c r="M1009" s="27">
        <v>78620.97</v>
      </c>
      <c r="N1009" s="30" t="s">
        <v>6</v>
      </c>
      <c r="O1009" s="28" t="s">
        <v>13</v>
      </c>
      <c r="P1009"/>
    </row>
    <row r="1010" spans="1:16" x14ac:dyDescent="0.35">
      <c r="A1010" s="4">
        <v>1007</v>
      </c>
      <c r="B1010" s="17">
        <v>46053.990277777775</v>
      </c>
      <c r="C1010" s="1">
        <v>78659.92</v>
      </c>
      <c r="D1010" s="20">
        <v>78758.12</v>
      </c>
      <c r="E1010" s="20">
        <v>78592.429999999993</v>
      </c>
      <c r="F1010" s="1">
        <v>78747.13</v>
      </c>
      <c r="G1010" s="18">
        <v>279</v>
      </c>
      <c r="I1010" s="21">
        <v>46053.990277777775</v>
      </c>
      <c r="J1010" s="26"/>
      <c r="K1010" s="29">
        <v>78592.429999999993</v>
      </c>
      <c r="L1010" s="27">
        <v>78944.915829999998</v>
      </c>
      <c r="M1010" s="27">
        <v>78592.429999999993</v>
      </c>
      <c r="N1010" s="30" t="s">
        <v>6</v>
      </c>
      <c r="O1010" s="28" t="s">
        <v>13</v>
      </c>
      <c r="P1010"/>
    </row>
    <row r="1011" spans="1:16" x14ac:dyDescent="0.35">
      <c r="A1011" s="4">
        <v>1008</v>
      </c>
      <c r="B1011" s="17">
        <v>46053.990972222222</v>
      </c>
      <c r="C1011" s="1">
        <v>78738.850000000006</v>
      </c>
      <c r="D1011" s="20">
        <v>78739.56</v>
      </c>
      <c r="E1011" s="20">
        <v>78634.320000000007</v>
      </c>
      <c r="F1011" s="1">
        <v>78634.320000000007</v>
      </c>
      <c r="G1011" s="18">
        <v>257</v>
      </c>
      <c r="I1011" s="21">
        <v>46053.990972222222</v>
      </c>
      <c r="J1011" s="26"/>
      <c r="K1011" s="29"/>
      <c r="L1011" s="27">
        <v>78938.445000000007</v>
      </c>
      <c r="M1011" s="27">
        <v>78597.994439999995</v>
      </c>
      <c r="N1011" s="30" t="s">
        <v>6</v>
      </c>
      <c r="O1011" s="28" t="s">
        <v>8</v>
      </c>
      <c r="P1011"/>
    </row>
    <row r="1012" spans="1:16" x14ac:dyDescent="0.35">
      <c r="A1012" s="4">
        <v>1009</v>
      </c>
      <c r="B1012" s="17">
        <v>46053.991666666669</v>
      </c>
      <c r="C1012" s="1">
        <v>78634.320000000007</v>
      </c>
      <c r="D1012" s="20">
        <v>78696.69</v>
      </c>
      <c r="E1012" s="20">
        <v>78634.320000000007</v>
      </c>
      <c r="F1012" s="1">
        <v>78688.92</v>
      </c>
      <c r="G1012" s="18">
        <v>218</v>
      </c>
      <c r="I1012" s="21">
        <v>46053.991666666669</v>
      </c>
      <c r="J1012" s="26"/>
      <c r="K1012" s="29"/>
      <c r="L1012" s="27">
        <v>78931.974170000001</v>
      </c>
      <c r="M1012" s="27">
        <v>78603.55889</v>
      </c>
      <c r="N1012" s="30" t="s">
        <v>6</v>
      </c>
      <c r="O1012" s="28" t="s">
        <v>8</v>
      </c>
      <c r="P1012"/>
    </row>
    <row r="1013" spans="1:16" x14ac:dyDescent="0.35">
      <c r="A1013" s="4">
        <v>1010</v>
      </c>
      <c r="B1013" s="17">
        <v>46053.992361111108</v>
      </c>
      <c r="C1013" s="1">
        <v>78691.149999999994</v>
      </c>
      <c r="D1013" s="20">
        <v>78745.33</v>
      </c>
      <c r="E1013" s="20">
        <v>78667.06</v>
      </c>
      <c r="F1013" s="1">
        <v>78696.28</v>
      </c>
      <c r="G1013" s="18">
        <v>213</v>
      </c>
      <c r="I1013" s="21">
        <v>46053.992361111108</v>
      </c>
      <c r="J1013" s="26"/>
      <c r="K1013" s="29"/>
      <c r="L1013" s="27">
        <v>78925.503330000007</v>
      </c>
      <c r="M1013" s="27">
        <v>78609.123330000002</v>
      </c>
      <c r="N1013" s="30" t="s">
        <v>6</v>
      </c>
      <c r="O1013" s="28" t="s">
        <v>8</v>
      </c>
      <c r="P1013"/>
    </row>
    <row r="1014" spans="1:16" x14ac:dyDescent="0.35">
      <c r="A1014" s="4">
        <v>1011</v>
      </c>
      <c r="B1014" s="17">
        <v>46053.993055555555</v>
      </c>
      <c r="C1014" s="1">
        <v>78685</v>
      </c>
      <c r="D1014" s="20">
        <v>78772.13</v>
      </c>
      <c r="E1014" s="20">
        <v>78685</v>
      </c>
      <c r="F1014" s="1">
        <v>78772.13</v>
      </c>
      <c r="G1014" s="18">
        <v>213</v>
      </c>
      <c r="I1014" s="21">
        <v>46053.993055555555</v>
      </c>
      <c r="J1014" s="26"/>
      <c r="K1014" s="29"/>
      <c r="L1014" s="27">
        <v>78919.032500000001</v>
      </c>
      <c r="M1014" s="27">
        <v>78614.687779999993</v>
      </c>
      <c r="N1014" s="30" t="s">
        <v>6</v>
      </c>
      <c r="O1014" s="28" t="s">
        <v>8</v>
      </c>
      <c r="P1014"/>
    </row>
    <row r="1015" spans="1:16" x14ac:dyDescent="0.35">
      <c r="A1015" s="4">
        <v>1012</v>
      </c>
      <c r="B1015" s="17">
        <v>46053.993750000001</v>
      </c>
      <c r="C1015" s="1">
        <v>78772.13</v>
      </c>
      <c r="D1015" s="20">
        <v>78826.44</v>
      </c>
      <c r="E1015" s="20">
        <v>78751.320000000007</v>
      </c>
      <c r="F1015" s="1">
        <v>78813.149999999994</v>
      </c>
      <c r="G1015" s="18">
        <v>197</v>
      </c>
      <c r="I1015" s="21">
        <v>46053.993750000001</v>
      </c>
      <c r="J1015" s="26"/>
      <c r="K1015" s="29"/>
      <c r="L1015" s="27">
        <v>78912.561669999996</v>
      </c>
      <c r="M1015" s="27">
        <v>78620.252219999995</v>
      </c>
      <c r="N1015" s="30" t="s">
        <v>6</v>
      </c>
      <c r="O1015" s="28" t="s">
        <v>8</v>
      </c>
      <c r="P1015"/>
    </row>
    <row r="1016" spans="1:16" x14ac:dyDescent="0.35">
      <c r="A1016" s="4">
        <v>1013</v>
      </c>
      <c r="B1016" s="17">
        <v>46053.994444444441</v>
      </c>
      <c r="C1016" s="1">
        <v>78813.14</v>
      </c>
      <c r="D1016" s="20">
        <v>78854.429999999993</v>
      </c>
      <c r="E1016" s="20">
        <v>78787.44</v>
      </c>
      <c r="F1016" s="1">
        <v>78849.42</v>
      </c>
      <c r="G1016" s="18">
        <v>225</v>
      </c>
      <c r="I1016" s="21">
        <v>46053.994444444441</v>
      </c>
      <c r="J1016" s="26"/>
      <c r="K1016" s="29"/>
      <c r="L1016" s="27">
        <v>78906.090830000001</v>
      </c>
      <c r="M1016" s="27">
        <v>78625.81667</v>
      </c>
      <c r="N1016" s="30" t="s">
        <v>6</v>
      </c>
      <c r="O1016" s="28" t="s">
        <v>8</v>
      </c>
      <c r="P1016"/>
    </row>
    <row r="1017" spans="1:16" x14ac:dyDescent="0.35">
      <c r="A1017" s="4">
        <v>1014</v>
      </c>
      <c r="B1017" s="17">
        <v>46053.995138888888</v>
      </c>
      <c r="C1017" s="1">
        <v>78849.42</v>
      </c>
      <c r="D1017" s="20">
        <v>78899.62</v>
      </c>
      <c r="E1017" s="20">
        <v>78828.509999999995</v>
      </c>
      <c r="F1017" s="1">
        <v>78849.919999999998</v>
      </c>
      <c r="G1017" s="18">
        <v>233</v>
      </c>
      <c r="I1017" s="21">
        <v>46053.995138888888</v>
      </c>
      <c r="J1017" s="26">
        <v>78899.62</v>
      </c>
      <c r="K1017" s="29"/>
      <c r="L1017" s="27">
        <v>78899.62</v>
      </c>
      <c r="M1017" s="27">
        <v>78631.381110000002</v>
      </c>
      <c r="N1017" s="30" t="s">
        <v>6</v>
      </c>
      <c r="O1017" s="28" t="s">
        <v>8</v>
      </c>
      <c r="P1017"/>
    </row>
    <row r="1018" spans="1:16" x14ac:dyDescent="0.35">
      <c r="A1018" s="4">
        <v>1015</v>
      </c>
      <c r="B1018" s="17">
        <v>46053.995833333334</v>
      </c>
      <c r="C1018" s="1">
        <v>78849.929999999993</v>
      </c>
      <c r="D1018" s="20">
        <v>78855.320000000007</v>
      </c>
      <c r="E1018" s="20">
        <v>78699.11</v>
      </c>
      <c r="F1018" s="1">
        <v>78717.5</v>
      </c>
      <c r="G1018" s="18">
        <v>228</v>
      </c>
      <c r="I1018" s="21">
        <v>46053.995833333334</v>
      </c>
      <c r="J1018" s="26"/>
      <c r="K1018" s="29"/>
      <c r="L1018" s="27">
        <v>78867.240000000005</v>
      </c>
      <c r="M1018" s="27">
        <v>78636.945559999993</v>
      </c>
      <c r="N1018" s="30" t="s">
        <v>6</v>
      </c>
      <c r="O1018" s="28" t="s">
        <v>8</v>
      </c>
      <c r="P1018"/>
    </row>
    <row r="1019" spans="1:16" x14ac:dyDescent="0.35">
      <c r="A1019" s="4">
        <v>1016</v>
      </c>
      <c r="B1019" s="17">
        <v>46053.996527777781</v>
      </c>
      <c r="C1019" s="1">
        <v>78716.58</v>
      </c>
      <c r="D1019" s="20">
        <v>78744.27</v>
      </c>
      <c r="E1019" s="20">
        <v>78642.509999999995</v>
      </c>
      <c r="F1019" s="1">
        <v>78642.509999999995</v>
      </c>
      <c r="G1019" s="18">
        <v>244</v>
      </c>
      <c r="I1019" s="21">
        <v>46053.996527777781</v>
      </c>
      <c r="J1019" s="26"/>
      <c r="K1019" s="29">
        <v>78642.509999999995</v>
      </c>
      <c r="L1019" s="27">
        <v>78834.86</v>
      </c>
      <c r="M1019" s="27">
        <v>78642.509999999995</v>
      </c>
      <c r="N1019" s="30" t="s">
        <v>6</v>
      </c>
      <c r="O1019" s="28" t="s">
        <v>8</v>
      </c>
      <c r="P1019"/>
    </row>
    <row r="1020" spans="1:16" x14ac:dyDescent="0.35">
      <c r="A1020" s="4">
        <v>1017</v>
      </c>
      <c r="B1020" s="17">
        <v>46053.99722222222</v>
      </c>
      <c r="C1020" s="1">
        <v>78669.02</v>
      </c>
      <c r="D1020" s="20">
        <v>78747.11</v>
      </c>
      <c r="E1020" s="20">
        <v>78669.02</v>
      </c>
      <c r="F1020" s="1">
        <v>78717.960000000006</v>
      </c>
      <c r="G1020" s="18">
        <v>213</v>
      </c>
      <c r="I1020" s="21">
        <v>46053.99722222222</v>
      </c>
      <c r="J1020" s="26"/>
      <c r="K1020" s="29"/>
      <c r="L1020" s="27">
        <v>78802.48</v>
      </c>
      <c r="M1020" s="27">
        <v>78631.565000000002</v>
      </c>
      <c r="N1020" s="30" t="s">
        <v>6</v>
      </c>
      <c r="O1020" s="28" t="s">
        <v>13</v>
      </c>
      <c r="P1020"/>
    </row>
    <row r="1021" spans="1:16" x14ac:dyDescent="0.35">
      <c r="A1021" s="4">
        <v>1018</v>
      </c>
      <c r="B1021" s="17">
        <v>46053.997916666667</v>
      </c>
      <c r="C1021" s="1">
        <v>78721.42</v>
      </c>
      <c r="D1021" s="20">
        <v>78770.100000000006</v>
      </c>
      <c r="E1021" s="20">
        <v>78694.429999999993</v>
      </c>
      <c r="F1021" s="1">
        <v>78700.399999999994</v>
      </c>
      <c r="G1021" s="18">
        <v>221</v>
      </c>
      <c r="I1021" s="21">
        <v>46053.997916666667</v>
      </c>
      <c r="J1021" s="26">
        <v>78770.100000000006</v>
      </c>
      <c r="K1021" s="29"/>
      <c r="L1021" s="27">
        <v>78770.100000000006</v>
      </c>
      <c r="M1021" s="27">
        <v>78620.62</v>
      </c>
      <c r="N1021" s="30" t="s">
        <v>6</v>
      </c>
      <c r="O1021" s="28" t="s">
        <v>13</v>
      </c>
      <c r="P1021"/>
    </row>
    <row r="1022" spans="1:16" x14ac:dyDescent="0.35">
      <c r="A1022" s="4">
        <v>1019</v>
      </c>
      <c r="B1022" s="17">
        <v>46053.998611111114</v>
      </c>
      <c r="C1022" s="1">
        <v>78694.84</v>
      </c>
      <c r="D1022" s="20">
        <v>78694.84</v>
      </c>
      <c r="E1022" s="20">
        <v>78646.16</v>
      </c>
      <c r="F1022" s="1">
        <v>78670.41</v>
      </c>
      <c r="G1022" s="18">
        <v>231</v>
      </c>
      <c r="I1022" s="21">
        <v>46053.998611111114</v>
      </c>
      <c r="J1022" s="26"/>
      <c r="K1022" s="29"/>
      <c r="L1022" s="27">
        <v>78801.910529999994</v>
      </c>
      <c r="M1022" s="27">
        <v>78609.675000000003</v>
      </c>
      <c r="N1022" s="30" t="s">
        <v>7</v>
      </c>
      <c r="O1022" s="28" t="s">
        <v>13</v>
      </c>
      <c r="P1022"/>
    </row>
    <row r="1023" spans="1:16" x14ac:dyDescent="0.35">
      <c r="A1023" s="4">
        <v>1020</v>
      </c>
      <c r="B1023" s="17">
        <v>46053.999305555553</v>
      </c>
      <c r="C1023" s="1">
        <v>78670.41</v>
      </c>
      <c r="D1023" s="20">
        <v>78740.02</v>
      </c>
      <c r="E1023" s="20">
        <v>78598.73</v>
      </c>
      <c r="F1023" s="1">
        <v>78684.160000000003</v>
      </c>
      <c r="G1023" s="18">
        <v>230</v>
      </c>
      <c r="I1023" s="21">
        <v>46053.999305555553</v>
      </c>
      <c r="J1023" s="26"/>
      <c r="K1023" s="29">
        <v>78598.73</v>
      </c>
      <c r="L1023" s="27">
        <v>78833.721049999993</v>
      </c>
      <c r="M1023" s="27">
        <v>78598.73</v>
      </c>
      <c r="N1023" s="30" t="s">
        <v>7</v>
      </c>
      <c r="O1023" s="28" t="s">
        <v>13</v>
      </c>
      <c r="P1023"/>
    </row>
    <row r="1024" spans="1:16" x14ac:dyDescent="0.35">
      <c r="A1024" s="4">
        <v>1021</v>
      </c>
      <c r="B1024" s="17">
        <v>46054</v>
      </c>
      <c r="C1024" s="1">
        <v>78705.509999999995</v>
      </c>
      <c r="D1024" s="20">
        <v>78730.600000000006</v>
      </c>
      <c r="E1024" s="20">
        <v>78633.67</v>
      </c>
      <c r="F1024" s="1">
        <v>78637.98</v>
      </c>
      <c r="G1024" s="18">
        <v>223</v>
      </c>
      <c r="I1024" s="21">
        <v>46054</v>
      </c>
      <c r="J1024" s="26"/>
      <c r="K1024" s="29"/>
      <c r="L1024" s="27">
        <v>78865.531579999995</v>
      </c>
      <c r="M1024" s="27">
        <v>78627.557369999995</v>
      </c>
      <c r="N1024" s="30" t="s">
        <v>7</v>
      </c>
      <c r="O1024" s="28" t="s">
        <v>8</v>
      </c>
      <c r="P1024"/>
    </row>
    <row r="1025" spans="1:16" x14ac:dyDescent="0.35">
      <c r="A1025" s="4">
        <v>1022</v>
      </c>
      <c r="B1025" s="17">
        <v>46054.000694444447</v>
      </c>
      <c r="C1025" s="1">
        <v>78637.59</v>
      </c>
      <c r="D1025" s="20">
        <v>78637.59</v>
      </c>
      <c r="E1025" s="20">
        <v>78599.960000000006</v>
      </c>
      <c r="F1025" s="1">
        <v>78631.710000000006</v>
      </c>
      <c r="G1025" s="18">
        <v>245</v>
      </c>
      <c r="I1025" s="21">
        <v>46054.000694444447</v>
      </c>
      <c r="J1025" s="26"/>
      <c r="K1025" s="29"/>
      <c r="L1025" s="27">
        <v>78897.342109999998</v>
      </c>
      <c r="M1025" s="27">
        <v>78656.384739999994</v>
      </c>
      <c r="N1025" s="30" t="s">
        <v>7</v>
      </c>
      <c r="O1025" s="28" t="s">
        <v>8</v>
      </c>
      <c r="P1025"/>
    </row>
    <row r="1026" spans="1:16" x14ac:dyDescent="0.35">
      <c r="A1026" s="4">
        <v>1023</v>
      </c>
      <c r="B1026" s="17">
        <v>46054.001388888886</v>
      </c>
      <c r="C1026" s="1">
        <v>78631.64</v>
      </c>
      <c r="D1026" s="20">
        <v>78779.34</v>
      </c>
      <c r="E1026" s="20">
        <v>78623.360000000001</v>
      </c>
      <c r="F1026" s="1">
        <v>78779.33</v>
      </c>
      <c r="G1026" s="18">
        <v>250</v>
      </c>
      <c r="I1026" s="21">
        <v>46054.001388888886</v>
      </c>
      <c r="J1026" s="26"/>
      <c r="K1026" s="29"/>
      <c r="L1026" s="27">
        <v>78929.152629999997</v>
      </c>
      <c r="M1026" s="27">
        <v>78685.212109999993</v>
      </c>
      <c r="N1026" s="30" t="s">
        <v>7</v>
      </c>
      <c r="O1026" s="28" t="s">
        <v>8</v>
      </c>
      <c r="P1026"/>
    </row>
    <row r="1027" spans="1:16" x14ac:dyDescent="0.35">
      <c r="A1027" s="4">
        <v>1024</v>
      </c>
      <c r="B1027" s="17">
        <v>46054.002083333333</v>
      </c>
      <c r="C1027" s="1">
        <v>78772.31</v>
      </c>
      <c r="D1027" s="20">
        <v>78856.55</v>
      </c>
      <c r="E1027" s="20">
        <v>78752.2</v>
      </c>
      <c r="F1027" s="1">
        <v>78842.78</v>
      </c>
      <c r="G1027" s="18">
        <v>277</v>
      </c>
      <c r="I1027" s="21">
        <v>46054.002083333333</v>
      </c>
      <c r="J1027" s="26"/>
      <c r="K1027" s="29"/>
      <c r="L1027" s="27">
        <v>78960.963159999999</v>
      </c>
      <c r="M1027" s="27">
        <v>78714.039470000003</v>
      </c>
      <c r="N1027" s="30" t="s">
        <v>7</v>
      </c>
      <c r="O1027" s="28" t="s">
        <v>8</v>
      </c>
      <c r="P1027"/>
    </row>
    <row r="1028" spans="1:16" x14ac:dyDescent="0.35">
      <c r="A1028" s="4">
        <v>1025</v>
      </c>
      <c r="B1028" s="17">
        <v>46054.00277777778</v>
      </c>
      <c r="C1028" s="1">
        <v>78821.62</v>
      </c>
      <c r="D1028" s="20">
        <v>78892.14</v>
      </c>
      <c r="E1028" s="20">
        <v>78802.2</v>
      </c>
      <c r="F1028" s="1">
        <v>78882.59</v>
      </c>
      <c r="G1028" s="18">
        <v>278</v>
      </c>
      <c r="I1028" s="21">
        <v>46054.00277777778</v>
      </c>
      <c r="J1028" s="26"/>
      <c r="K1028" s="29"/>
      <c r="L1028" s="27">
        <v>78992.773679999998</v>
      </c>
      <c r="M1028" s="27">
        <v>78742.866840000002</v>
      </c>
      <c r="N1028" s="30" t="s">
        <v>7</v>
      </c>
      <c r="O1028" s="28" t="s">
        <v>8</v>
      </c>
      <c r="P1028"/>
    </row>
    <row r="1029" spans="1:16" x14ac:dyDescent="0.35">
      <c r="A1029" s="4">
        <v>1026</v>
      </c>
      <c r="B1029" s="17">
        <v>46054.003472222219</v>
      </c>
      <c r="C1029" s="1">
        <v>78882.490000000005</v>
      </c>
      <c r="D1029" s="20">
        <v>78899.899999999994</v>
      </c>
      <c r="E1029" s="20">
        <v>78850.5</v>
      </c>
      <c r="F1029" s="1">
        <v>78864.38</v>
      </c>
      <c r="G1029" s="18">
        <v>254</v>
      </c>
      <c r="I1029" s="21">
        <v>46054.003472222219</v>
      </c>
      <c r="J1029" s="26"/>
      <c r="K1029" s="29"/>
      <c r="L1029" s="27">
        <v>79024.584210000001</v>
      </c>
      <c r="M1029" s="27">
        <v>78771.694210000001</v>
      </c>
      <c r="N1029" s="30" t="s">
        <v>7</v>
      </c>
      <c r="O1029" s="28" t="s">
        <v>8</v>
      </c>
      <c r="P1029"/>
    </row>
    <row r="1030" spans="1:16" x14ac:dyDescent="0.35">
      <c r="A1030" s="4">
        <v>1027</v>
      </c>
      <c r="B1030" s="17">
        <v>46054.004166666666</v>
      </c>
      <c r="C1030" s="1">
        <v>78864.37</v>
      </c>
      <c r="D1030" s="20">
        <v>78949.7</v>
      </c>
      <c r="E1030" s="20">
        <v>78854.09</v>
      </c>
      <c r="F1030" s="1">
        <v>78927.89</v>
      </c>
      <c r="G1030" s="18">
        <v>213</v>
      </c>
      <c r="I1030" s="21">
        <v>46054.004166666666</v>
      </c>
      <c r="J1030" s="26"/>
      <c r="K1030" s="29"/>
      <c r="L1030" s="27">
        <v>79056.394740000003</v>
      </c>
      <c r="M1030" s="27">
        <v>78800.521580000001</v>
      </c>
      <c r="N1030" s="30" t="s">
        <v>7</v>
      </c>
      <c r="O1030" s="28" t="s">
        <v>8</v>
      </c>
      <c r="P1030"/>
    </row>
    <row r="1031" spans="1:16" x14ac:dyDescent="0.35">
      <c r="A1031" s="4">
        <v>1028</v>
      </c>
      <c r="B1031" s="17">
        <v>46054.004861111112</v>
      </c>
      <c r="C1031" s="1">
        <v>78925.759999999995</v>
      </c>
      <c r="D1031" s="20">
        <v>78982.100000000006</v>
      </c>
      <c r="E1031" s="20">
        <v>78872.95</v>
      </c>
      <c r="F1031" s="1">
        <v>78980.88</v>
      </c>
      <c r="G1031" s="18">
        <v>237</v>
      </c>
      <c r="I1031" s="21">
        <v>46054.004861111112</v>
      </c>
      <c r="J1031" s="26"/>
      <c r="K1031" s="29"/>
      <c r="L1031" s="27">
        <v>79088.205260000002</v>
      </c>
      <c r="M1031" s="27">
        <v>78829.34895</v>
      </c>
      <c r="N1031" s="30" t="s">
        <v>7</v>
      </c>
      <c r="O1031" s="28" t="s">
        <v>8</v>
      </c>
      <c r="P1031"/>
    </row>
    <row r="1032" spans="1:16" x14ac:dyDescent="0.35">
      <c r="A1032" s="4">
        <v>1029</v>
      </c>
      <c r="B1032" s="17">
        <v>46054.005555555559</v>
      </c>
      <c r="C1032" s="1">
        <v>78980.66</v>
      </c>
      <c r="D1032" s="20">
        <v>79041.240000000005</v>
      </c>
      <c r="E1032" s="20">
        <v>78971.41</v>
      </c>
      <c r="F1032" s="1">
        <v>79041.22</v>
      </c>
      <c r="G1032" s="18">
        <v>189</v>
      </c>
      <c r="I1032" s="21">
        <v>46054.005555555559</v>
      </c>
      <c r="J1032" s="26"/>
      <c r="K1032" s="29"/>
      <c r="L1032" s="27">
        <v>79120.015790000005</v>
      </c>
      <c r="M1032" s="27">
        <v>78858.176319999999</v>
      </c>
      <c r="N1032" s="30" t="s">
        <v>7</v>
      </c>
      <c r="O1032" s="28" t="s">
        <v>8</v>
      </c>
      <c r="P1032"/>
    </row>
    <row r="1033" spans="1:16" x14ac:dyDescent="0.35">
      <c r="A1033" s="4">
        <v>1030</v>
      </c>
      <c r="B1033" s="17">
        <v>46054.006249999999</v>
      </c>
      <c r="C1033" s="1">
        <v>79041.22</v>
      </c>
      <c r="D1033" s="20">
        <v>79113.2</v>
      </c>
      <c r="E1033" s="20">
        <v>78972.78</v>
      </c>
      <c r="F1033" s="1">
        <v>79113.2</v>
      </c>
      <c r="G1033" s="18">
        <v>221</v>
      </c>
      <c r="I1033" s="21">
        <v>46054.006249999999</v>
      </c>
      <c r="J1033" s="26"/>
      <c r="K1033" s="29"/>
      <c r="L1033" s="27">
        <v>79151.826319999993</v>
      </c>
      <c r="M1033" s="27">
        <v>78887.003679999994</v>
      </c>
      <c r="N1033" s="30" t="s">
        <v>7</v>
      </c>
      <c r="O1033" s="28" t="s">
        <v>8</v>
      </c>
      <c r="P1033"/>
    </row>
    <row r="1034" spans="1:16" x14ac:dyDescent="0.35">
      <c r="A1034" s="4">
        <v>1031</v>
      </c>
      <c r="B1034" s="17">
        <v>46054.006944444445</v>
      </c>
      <c r="C1034" s="1">
        <v>79125</v>
      </c>
      <c r="D1034" s="20">
        <v>79218.37</v>
      </c>
      <c r="E1034" s="20">
        <v>79125</v>
      </c>
      <c r="F1034" s="1">
        <v>79171.14</v>
      </c>
      <c r="G1034" s="18">
        <v>271</v>
      </c>
      <c r="I1034" s="21">
        <v>46054.006944444445</v>
      </c>
      <c r="J1034" s="26"/>
      <c r="K1034" s="29"/>
      <c r="L1034" s="27">
        <v>79183.636840000006</v>
      </c>
      <c r="M1034" s="27">
        <v>78915.831049999993</v>
      </c>
      <c r="N1034" s="30" t="s">
        <v>7</v>
      </c>
      <c r="O1034" s="28" t="s">
        <v>8</v>
      </c>
      <c r="P1034"/>
    </row>
    <row r="1035" spans="1:16" x14ac:dyDescent="0.35">
      <c r="A1035" s="4">
        <v>1032</v>
      </c>
      <c r="B1035" s="17">
        <v>46054.007638888892</v>
      </c>
      <c r="C1035" s="1">
        <v>79178.61</v>
      </c>
      <c r="D1035" s="20">
        <v>79288.52</v>
      </c>
      <c r="E1035" s="20">
        <v>79054.84</v>
      </c>
      <c r="F1035" s="1">
        <v>79280.350000000006</v>
      </c>
      <c r="G1035" s="18">
        <v>276</v>
      </c>
      <c r="I1035" s="21">
        <v>46054.007638888892</v>
      </c>
      <c r="J1035" s="26"/>
      <c r="K1035" s="29"/>
      <c r="L1035" s="27">
        <v>79215.447369999994</v>
      </c>
      <c r="M1035" s="27">
        <v>78944.658420000007</v>
      </c>
      <c r="N1035" s="30" t="s">
        <v>7</v>
      </c>
      <c r="O1035" s="28" t="s">
        <v>8</v>
      </c>
      <c r="P1035"/>
    </row>
    <row r="1036" spans="1:16" x14ac:dyDescent="0.35">
      <c r="A1036" s="4">
        <v>1033</v>
      </c>
      <c r="B1036" s="17">
        <v>46054.008333333331</v>
      </c>
      <c r="C1036" s="1">
        <v>79266.39</v>
      </c>
      <c r="D1036" s="20">
        <v>79305.06</v>
      </c>
      <c r="E1036" s="20">
        <v>79196.7</v>
      </c>
      <c r="F1036" s="1">
        <v>79196.7</v>
      </c>
      <c r="G1036" s="18">
        <v>267</v>
      </c>
      <c r="I1036" s="21">
        <v>46054.008333333331</v>
      </c>
      <c r="J1036" s="26"/>
      <c r="K1036" s="29"/>
      <c r="L1036" s="27">
        <v>79247.257889999993</v>
      </c>
      <c r="M1036" s="27">
        <v>78973.485790000006</v>
      </c>
      <c r="N1036" s="30" t="s">
        <v>7</v>
      </c>
      <c r="O1036" s="28" t="s">
        <v>8</v>
      </c>
      <c r="P1036"/>
    </row>
    <row r="1037" spans="1:16" x14ac:dyDescent="0.35">
      <c r="A1037" s="4">
        <v>1034</v>
      </c>
      <c r="B1037" s="17">
        <v>46054.009027777778</v>
      </c>
      <c r="C1037" s="1">
        <v>79194.02</v>
      </c>
      <c r="D1037" s="20">
        <v>79253.039999999994</v>
      </c>
      <c r="E1037" s="20">
        <v>79074</v>
      </c>
      <c r="F1037" s="1">
        <v>79217.11</v>
      </c>
      <c r="G1037" s="18">
        <v>273</v>
      </c>
      <c r="I1037" s="21">
        <v>46054.009027777778</v>
      </c>
      <c r="J1037" s="26"/>
      <c r="K1037" s="29"/>
      <c r="L1037" s="27">
        <v>79279.068419999996</v>
      </c>
      <c r="M1037" s="27">
        <v>79002.313160000005</v>
      </c>
      <c r="N1037" s="30" t="s">
        <v>7</v>
      </c>
      <c r="O1037" s="28" t="s">
        <v>8</v>
      </c>
      <c r="P1037"/>
    </row>
    <row r="1038" spans="1:16" x14ac:dyDescent="0.35">
      <c r="A1038" s="4">
        <v>1035</v>
      </c>
      <c r="B1038" s="17">
        <v>46054.009722222225</v>
      </c>
      <c r="C1038" s="1">
        <v>79217.11</v>
      </c>
      <c r="D1038" s="20">
        <v>79346.78</v>
      </c>
      <c r="E1038" s="20">
        <v>79217.11</v>
      </c>
      <c r="F1038" s="1">
        <v>79295.02</v>
      </c>
      <c r="G1038" s="18">
        <v>263</v>
      </c>
      <c r="I1038" s="21">
        <v>46054.009722222225</v>
      </c>
      <c r="J1038" s="26"/>
      <c r="K1038" s="29"/>
      <c r="L1038" s="27">
        <v>79310.878949999998</v>
      </c>
      <c r="M1038" s="27">
        <v>79031.140530000004</v>
      </c>
      <c r="N1038" s="30" t="s">
        <v>7</v>
      </c>
      <c r="O1038" s="28" t="s">
        <v>8</v>
      </c>
      <c r="P1038"/>
    </row>
    <row r="1039" spans="1:16" x14ac:dyDescent="0.35">
      <c r="A1039" s="4">
        <v>1036</v>
      </c>
      <c r="B1039" s="17">
        <v>46054.010416666664</v>
      </c>
      <c r="C1039" s="1">
        <v>79294.98</v>
      </c>
      <c r="D1039" s="20">
        <v>79300.240000000005</v>
      </c>
      <c r="E1039" s="20">
        <v>79218.149999999994</v>
      </c>
      <c r="F1039" s="1">
        <v>79274.33</v>
      </c>
      <c r="G1039" s="18">
        <v>246</v>
      </c>
      <c r="I1039" s="21">
        <v>46054.010416666664</v>
      </c>
      <c r="J1039" s="26"/>
      <c r="K1039" s="29"/>
      <c r="L1039" s="27">
        <v>79342.689469999998</v>
      </c>
      <c r="M1039" s="27">
        <v>79059.96789</v>
      </c>
      <c r="N1039" s="30" t="s">
        <v>7</v>
      </c>
      <c r="O1039" s="28" t="s">
        <v>8</v>
      </c>
      <c r="P1039"/>
    </row>
    <row r="1040" spans="1:16" x14ac:dyDescent="0.35">
      <c r="A1040" s="4">
        <v>1037</v>
      </c>
      <c r="B1040" s="17">
        <v>46054.011111111111</v>
      </c>
      <c r="C1040" s="1">
        <v>79268.5</v>
      </c>
      <c r="D1040" s="20">
        <v>79374.5</v>
      </c>
      <c r="E1040" s="20">
        <v>79235.61</v>
      </c>
      <c r="F1040" s="1">
        <v>79249.759999999995</v>
      </c>
      <c r="G1040" s="18">
        <v>277</v>
      </c>
      <c r="I1040" s="21">
        <v>46054.011111111111</v>
      </c>
      <c r="J1040" s="26">
        <v>79374.5</v>
      </c>
      <c r="K1040" s="29"/>
      <c r="L1040" s="27">
        <v>79374.5</v>
      </c>
      <c r="M1040" s="27">
        <v>79088.795259999999</v>
      </c>
      <c r="N1040" s="30" t="s">
        <v>7</v>
      </c>
      <c r="O1040" s="28" t="s">
        <v>8</v>
      </c>
      <c r="P1040"/>
    </row>
    <row r="1041" spans="1:16" x14ac:dyDescent="0.35">
      <c r="A1041" s="4">
        <v>1038</v>
      </c>
      <c r="B1041" s="17">
        <v>46054.011805555558</v>
      </c>
      <c r="C1041" s="1">
        <v>79242.820000000007</v>
      </c>
      <c r="D1041" s="20">
        <v>79268.23</v>
      </c>
      <c r="E1041" s="20">
        <v>79204.88</v>
      </c>
      <c r="F1041" s="1">
        <v>79213.539999999994</v>
      </c>
      <c r="G1041" s="18">
        <v>264</v>
      </c>
      <c r="I1041" s="21">
        <v>46054.011805555558</v>
      </c>
      <c r="J1041" s="26"/>
      <c r="K1041" s="29"/>
      <c r="L1041" s="27">
        <v>79349.009999999995</v>
      </c>
      <c r="M1041" s="27">
        <v>79117.622629999998</v>
      </c>
      <c r="N1041" s="30" t="s">
        <v>6</v>
      </c>
      <c r="O1041" s="28" t="s">
        <v>8</v>
      </c>
      <c r="P1041"/>
    </row>
    <row r="1042" spans="1:16" x14ac:dyDescent="0.35">
      <c r="A1042" s="4">
        <v>1039</v>
      </c>
      <c r="B1042" s="17">
        <v>46054.012499999997</v>
      </c>
      <c r="C1042" s="1">
        <v>79213.539999999994</v>
      </c>
      <c r="D1042" s="20">
        <v>79237.41</v>
      </c>
      <c r="E1042" s="20">
        <v>79146.45</v>
      </c>
      <c r="F1042" s="1">
        <v>79186.960000000006</v>
      </c>
      <c r="G1042" s="18">
        <v>271</v>
      </c>
      <c r="I1042" s="21">
        <v>46054.012499999997</v>
      </c>
      <c r="J1042" s="26"/>
      <c r="K1042" s="29">
        <v>79146.45</v>
      </c>
      <c r="L1042" s="27">
        <v>79323.520000000004</v>
      </c>
      <c r="M1042" s="27">
        <v>79146.45</v>
      </c>
      <c r="N1042" s="30" t="s">
        <v>6</v>
      </c>
      <c r="O1042" s="28" t="s">
        <v>8</v>
      </c>
      <c r="P1042"/>
    </row>
    <row r="1043" spans="1:16" x14ac:dyDescent="0.35">
      <c r="A1043" s="4">
        <v>1040</v>
      </c>
      <c r="B1043" s="17">
        <v>46054.013194444444</v>
      </c>
      <c r="C1043" s="1">
        <v>79202.399999999994</v>
      </c>
      <c r="D1043" s="20">
        <v>79298.03</v>
      </c>
      <c r="E1043" s="20">
        <v>79202.399999999994</v>
      </c>
      <c r="F1043" s="1">
        <v>79258.36</v>
      </c>
      <c r="G1043" s="18">
        <v>264</v>
      </c>
      <c r="I1043" s="21">
        <v>46054.013194444444</v>
      </c>
      <c r="J1043" s="26">
        <v>79298.03</v>
      </c>
      <c r="K1043" s="29"/>
      <c r="L1043" s="27">
        <v>79298.03</v>
      </c>
      <c r="M1043" s="27">
        <v>79114.175709999996</v>
      </c>
      <c r="N1043" s="30" t="s">
        <v>6</v>
      </c>
      <c r="O1043" s="28" t="s">
        <v>13</v>
      </c>
      <c r="P1043"/>
    </row>
    <row r="1044" spans="1:16" x14ac:dyDescent="0.35">
      <c r="A1044" s="4">
        <v>1041</v>
      </c>
      <c r="B1044" s="17">
        <v>46054.013888888891</v>
      </c>
      <c r="C1044" s="1">
        <v>79264.7</v>
      </c>
      <c r="D1044" s="20">
        <v>79264.7</v>
      </c>
      <c r="E1044" s="20">
        <v>79188.84</v>
      </c>
      <c r="F1044" s="1">
        <v>79212.679999999993</v>
      </c>
      <c r="G1044" s="18">
        <v>254</v>
      </c>
      <c r="I1044" s="21">
        <v>46054.013888888891</v>
      </c>
      <c r="J1044" s="26"/>
      <c r="K1044" s="29"/>
      <c r="L1044" s="27">
        <v>79287.127269999997</v>
      </c>
      <c r="M1044" s="27">
        <v>79081.901429999998</v>
      </c>
      <c r="N1044" s="30" t="s">
        <v>6</v>
      </c>
      <c r="O1044" s="28" t="s">
        <v>13</v>
      </c>
      <c r="P1044"/>
    </row>
    <row r="1045" spans="1:16" x14ac:dyDescent="0.35">
      <c r="A1045" s="4">
        <v>1042</v>
      </c>
      <c r="B1045" s="17">
        <v>46054.01458333333</v>
      </c>
      <c r="C1045" s="1">
        <v>79212.679999999993</v>
      </c>
      <c r="D1045" s="20">
        <v>79212.679999999993</v>
      </c>
      <c r="E1045" s="20">
        <v>79141.03</v>
      </c>
      <c r="F1045" s="1">
        <v>79174.48</v>
      </c>
      <c r="G1045" s="18">
        <v>248</v>
      </c>
      <c r="I1045" s="21">
        <v>46054.01458333333</v>
      </c>
      <c r="J1045" s="26"/>
      <c r="K1045" s="29"/>
      <c r="L1045" s="27">
        <v>79276.224549999999</v>
      </c>
      <c r="M1045" s="27">
        <v>79049.627139999997</v>
      </c>
      <c r="N1045" s="30" t="s">
        <v>6</v>
      </c>
      <c r="O1045" s="28" t="s">
        <v>13</v>
      </c>
      <c r="P1045"/>
    </row>
    <row r="1046" spans="1:16" x14ac:dyDescent="0.35">
      <c r="A1046" s="4">
        <v>1043</v>
      </c>
      <c r="B1046" s="17">
        <v>46054.015277777777</v>
      </c>
      <c r="C1046" s="1">
        <v>79174.45</v>
      </c>
      <c r="D1046" s="20">
        <v>79197.72</v>
      </c>
      <c r="E1046" s="20">
        <v>79015.31</v>
      </c>
      <c r="F1046" s="1">
        <v>79022.41</v>
      </c>
      <c r="G1046" s="18">
        <v>246</v>
      </c>
      <c r="I1046" s="21">
        <v>46054.015277777777</v>
      </c>
      <c r="J1046" s="26"/>
      <c r="K1046" s="29"/>
      <c r="L1046" s="27">
        <v>79265.321819999997</v>
      </c>
      <c r="M1046" s="27">
        <v>79017.352859999999</v>
      </c>
      <c r="N1046" s="30" t="s">
        <v>6</v>
      </c>
      <c r="O1046" s="28" t="s">
        <v>13</v>
      </c>
      <c r="P1046"/>
    </row>
    <row r="1047" spans="1:16" x14ac:dyDescent="0.35">
      <c r="A1047" s="4">
        <v>1044</v>
      </c>
      <c r="B1047" s="17">
        <v>46054.015972222223</v>
      </c>
      <c r="C1047" s="1">
        <v>79004.160000000003</v>
      </c>
      <c r="D1047" s="20">
        <v>79023.19</v>
      </c>
      <c r="E1047" s="20">
        <v>78931.899999999994</v>
      </c>
      <c r="F1047" s="1">
        <v>78937.62</v>
      </c>
      <c r="G1047" s="18">
        <v>241</v>
      </c>
      <c r="I1047" s="21">
        <v>46054.015972222223</v>
      </c>
      <c r="J1047" s="26"/>
      <c r="K1047" s="29"/>
      <c r="L1047" s="27">
        <v>79254.419089999996</v>
      </c>
      <c r="M1047" s="27">
        <v>78985.078569999998</v>
      </c>
      <c r="N1047" s="30" t="s">
        <v>6</v>
      </c>
      <c r="O1047" s="28" t="s">
        <v>13</v>
      </c>
      <c r="P1047"/>
    </row>
    <row r="1048" spans="1:16" x14ac:dyDescent="0.35">
      <c r="A1048" s="4">
        <v>1045</v>
      </c>
      <c r="B1048" s="17">
        <v>46054.01666666667</v>
      </c>
      <c r="C1048" s="1">
        <v>78937.710000000006</v>
      </c>
      <c r="D1048" s="20">
        <v>78970.34</v>
      </c>
      <c r="E1048" s="20">
        <v>78923.289999999994</v>
      </c>
      <c r="F1048" s="1">
        <v>78938.28</v>
      </c>
      <c r="G1048" s="18">
        <v>224</v>
      </c>
      <c r="I1048" s="21">
        <v>46054.01666666667</v>
      </c>
      <c r="J1048" s="26"/>
      <c r="K1048" s="29"/>
      <c r="L1048" s="27">
        <v>79243.516359999994</v>
      </c>
      <c r="M1048" s="27">
        <v>78952.80429</v>
      </c>
      <c r="N1048" s="30" t="s">
        <v>6</v>
      </c>
      <c r="O1048" s="28" t="s">
        <v>13</v>
      </c>
      <c r="P1048"/>
    </row>
    <row r="1049" spans="1:16" x14ac:dyDescent="0.35">
      <c r="A1049" s="4">
        <v>1046</v>
      </c>
      <c r="B1049" s="17">
        <v>46054.017361111109</v>
      </c>
      <c r="C1049" s="1">
        <v>78939.759999999995</v>
      </c>
      <c r="D1049" s="20">
        <v>78953.740000000005</v>
      </c>
      <c r="E1049" s="20">
        <v>78920.53</v>
      </c>
      <c r="F1049" s="1">
        <v>78935.47</v>
      </c>
      <c r="G1049" s="18">
        <v>216</v>
      </c>
      <c r="I1049" s="21">
        <v>46054.017361111109</v>
      </c>
      <c r="J1049" s="26"/>
      <c r="K1049" s="29">
        <v>78920.53</v>
      </c>
      <c r="L1049" s="27">
        <v>79232.613639999996</v>
      </c>
      <c r="M1049" s="27">
        <v>78920.53</v>
      </c>
      <c r="N1049" s="30" t="s">
        <v>6</v>
      </c>
      <c r="O1049" s="28" t="s">
        <v>13</v>
      </c>
      <c r="P1049"/>
    </row>
    <row r="1050" spans="1:16" x14ac:dyDescent="0.35">
      <c r="A1050" s="4">
        <v>1047</v>
      </c>
      <c r="B1050" s="17">
        <v>46054.018055555556</v>
      </c>
      <c r="C1050" s="1">
        <v>78933.67</v>
      </c>
      <c r="D1050" s="20">
        <v>79095.520000000004</v>
      </c>
      <c r="E1050" s="20">
        <v>78922.429999999993</v>
      </c>
      <c r="F1050" s="1">
        <v>79008.759999999995</v>
      </c>
      <c r="G1050" s="18">
        <v>264</v>
      </c>
      <c r="I1050" s="21">
        <v>46054.018055555556</v>
      </c>
      <c r="J1050" s="26"/>
      <c r="K1050" s="29"/>
      <c r="L1050" s="27">
        <v>79221.710909999994</v>
      </c>
      <c r="M1050" s="27">
        <v>78906.274669999999</v>
      </c>
      <c r="N1050" s="30" t="s">
        <v>6</v>
      </c>
      <c r="O1050" s="28" t="s">
        <v>13</v>
      </c>
      <c r="P1050"/>
    </row>
    <row r="1051" spans="1:16" x14ac:dyDescent="0.35">
      <c r="A1051" s="4">
        <v>1048</v>
      </c>
      <c r="B1051" s="17">
        <v>46054.018750000003</v>
      </c>
      <c r="C1051" s="1">
        <v>79009.3</v>
      </c>
      <c r="D1051" s="20">
        <v>79063.839999999997</v>
      </c>
      <c r="E1051" s="20">
        <v>79002.64</v>
      </c>
      <c r="F1051" s="1">
        <v>79018.720000000001</v>
      </c>
      <c r="G1051" s="18">
        <v>243</v>
      </c>
      <c r="I1051" s="21">
        <v>46054.018750000003</v>
      </c>
      <c r="J1051" s="26"/>
      <c r="K1051" s="29"/>
      <c r="L1051" s="27">
        <v>79210.808180000007</v>
      </c>
      <c r="M1051" s="27">
        <v>78892.019329999996</v>
      </c>
      <c r="N1051" s="30" t="s">
        <v>6</v>
      </c>
      <c r="O1051" s="28" t="s">
        <v>13</v>
      </c>
      <c r="P1051"/>
    </row>
    <row r="1052" spans="1:16" x14ac:dyDescent="0.35">
      <c r="A1052" s="4">
        <v>1049</v>
      </c>
      <c r="B1052" s="17">
        <v>46054.019444444442</v>
      </c>
      <c r="C1052" s="1">
        <v>79025.5</v>
      </c>
      <c r="D1052" s="20">
        <v>79102.06</v>
      </c>
      <c r="E1052" s="20">
        <v>79003.77</v>
      </c>
      <c r="F1052" s="1">
        <v>79080.84</v>
      </c>
      <c r="G1052" s="18">
        <v>242</v>
      </c>
      <c r="I1052" s="21">
        <v>46054.019444444442</v>
      </c>
      <c r="J1052" s="26"/>
      <c r="K1052" s="29"/>
      <c r="L1052" s="27">
        <v>79199.905450000006</v>
      </c>
      <c r="M1052" s="27">
        <v>78877.763999999996</v>
      </c>
      <c r="N1052" s="30" t="s">
        <v>6</v>
      </c>
      <c r="O1052" s="28" t="s">
        <v>13</v>
      </c>
      <c r="P1052"/>
    </row>
    <row r="1053" spans="1:16" x14ac:dyDescent="0.35">
      <c r="A1053" s="4">
        <v>1050</v>
      </c>
      <c r="B1053" s="17">
        <v>46054.020138888889</v>
      </c>
      <c r="C1053" s="1">
        <v>79082.8</v>
      </c>
      <c r="D1053" s="20">
        <v>79107.12</v>
      </c>
      <c r="E1053" s="20">
        <v>79023.17</v>
      </c>
      <c r="F1053" s="1">
        <v>79046.09</v>
      </c>
      <c r="G1053" s="18">
        <v>256</v>
      </c>
      <c r="I1053" s="21">
        <v>46054.020138888889</v>
      </c>
      <c r="J1053" s="26"/>
      <c r="K1053" s="29"/>
      <c r="L1053" s="27">
        <v>79189.002729999993</v>
      </c>
      <c r="M1053" s="27">
        <v>78863.508669999996</v>
      </c>
      <c r="N1053" s="30" t="s">
        <v>6</v>
      </c>
      <c r="O1053" s="28" t="s">
        <v>13</v>
      </c>
      <c r="P1053"/>
    </row>
    <row r="1054" spans="1:16" x14ac:dyDescent="0.35">
      <c r="A1054" s="4">
        <v>1051</v>
      </c>
      <c r="B1054" s="17">
        <v>46054.020833333336</v>
      </c>
      <c r="C1054" s="1">
        <v>79046.05</v>
      </c>
      <c r="D1054" s="20">
        <v>79178.100000000006</v>
      </c>
      <c r="E1054" s="20">
        <v>79039.61</v>
      </c>
      <c r="F1054" s="1">
        <v>79102.77</v>
      </c>
      <c r="G1054" s="18">
        <v>215</v>
      </c>
      <c r="I1054" s="21">
        <v>46054.020833333336</v>
      </c>
      <c r="J1054" s="26">
        <v>79178.100000000006</v>
      </c>
      <c r="K1054" s="29"/>
      <c r="L1054" s="27">
        <v>79178.100000000006</v>
      </c>
      <c r="M1054" s="27">
        <v>78849.253330000007</v>
      </c>
      <c r="N1054" s="30" t="s">
        <v>6</v>
      </c>
      <c r="O1054" s="28" t="s">
        <v>13</v>
      </c>
      <c r="P1054"/>
    </row>
    <row r="1055" spans="1:16" x14ac:dyDescent="0.35">
      <c r="A1055" s="4">
        <v>1052</v>
      </c>
      <c r="B1055" s="17">
        <v>46054.021527777775</v>
      </c>
      <c r="C1055" s="1">
        <v>79101.36</v>
      </c>
      <c r="D1055" s="20">
        <v>79103.45</v>
      </c>
      <c r="E1055" s="20">
        <v>78980.41</v>
      </c>
      <c r="F1055" s="1">
        <v>78980.66</v>
      </c>
      <c r="G1055" s="18">
        <v>250</v>
      </c>
      <c r="I1055" s="21">
        <v>46054.021527777775</v>
      </c>
      <c r="J1055" s="26"/>
      <c r="K1055" s="29"/>
      <c r="L1055" s="27">
        <v>79149.243329999998</v>
      </c>
      <c r="M1055" s="27">
        <v>78834.998000000007</v>
      </c>
      <c r="N1055" s="30" t="s">
        <v>6</v>
      </c>
      <c r="O1055" s="28" t="s">
        <v>13</v>
      </c>
      <c r="P1055"/>
    </row>
    <row r="1056" spans="1:16" x14ac:dyDescent="0.35">
      <c r="A1056" s="4">
        <v>1053</v>
      </c>
      <c r="B1056" s="17">
        <v>46054.022222222222</v>
      </c>
      <c r="C1056" s="1">
        <v>78977.84</v>
      </c>
      <c r="D1056" s="20">
        <v>79012.03</v>
      </c>
      <c r="E1056" s="20">
        <v>78927.429999999993</v>
      </c>
      <c r="F1056" s="1">
        <v>78960.72</v>
      </c>
      <c r="G1056" s="18">
        <v>239</v>
      </c>
      <c r="I1056" s="21">
        <v>46054.022222222222</v>
      </c>
      <c r="J1056" s="26"/>
      <c r="K1056" s="29"/>
      <c r="L1056" s="27">
        <v>79120.386670000007</v>
      </c>
      <c r="M1056" s="27">
        <v>78820.742670000007</v>
      </c>
      <c r="N1056" s="30" t="s">
        <v>6</v>
      </c>
      <c r="O1056" s="28" t="s">
        <v>13</v>
      </c>
      <c r="P1056"/>
    </row>
    <row r="1057" spans="1:16" x14ac:dyDescent="0.35">
      <c r="A1057" s="4">
        <v>1054</v>
      </c>
      <c r="B1057" s="17">
        <v>46054.022916666669</v>
      </c>
      <c r="C1057" s="1">
        <v>78963.62</v>
      </c>
      <c r="D1057" s="20">
        <v>79091.520000000004</v>
      </c>
      <c r="E1057" s="20">
        <v>78941.8</v>
      </c>
      <c r="F1057" s="1">
        <v>79002.89</v>
      </c>
      <c r="G1057" s="18">
        <v>253</v>
      </c>
      <c r="I1057" s="21">
        <v>46054.022916666669</v>
      </c>
      <c r="J1057" s="26"/>
      <c r="K1057" s="29"/>
      <c r="L1057" s="27">
        <v>79091.53</v>
      </c>
      <c r="M1057" s="27">
        <v>78806.487330000004</v>
      </c>
      <c r="N1057" s="30" t="s">
        <v>6</v>
      </c>
      <c r="O1057" s="28" t="s">
        <v>13</v>
      </c>
      <c r="P1057"/>
    </row>
    <row r="1058" spans="1:16" x14ac:dyDescent="0.35">
      <c r="A1058" s="4">
        <v>1055</v>
      </c>
      <c r="B1058" s="17">
        <v>46054.023611111108</v>
      </c>
      <c r="C1058" s="1">
        <v>79002.929999999993</v>
      </c>
      <c r="D1058" s="20">
        <v>79008.899999999994</v>
      </c>
      <c r="E1058" s="20">
        <v>78925.73</v>
      </c>
      <c r="F1058" s="1">
        <v>78954.3</v>
      </c>
      <c r="G1058" s="18">
        <v>256</v>
      </c>
      <c r="I1058" s="21">
        <v>46054.023611111108</v>
      </c>
      <c r="J1058" s="26"/>
      <c r="K1058" s="29"/>
      <c r="L1058" s="27">
        <v>79062.673330000005</v>
      </c>
      <c r="M1058" s="27">
        <v>78792.232000000004</v>
      </c>
      <c r="N1058" s="30" t="s">
        <v>6</v>
      </c>
      <c r="O1058" s="28" t="s">
        <v>13</v>
      </c>
      <c r="P1058"/>
    </row>
    <row r="1059" spans="1:16" x14ac:dyDescent="0.35">
      <c r="A1059" s="4">
        <v>1056</v>
      </c>
      <c r="B1059" s="17">
        <v>46054.024305555555</v>
      </c>
      <c r="C1059" s="1">
        <v>78957.899999999994</v>
      </c>
      <c r="D1059" s="20">
        <v>79015.460000000006</v>
      </c>
      <c r="E1059" s="20">
        <v>78931.039999999994</v>
      </c>
      <c r="F1059" s="1">
        <v>78948.41</v>
      </c>
      <c r="G1059" s="18">
        <v>236</v>
      </c>
      <c r="I1059" s="21">
        <v>46054.024305555555</v>
      </c>
      <c r="J1059" s="26"/>
      <c r="K1059" s="29"/>
      <c r="L1059" s="27">
        <v>79033.81667</v>
      </c>
      <c r="M1059" s="27">
        <v>78777.976670000004</v>
      </c>
      <c r="N1059" s="30" t="s">
        <v>6</v>
      </c>
      <c r="O1059" s="28" t="s">
        <v>13</v>
      </c>
      <c r="P1059"/>
    </row>
    <row r="1060" spans="1:16" x14ac:dyDescent="0.35">
      <c r="A1060" s="4">
        <v>1057</v>
      </c>
      <c r="B1060" s="17">
        <v>46054.025000000001</v>
      </c>
      <c r="C1060" s="1">
        <v>78948.42</v>
      </c>
      <c r="D1060" s="20">
        <v>78951.13</v>
      </c>
      <c r="E1060" s="20">
        <v>78797.789999999994</v>
      </c>
      <c r="F1060" s="1">
        <v>78867.42</v>
      </c>
      <c r="G1060" s="18">
        <v>277</v>
      </c>
      <c r="I1060" s="21">
        <v>46054.025000000001</v>
      </c>
      <c r="J1060" s="26"/>
      <c r="K1060" s="29"/>
      <c r="L1060" s="27">
        <v>79004.960000000006</v>
      </c>
      <c r="M1060" s="27">
        <v>78763.72133</v>
      </c>
      <c r="N1060" s="30" t="s">
        <v>6</v>
      </c>
      <c r="O1060" s="28" t="s">
        <v>13</v>
      </c>
      <c r="P1060"/>
    </row>
    <row r="1061" spans="1:16" x14ac:dyDescent="0.35">
      <c r="A1061" s="4">
        <v>1058</v>
      </c>
      <c r="B1061" s="17">
        <v>46054.025694444441</v>
      </c>
      <c r="C1061" s="1">
        <v>78867.41</v>
      </c>
      <c r="D1061" s="20">
        <v>78871.83</v>
      </c>
      <c r="E1061" s="20">
        <v>78794.22</v>
      </c>
      <c r="F1061" s="1">
        <v>78813.429999999993</v>
      </c>
      <c r="G1061" s="18">
        <v>246</v>
      </c>
      <c r="I1061" s="21">
        <v>46054.025694444441</v>
      </c>
      <c r="J1061" s="26"/>
      <c r="K1061" s="29"/>
      <c r="L1061" s="27">
        <v>78976.103329999998</v>
      </c>
      <c r="M1061" s="27">
        <v>78749.466</v>
      </c>
      <c r="N1061" s="30" t="s">
        <v>6</v>
      </c>
      <c r="O1061" s="28" t="s">
        <v>13</v>
      </c>
      <c r="P1061"/>
    </row>
    <row r="1062" spans="1:16" x14ac:dyDescent="0.35">
      <c r="A1062" s="4">
        <v>1059</v>
      </c>
      <c r="B1062" s="17">
        <v>46054.026388888888</v>
      </c>
      <c r="C1062" s="1">
        <v>78813.429999999993</v>
      </c>
      <c r="D1062" s="20">
        <v>78832.11</v>
      </c>
      <c r="E1062" s="20">
        <v>78775.539999999994</v>
      </c>
      <c r="F1062" s="1">
        <v>78808.95</v>
      </c>
      <c r="G1062" s="18">
        <v>273</v>
      </c>
      <c r="I1062" s="21">
        <v>46054.026388888888</v>
      </c>
      <c r="J1062" s="26"/>
      <c r="K1062" s="29"/>
      <c r="L1062" s="27">
        <v>78947.246669999993</v>
      </c>
      <c r="M1062" s="27">
        <v>78735.21067</v>
      </c>
      <c r="N1062" s="30" t="s">
        <v>6</v>
      </c>
      <c r="O1062" s="28" t="s">
        <v>13</v>
      </c>
      <c r="P1062"/>
    </row>
    <row r="1063" spans="1:16" x14ac:dyDescent="0.35">
      <c r="A1063" s="4">
        <v>1060</v>
      </c>
      <c r="B1063" s="17">
        <v>46054.027083333334</v>
      </c>
      <c r="C1063" s="1">
        <v>78809.47</v>
      </c>
      <c r="D1063" s="20">
        <v>78809.509999999995</v>
      </c>
      <c r="E1063" s="20">
        <v>78724.149999999994</v>
      </c>
      <c r="F1063" s="1">
        <v>78732.710000000006</v>
      </c>
      <c r="G1063" s="18">
        <v>215</v>
      </c>
      <c r="I1063" s="21">
        <v>46054.027083333334</v>
      </c>
      <c r="J1063" s="26"/>
      <c r="K1063" s="29"/>
      <c r="L1063" s="27">
        <v>78918.39</v>
      </c>
      <c r="M1063" s="27">
        <v>78720.955329999997</v>
      </c>
      <c r="N1063" s="30" t="s">
        <v>6</v>
      </c>
      <c r="O1063" s="28" t="s">
        <v>13</v>
      </c>
      <c r="P1063"/>
    </row>
    <row r="1064" spans="1:16" x14ac:dyDescent="0.35">
      <c r="A1064" s="4">
        <v>1061</v>
      </c>
      <c r="B1064" s="17">
        <v>46054.027777777781</v>
      </c>
      <c r="C1064" s="1">
        <v>78741.240000000005</v>
      </c>
      <c r="D1064" s="20">
        <v>78774.13</v>
      </c>
      <c r="E1064" s="20">
        <v>78706.7</v>
      </c>
      <c r="F1064" s="1">
        <v>78708.289999999994</v>
      </c>
      <c r="G1064" s="18">
        <v>182</v>
      </c>
      <c r="I1064" s="21">
        <v>46054.027777777781</v>
      </c>
      <c r="J1064" s="26"/>
      <c r="K1064" s="29">
        <v>78706.7</v>
      </c>
      <c r="L1064" s="27">
        <v>78889.533330000006</v>
      </c>
      <c r="M1064" s="27">
        <v>78706.7</v>
      </c>
      <c r="N1064" s="30" t="s">
        <v>6</v>
      </c>
      <c r="O1064" s="28" t="s">
        <v>13</v>
      </c>
      <c r="P1064"/>
    </row>
    <row r="1065" spans="1:16" x14ac:dyDescent="0.35">
      <c r="A1065" s="4">
        <v>1062</v>
      </c>
      <c r="B1065" s="17">
        <v>46054.02847222222</v>
      </c>
      <c r="C1065" s="1">
        <v>78708.33</v>
      </c>
      <c r="D1065" s="20">
        <v>78777.399999999994</v>
      </c>
      <c r="E1065" s="20">
        <v>78708.27</v>
      </c>
      <c r="F1065" s="1">
        <v>78773.490000000005</v>
      </c>
      <c r="G1065" s="18">
        <v>246</v>
      </c>
      <c r="I1065" s="21">
        <v>46054.02847222222</v>
      </c>
      <c r="J1065" s="26"/>
      <c r="K1065" s="29"/>
      <c r="L1065" s="27">
        <v>78860.676670000001</v>
      </c>
      <c r="M1065" s="27">
        <v>78704.482000000004</v>
      </c>
      <c r="N1065" s="30" t="s">
        <v>6</v>
      </c>
      <c r="O1065" s="28" t="s">
        <v>13</v>
      </c>
      <c r="P1065"/>
    </row>
    <row r="1066" spans="1:16" x14ac:dyDescent="0.35">
      <c r="A1066" s="4">
        <v>1063</v>
      </c>
      <c r="B1066" s="17">
        <v>46054.029166666667</v>
      </c>
      <c r="C1066" s="1">
        <v>78768.11</v>
      </c>
      <c r="D1066" s="20">
        <v>78831.820000000007</v>
      </c>
      <c r="E1066" s="20">
        <v>78762.5</v>
      </c>
      <c r="F1066" s="1">
        <v>78803.48</v>
      </c>
      <c r="G1066" s="18">
        <v>234</v>
      </c>
      <c r="I1066" s="21">
        <v>46054.029166666667</v>
      </c>
      <c r="J1066" s="26">
        <v>78831.820000000007</v>
      </c>
      <c r="K1066" s="29"/>
      <c r="L1066" s="27">
        <v>78831.820000000007</v>
      </c>
      <c r="M1066" s="27">
        <v>78702.263999999996</v>
      </c>
      <c r="N1066" s="30" t="s">
        <v>6</v>
      </c>
      <c r="O1066" s="28" t="s">
        <v>13</v>
      </c>
      <c r="P1066"/>
    </row>
    <row r="1067" spans="1:16" x14ac:dyDescent="0.35">
      <c r="A1067" s="4">
        <v>1064</v>
      </c>
      <c r="B1067" s="17">
        <v>46054.029861111114</v>
      </c>
      <c r="C1067" s="1">
        <v>78803.67</v>
      </c>
      <c r="D1067" s="20">
        <v>78804.92</v>
      </c>
      <c r="E1067" s="20">
        <v>78760.600000000006</v>
      </c>
      <c r="F1067" s="1">
        <v>78794.070000000007</v>
      </c>
      <c r="G1067" s="18">
        <v>223</v>
      </c>
      <c r="I1067" s="21">
        <v>46054.029861111114</v>
      </c>
      <c r="J1067" s="26"/>
      <c r="K1067" s="29"/>
      <c r="L1067" s="27">
        <v>78858.053329999995</v>
      </c>
      <c r="M1067" s="27">
        <v>78700.046000000002</v>
      </c>
      <c r="N1067" s="30" t="s">
        <v>7</v>
      </c>
      <c r="O1067" s="28" t="s">
        <v>13</v>
      </c>
      <c r="P1067"/>
    </row>
    <row r="1068" spans="1:16" x14ac:dyDescent="0.35">
      <c r="A1068" s="4">
        <v>1065</v>
      </c>
      <c r="B1068" s="17">
        <v>46054.030555555553</v>
      </c>
      <c r="C1068" s="1">
        <v>78794.06</v>
      </c>
      <c r="D1068" s="20">
        <v>78797.710000000006</v>
      </c>
      <c r="E1068" s="20">
        <v>78705.899999999994</v>
      </c>
      <c r="F1068" s="1">
        <v>78711.360000000001</v>
      </c>
      <c r="G1068" s="18">
        <v>229</v>
      </c>
      <c r="I1068" s="21">
        <v>46054.030555555553</v>
      </c>
      <c r="J1068" s="26"/>
      <c r="K1068" s="29"/>
      <c r="L1068" s="27">
        <v>78884.286670000001</v>
      </c>
      <c r="M1068" s="27">
        <v>78697.827999999994</v>
      </c>
      <c r="N1068" s="30" t="s">
        <v>7</v>
      </c>
      <c r="O1068" s="28" t="s">
        <v>13</v>
      </c>
      <c r="P1068"/>
    </row>
    <row r="1069" spans="1:16" x14ac:dyDescent="0.35">
      <c r="A1069" s="4">
        <v>1066</v>
      </c>
      <c r="B1069" s="17">
        <v>46054.03125</v>
      </c>
      <c r="C1069" s="1">
        <v>78711.38</v>
      </c>
      <c r="D1069" s="20">
        <v>78800.350000000006</v>
      </c>
      <c r="E1069" s="20">
        <v>78695.61</v>
      </c>
      <c r="F1069" s="1">
        <v>78781.72</v>
      </c>
      <c r="G1069" s="18">
        <v>231</v>
      </c>
      <c r="I1069" s="21">
        <v>46054.03125</v>
      </c>
      <c r="J1069" s="26"/>
      <c r="K1069" s="29">
        <v>78695.61</v>
      </c>
      <c r="L1069" s="27">
        <v>78910.52</v>
      </c>
      <c r="M1069" s="27">
        <v>78695.61</v>
      </c>
      <c r="N1069" s="30" t="s">
        <v>7</v>
      </c>
      <c r="O1069" s="28" t="s">
        <v>13</v>
      </c>
      <c r="P1069"/>
    </row>
    <row r="1070" spans="1:16" x14ac:dyDescent="0.35">
      <c r="A1070" s="4">
        <v>1067</v>
      </c>
      <c r="B1070" s="17">
        <v>46054.031944444447</v>
      </c>
      <c r="C1070" s="1">
        <v>78777.8</v>
      </c>
      <c r="D1070" s="20">
        <v>78845.56</v>
      </c>
      <c r="E1070" s="20">
        <v>78756.850000000006</v>
      </c>
      <c r="F1070" s="1">
        <v>78811.11</v>
      </c>
      <c r="G1070" s="18">
        <v>248</v>
      </c>
      <c r="I1070" s="21">
        <v>46054.031944444447</v>
      </c>
      <c r="J1070" s="26"/>
      <c r="K1070" s="29"/>
      <c r="L1070" s="27">
        <v>78936.753330000007</v>
      </c>
      <c r="M1070" s="27">
        <v>78705.716920000006</v>
      </c>
      <c r="N1070" s="30" t="s">
        <v>7</v>
      </c>
      <c r="O1070" s="28" t="s">
        <v>8</v>
      </c>
      <c r="P1070"/>
    </row>
    <row r="1071" spans="1:16" x14ac:dyDescent="0.35">
      <c r="A1071" s="4">
        <v>1068</v>
      </c>
      <c r="B1071" s="17">
        <v>46054.032638888886</v>
      </c>
      <c r="C1071" s="1">
        <v>78811.11</v>
      </c>
      <c r="D1071" s="20">
        <v>78930.92</v>
      </c>
      <c r="E1071" s="20">
        <v>78782.080000000002</v>
      </c>
      <c r="F1071" s="1">
        <v>78908.83</v>
      </c>
      <c r="G1071" s="18">
        <v>252</v>
      </c>
      <c r="I1071" s="21">
        <v>46054.032638888886</v>
      </c>
      <c r="J1071" s="26"/>
      <c r="K1071" s="29"/>
      <c r="L1071" s="27">
        <v>78962.986669999998</v>
      </c>
      <c r="M1071" s="27">
        <v>78715.823850000001</v>
      </c>
      <c r="N1071" s="30" t="s">
        <v>7</v>
      </c>
      <c r="O1071" s="28" t="s">
        <v>8</v>
      </c>
      <c r="P1071"/>
    </row>
    <row r="1072" spans="1:16" x14ac:dyDescent="0.35">
      <c r="A1072" s="4">
        <v>1069</v>
      </c>
      <c r="B1072" s="17">
        <v>46054.033333333333</v>
      </c>
      <c r="C1072" s="1">
        <v>78909.009999999995</v>
      </c>
      <c r="D1072" s="20">
        <v>78941.710000000006</v>
      </c>
      <c r="E1072" s="20">
        <v>78881.53</v>
      </c>
      <c r="F1072" s="1">
        <v>78882.8</v>
      </c>
      <c r="G1072" s="18">
        <v>219</v>
      </c>
      <c r="I1072" s="21">
        <v>46054.033333333333</v>
      </c>
      <c r="J1072" s="26"/>
      <c r="K1072" s="29"/>
      <c r="L1072" s="27">
        <v>78989.22</v>
      </c>
      <c r="M1072" s="27">
        <v>78725.930770000006</v>
      </c>
      <c r="N1072" s="30" t="s">
        <v>7</v>
      </c>
      <c r="O1072" s="28" t="s">
        <v>8</v>
      </c>
      <c r="P1072"/>
    </row>
    <row r="1073" spans="1:16" x14ac:dyDescent="0.35">
      <c r="A1073" s="4">
        <v>1070</v>
      </c>
      <c r="B1073" s="17">
        <v>46054.03402777778</v>
      </c>
      <c r="C1073" s="1">
        <v>78883.350000000006</v>
      </c>
      <c r="D1073" s="20">
        <v>78934.820000000007</v>
      </c>
      <c r="E1073" s="20">
        <v>78876.92</v>
      </c>
      <c r="F1073" s="1">
        <v>78908.59</v>
      </c>
      <c r="G1073" s="18">
        <v>186</v>
      </c>
      <c r="I1073" s="21">
        <v>46054.03402777778</v>
      </c>
      <c r="J1073" s="26"/>
      <c r="K1073" s="29"/>
      <c r="L1073" s="27">
        <v>79015.453330000004</v>
      </c>
      <c r="M1073" s="27">
        <v>78736.037689999997</v>
      </c>
      <c r="N1073" s="30" t="s">
        <v>7</v>
      </c>
      <c r="O1073" s="28" t="s">
        <v>8</v>
      </c>
      <c r="P1073"/>
    </row>
    <row r="1074" spans="1:16" x14ac:dyDescent="0.35">
      <c r="A1074" s="4">
        <v>1071</v>
      </c>
      <c r="B1074" s="17">
        <v>46054.034722222219</v>
      </c>
      <c r="C1074" s="1">
        <v>78908.58</v>
      </c>
      <c r="D1074" s="20">
        <v>78970.33</v>
      </c>
      <c r="E1074" s="20">
        <v>78886.429999999993</v>
      </c>
      <c r="F1074" s="1">
        <v>78937.62</v>
      </c>
      <c r="G1074" s="18">
        <v>197</v>
      </c>
      <c r="I1074" s="21">
        <v>46054.034722222219</v>
      </c>
      <c r="J1074" s="26"/>
      <c r="K1074" s="29"/>
      <c r="L1074" s="27">
        <v>79041.686669999996</v>
      </c>
      <c r="M1074" s="27">
        <v>78746.144620000006</v>
      </c>
      <c r="N1074" s="30" t="s">
        <v>7</v>
      </c>
      <c r="O1074" s="28" t="s">
        <v>8</v>
      </c>
      <c r="P1074"/>
    </row>
    <row r="1075" spans="1:16" x14ac:dyDescent="0.35">
      <c r="A1075" s="4">
        <v>1072</v>
      </c>
      <c r="B1075" s="17">
        <v>46054.035416666666</v>
      </c>
      <c r="C1075" s="1">
        <v>78948.100000000006</v>
      </c>
      <c r="D1075" s="20">
        <v>79067.92</v>
      </c>
      <c r="E1075" s="20">
        <v>78948.100000000006</v>
      </c>
      <c r="F1075" s="1">
        <v>79062.75</v>
      </c>
      <c r="G1075" s="18">
        <v>241</v>
      </c>
      <c r="I1075" s="21">
        <v>46054.035416666666</v>
      </c>
      <c r="J1075" s="26">
        <v>79067.92</v>
      </c>
      <c r="K1075" s="29"/>
      <c r="L1075" s="27">
        <v>79067.92</v>
      </c>
      <c r="M1075" s="27">
        <v>78756.251539999997</v>
      </c>
      <c r="N1075" s="30" t="s">
        <v>7</v>
      </c>
      <c r="O1075" s="28" t="s">
        <v>8</v>
      </c>
      <c r="P1075"/>
    </row>
    <row r="1076" spans="1:16" x14ac:dyDescent="0.35">
      <c r="A1076" s="4">
        <v>1073</v>
      </c>
      <c r="B1076" s="17">
        <v>46054.036111111112</v>
      </c>
      <c r="C1076" s="1">
        <v>79062.75</v>
      </c>
      <c r="D1076" s="20">
        <v>79062.75</v>
      </c>
      <c r="E1076" s="20">
        <v>78909.42</v>
      </c>
      <c r="F1076" s="1">
        <v>78909.97</v>
      </c>
      <c r="G1076" s="18">
        <v>233</v>
      </c>
      <c r="I1076" s="21">
        <v>46054.036111111112</v>
      </c>
      <c r="J1076" s="26"/>
      <c r="K1076" s="29"/>
      <c r="L1076" s="27">
        <v>79054.508329999997</v>
      </c>
      <c r="M1076" s="27">
        <v>78766.358460000003</v>
      </c>
      <c r="N1076" s="30" t="s">
        <v>6</v>
      </c>
      <c r="O1076" s="28" t="s">
        <v>8</v>
      </c>
      <c r="P1076"/>
    </row>
    <row r="1077" spans="1:16" x14ac:dyDescent="0.35">
      <c r="A1077" s="4">
        <v>1074</v>
      </c>
      <c r="B1077" s="17">
        <v>46054.036805555559</v>
      </c>
      <c r="C1077" s="1">
        <v>78918.240000000005</v>
      </c>
      <c r="D1077" s="20">
        <v>78974.34</v>
      </c>
      <c r="E1077" s="20">
        <v>78909.72</v>
      </c>
      <c r="F1077" s="1">
        <v>78974.070000000007</v>
      </c>
      <c r="G1077" s="18">
        <v>189</v>
      </c>
      <c r="I1077" s="21">
        <v>46054.036805555559</v>
      </c>
      <c r="J1077" s="26"/>
      <c r="K1077" s="29"/>
      <c r="L1077" s="27">
        <v>79041.096669999999</v>
      </c>
      <c r="M1077" s="27">
        <v>78776.465379999994</v>
      </c>
      <c r="N1077" s="30" t="s">
        <v>6</v>
      </c>
      <c r="O1077" s="28" t="s">
        <v>8</v>
      </c>
      <c r="P1077"/>
    </row>
    <row r="1078" spans="1:16" x14ac:dyDescent="0.35">
      <c r="A1078" s="4">
        <v>1075</v>
      </c>
      <c r="B1078" s="17">
        <v>46054.037499999999</v>
      </c>
      <c r="C1078" s="1">
        <v>78974.31</v>
      </c>
      <c r="D1078" s="20">
        <v>79001.83</v>
      </c>
      <c r="E1078" s="20">
        <v>78916.929999999993</v>
      </c>
      <c r="F1078" s="1">
        <v>78960.67</v>
      </c>
      <c r="G1078" s="18">
        <v>222</v>
      </c>
      <c r="I1078" s="21">
        <v>46054.037499999999</v>
      </c>
      <c r="J1078" s="26"/>
      <c r="K1078" s="29"/>
      <c r="L1078" s="27">
        <v>79027.684999999998</v>
      </c>
      <c r="M1078" s="27">
        <v>78786.572310000003</v>
      </c>
      <c r="N1078" s="30" t="s">
        <v>6</v>
      </c>
      <c r="O1078" s="28" t="s">
        <v>8</v>
      </c>
      <c r="P1078"/>
    </row>
    <row r="1079" spans="1:16" x14ac:dyDescent="0.35">
      <c r="A1079" s="4">
        <v>1076</v>
      </c>
      <c r="B1079" s="17">
        <v>46054.038194444445</v>
      </c>
      <c r="C1079" s="1">
        <v>78959.039999999994</v>
      </c>
      <c r="D1079" s="20">
        <v>78982.23</v>
      </c>
      <c r="E1079" s="20">
        <v>78944.56</v>
      </c>
      <c r="F1079" s="1">
        <v>78979.17</v>
      </c>
      <c r="G1079" s="18">
        <v>221</v>
      </c>
      <c r="I1079" s="21">
        <v>46054.038194444445</v>
      </c>
      <c r="J1079" s="26"/>
      <c r="K1079" s="29"/>
      <c r="L1079" s="27">
        <v>79014.273329999996</v>
      </c>
      <c r="M1079" s="27">
        <v>78796.679229999994</v>
      </c>
      <c r="N1079" s="30" t="s">
        <v>6</v>
      </c>
      <c r="O1079" s="28" t="s">
        <v>8</v>
      </c>
      <c r="P1079"/>
    </row>
    <row r="1080" spans="1:16" x14ac:dyDescent="0.35">
      <c r="A1080" s="4">
        <v>1077</v>
      </c>
      <c r="B1080" s="17">
        <v>46054.038888888892</v>
      </c>
      <c r="C1080" s="1">
        <v>78979.509999999995</v>
      </c>
      <c r="D1080" s="20">
        <v>78983.820000000007</v>
      </c>
      <c r="E1080" s="20">
        <v>78940.56</v>
      </c>
      <c r="F1080" s="1">
        <v>78950.53</v>
      </c>
      <c r="G1080" s="18">
        <v>202</v>
      </c>
      <c r="I1080" s="21">
        <v>46054.038888888892</v>
      </c>
      <c r="J1080" s="26"/>
      <c r="K1080" s="29"/>
      <c r="L1080" s="27">
        <v>79000.861669999998</v>
      </c>
      <c r="M1080" s="27">
        <v>78806.78615</v>
      </c>
      <c r="N1080" s="30" t="s">
        <v>6</v>
      </c>
      <c r="O1080" s="28" t="s">
        <v>8</v>
      </c>
      <c r="P1080"/>
    </row>
    <row r="1081" spans="1:16" x14ac:dyDescent="0.35">
      <c r="A1081" s="4">
        <v>1078</v>
      </c>
      <c r="B1081" s="17">
        <v>46054.039583333331</v>
      </c>
      <c r="C1081" s="1">
        <v>78950.45</v>
      </c>
      <c r="D1081" s="20">
        <v>78987.45</v>
      </c>
      <c r="E1081" s="20">
        <v>78950.45</v>
      </c>
      <c r="F1081" s="1">
        <v>78979.19</v>
      </c>
      <c r="G1081" s="18">
        <v>175</v>
      </c>
      <c r="I1081" s="21">
        <v>46054.039583333331</v>
      </c>
      <c r="J1081" s="26">
        <v>78987.45</v>
      </c>
      <c r="K1081" s="29"/>
      <c r="L1081" s="27">
        <v>78987.45</v>
      </c>
      <c r="M1081" s="27">
        <v>78816.893079999994</v>
      </c>
      <c r="N1081" s="30" t="s">
        <v>6</v>
      </c>
      <c r="O1081" s="28" t="s">
        <v>8</v>
      </c>
      <c r="P1081"/>
    </row>
    <row r="1082" spans="1:16" x14ac:dyDescent="0.35">
      <c r="A1082" s="4">
        <v>1079</v>
      </c>
      <c r="B1082" s="17">
        <v>46054.040277777778</v>
      </c>
      <c r="C1082" s="1">
        <v>78980.350000000006</v>
      </c>
      <c r="D1082" s="20">
        <v>78980.350000000006</v>
      </c>
      <c r="E1082" s="20">
        <v>78827</v>
      </c>
      <c r="F1082" s="1">
        <v>78830.44</v>
      </c>
      <c r="G1082" s="18">
        <v>232</v>
      </c>
      <c r="I1082" s="21">
        <v>46054.040277777778</v>
      </c>
      <c r="J1082" s="26"/>
      <c r="K1082" s="29">
        <v>78827</v>
      </c>
      <c r="L1082" s="27">
        <v>78959.677500000005</v>
      </c>
      <c r="M1082" s="27">
        <v>78827</v>
      </c>
      <c r="N1082" s="30" t="s">
        <v>6</v>
      </c>
      <c r="O1082" s="28" t="s">
        <v>8</v>
      </c>
      <c r="P1082"/>
    </row>
    <row r="1083" spans="1:16" x14ac:dyDescent="0.35">
      <c r="A1083" s="4">
        <v>1080</v>
      </c>
      <c r="B1083" s="17">
        <v>46054.040972222225</v>
      </c>
      <c r="C1083" s="1">
        <v>78844.44</v>
      </c>
      <c r="D1083" s="20">
        <v>78891.149999999994</v>
      </c>
      <c r="E1083" s="20">
        <v>78842.070000000007</v>
      </c>
      <c r="F1083" s="1">
        <v>78850.06</v>
      </c>
      <c r="G1083" s="18">
        <v>235</v>
      </c>
      <c r="I1083" s="21">
        <v>46054.040972222225</v>
      </c>
      <c r="J1083" s="26"/>
      <c r="K1083" s="29"/>
      <c r="L1083" s="27">
        <v>78931.904999999999</v>
      </c>
      <c r="M1083" s="27">
        <v>78793.703330000004</v>
      </c>
      <c r="N1083" s="30" t="s">
        <v>6</v>
      </c>
      <c r="O1083" s="28" t="s">
        <v>13</v>
      </c>
      <c r="P1083"/>
    </row>
    <row r="1084" spans="1:16" x14ac:dyDescent="0.35">
      <c r="A1084" s="4">
        <v>1081</v>
      </c>
      <c r="B1084" s="17">
        <v>46054.041666666664</v>
      </c>
      <c r="C1084" s="1">
        <v>78850.070000000007</v>
      </c>
      <c r="D1084" s="20">
        <v>78896.62</v>
      </c>
      <c r="E1084" s="20">
        <v>78830.73</v>
      </c>
      <c r="F1084" s="1">
        <v>78878.259999999995</v>
      </c>
      <c r="G1084" s="18">
        <v>225</v>
      </c>
      <c r="I1084" s="21">
        <v>46054.041666666664</v>
      </c>
      <c r="J1084" s="26"/>
      <c r="K1084" s="29"/>
      <c r="L1084" s="27">
        <v>78904.132500000007</v>
      </c>
      <c r="M1084" s="27">
        <v>78760.406669999997</v>
      </c>
      <c r="N1084" s="30" t="s">
        <v>6</v>
      </c>
      <c r="O1084" s="28" t="s">
        <v>13</v>
      </c>
      <c r="P1084"/>
    </row>
    <row r="1085" spans="1:16" x14ac:dyDescent="0.35">
      <c r="A1085" s="4">
        <v>1082</v>
      </c>
      <c r="B1085" s="17">
        <v>46054.042361111111</v>
      </c>
      <c r="C1085" s="1">
        <v>78878.259999999995</v>
      </c>
      <c r="D1085" s="20">
        <v>78878.37</v>
      </c>
      <c r="E1085" s="20">
        <v>78727.11</v>
      </c>
      <c r="F1085" s="1">
        <v>78743.14</v>
      </c>
      <c r="G1085" s="18">
        <v>224</v>
      </c>
      <c r="I1085" s="21">
        <v>46054.042361111111</v>
      </c>
      <c r="J1085" s="26"/>
      <c r="K1085" s="29">
        <v>78727.11</v>
      </c>
      <c r="L1085" s="27">
        <v>78876.36</v>
      </c>
      <c r="M1085" s="27">
        <v>78727.11</v>
      </c>
      <c r="N1085" s="30" t="s">
        <v>6</v>
      </c>
      <c r="O1085" s="28" t="s">
        <v>13</v>
      </c>
      <c r="P1085"/>
    </row>
    <row r="1086" spans="1:16" x14ac:dyDescent="0.35">
      <c r="A1086" s="4">
        <v>1083</v>
      </c>
      <c r="B1086" s="17">
        <v>46054.043055555558</v>
      </c>
      <c r="C1086" s="1">
        <v>78748.03</v>
      </c>
      <c r="D1086" s="20">
        <v>78842.92</v>
      </c>
      <c r="E1086" s="20">
        <v>78734.740000000005</v>
      </c>
      <c r="F1086" s="1">
        <v>78763.48</v>
      </c>
      <c r="G1086" s="18">
        <v>231</v>
      </c>
      <c r="I1086" s="21">
        <v>46054.043055555558</v>
      </c>
      <c r="J1086" s="26"/>
      <c r="K1086" s="29"/>
      <c r="L1086" s="27">
        <v>78848.587499999994</v>
      </c>
      <c r="M1086" s="27">
        <v>78696.926670000001</v>
      </c>
      <c r="N1086" s="30" t="s">
        <v>6</v>
      </c>
      <c r="O1086" s="28" t="s">
        <v>13</v>
      </c>
      <c r="P1086"/>
    </row>
    <row r="1087" spans="1:16" x14ac:dyDescent="0.35">
      <c r="A1087" s="4">
        <v>1084</v>
      </c>
      <c r="B1087" s="17">
        <v>46054.043749999997</v>
      </c>
      <c r="C1087" s="1">
        <v>78763.48</v>
      </c>
      <c r="D1087" s="20">
        <v>78798.73</v>
      </c>
      <c r="E1087" s="20">
        <v>78738.37</v>
      </c>
      <c r="F1087" s="1">
        <v>78759.69</v>
      </c>
      <c r="G1087" s="18">
        <v>212</v>
      </c>
      <c r="I1087" s="21">
        <v>46054.043749999997</v>
      </c>
      <c r="J1087" s="26"/>
      <c r="K1087" s="29"/>
      <c r="L1087" s="27">
        <v>78820.815000000002</v>
      </c>
      <c r="M1087" s="27">
        <v>78666.743329999998</v>
      </c>
      <c r="N1087" s="30" t="s">
        <v>6</v>
      </c>
      <c r="O1087" s="28" t="s">
        <v>13</v>
      </c>
      <c r="P1087"/>
    </row>
    <row r="1088" spans="1:16" x14ac:dyDescent="0.35">
      <c r="A1088" s="4">
        <v>1085</v>
      </c>
      <c r="B1088" s="17">
        <v>46054.044444444444</v>
      </c>
      <c r="C1088" s="1">
        <v>78759.69</v>
      </c>
      <c r="D1088" s="20">
        <v>78759.78</v>
      </c>
      <c r="E1088" s="20">
        <v>78652.710000000006</v>
      </c>
      <c r="F1088" s="1">
        <v>78724.009999999995</v>
      </c>
      <c r="G1088" s="18">
        <v>235</v>
      </c>
      <c r="I1088" s="21">
        <v>46054.044444444444</v>
      </c>
      <c r="J1088" s="26"/>
      <c r="K1088" s="29"/>
      <c r="L1088" s="27">
        <v>78793.042499999996</v>
      </c>
      <c r="M1088" s="27">
        <v>78636.56</v>
      </c>
      <c r="N1088" s="30" t="s">
        <v>6</v>
      </c>
      <c r="O1088" s="28" t="s">
        <v>13</v>
      </c>
      <c r="P1088"/>
    </row>
    <row r="1089" spans="1:16" x14ac:dyDescent="0.35">
      <c r="A1089" s="4">
        <v>1086</v>
      </c>
      <c r="B1089" s="17">
        <v>46054.045138888891</v>
      </c>
      <c r="C1089" s="1">
        <v>78724.009999999995</v>
      </c>
      <c r="D1089" s="20">
        <v>78746.64</v>
      </c>
      <c r="E1089" s="20">
        <v>78614.11</v>
      </c>
      <c r="F1089" s="1">
        <v>78621.179999999993</v>
      </c>
      <c r="G1089" s="18">
        <v>256</v>
      </c>
      <c r="I1089" s="21">
        <v>46054.045138888891</v>
      </c>
      <c r="J1089" s="26"/>
      <c r="K1089" s="29"/>
      <c r="L1089" s="27">
        <v>78765.27</v>
      </c>
      <c r="M1089" s="27">
        <v>78606.376669999998</v>
      </c>
      <c r="N1089" s="30" t="s">
        <v>6</v>
      </c>
      <c r="O1089" s="28" t="s">
        <v>13</v>
      </c>
      <c r="P1089"/>
    </row>
    <row r="1090" spans="1:16" x14ac:dyDescent="0.35">
      <c r="A1090" s="4">
        <v>1087</v>
      </c>
      <c r="B1090" s="17">
        <v>46054.04583333333</v>
      </c>
      <c r="C1090" s="1">
        <v>78629.5</v>
      </c>
      <c r="D1090" s="20">
        <v>78701.81</v>
      </c>
      <c r="E1090" s="20">
        <v>78611.63</v>
      </c>
      <c r="F1090" s="1">
        <v>78637.429999999993</v>
      </c>
      <c r="G1090" s="18">
        <v>260</v>
      </c>
      <c r="I1090" s="21">
        <v>46054.04583333333</v>
      </c>
      <c r="J1090" s="26"/>
      <c r="K1090" s="29"/>
      <c r="L1090" s="27">
        <v>78737.497499999998</v>
      </c>
      <c r="M1090" s="27">
        <v>78576.193329999995</v>
      </c>
      <c r="N1090" s="30" t="s">
        <v>6</v>
      </c>
      <c r="O1090" s="28" t="s">
        <v>13</v>
      </c>
      <c r="P1090"/>
    </row>
    <row r="1091" spans="1:16" x14ac:dyDescent="0.35">
      <c r="A1091" s="4">
        <v>1088</v>
      </c>
      <c r="B1091" s="17">
        <v>46054.046527777777</v>
      </c>
      <c r="C1091" s="1">
        <v>78638.649999999994</v>
      </c>
      <c r="D1091" s="20">
        <v>78638.649999999994</v>
      </c>
      <c r="E1091" s="20">
        <v>78546.009999999995</v>
      </c>
      <c r="F1091" s="1">
        <v>78592.94</v>
      </c>
      <c r="G1091" s="18">
        <v>258</v>
      </c>
      <c r="I1091" s="21">
        <v>46054.046527777777</v>
      </c>
      <c r="J1091" s="26"/>
      <c r="K1091" s="29">
        <v>78546.009999999995</v>
      </c>
      <c r="L1091" s="27">
        <v>78709.725000000006</v>
      </c>
      <c r="M1091" s="27">
        <v>78546.009999999995</v>
      </c>
      <c r="N1091" s="30" t="s">
        <v>6</v>
      </c>
      <c r="O1091" s="28" t="s">
        <v>13</v>
      </c>
      <c r="P1091"/>
    </row>
    <row r="1092" spans="1:16" x14ac:dyDescent="0.35">
      <c r="A1092" s="4">
        <v>1089</v>
      </c>
      <c r="B1092" s="17">
        <v>46054.047222222223</v>
      </c>
      <c r="C1092" s="1">
        <v>78593.2</v>
      </c>
      <c r="D1092" s="20">
        <v>78652.479999999996</v>
      </c>
      <c r="E1092" s="20">
        <v>78561.34</v>
      </c>
      <c r="F1092" s="1">
        <v>78647.350000000006</v>
      </c>
      <c r="G1092" s="18">
        <v>267</v>
      </c>
      <c r="I1092" s="21">
        <v>46054.047222222223</v>
      </c>
      <c r="J1092" s="26"/>
      <c r="K1092" s="29"/>
      <c r="L1092" s="27">
        <v>78681.952499999999</v>
      </c>
      <c r="M1092" s="27">
        <v>78514.845000000001</v>
      </c>
      <c r="N1092" s="30" t="s">
        <v>6</v>
      </c>
      <c r="O1092" s="28" t="s">
        <v>13</v>
      </c>
      <c r="P1092"/>
    </row>
    <row r="1093" spans="1:16" x14ac:dyDescent="0.35">
      <c r="A1093" s="4">
        <v>1090</v>
      </c>
      <c r="B1093" s="17">
        <v>46054.04791666667</v>
      </c>
      <c r="C1093" s="1">
        <v>78647.350000000006</v>
      </c>
      <c r="D1093" s="20">
        <v>78654.179999999993</v>
      </c>
      <c r="E1093" s="20">
        <v>78594.2</v>
      </c>
      <c r="F1093" s="1">
        <v>78594.240000000005</v>
      </c>
      <c r="G1093" s="18">
        <v>191</v>
      </c>
      <c r="I1093" s="21">
        <v>46054.04791666667</v>
      </c>
      <c r="J1093" s="26">
        <v>78654.179999999993</v>
      </c>
      <c r="K1093" s="29"/>
      <c r="L1093" s="27">
        <v>78654.179999999993</v>
      </c>
      <c r="M1093" s="27">
        <v>78483.679999999993</v>
      </c>
      <c r="N1093" s="30" t="s">
        <v>6</v>
      </c>
      <c r="O1093" s="28" t="s">
        <v>13</v>
      </c>
      <c r="P1093"/>
    </row>
    <row r="1094" spans="1:16" x14ac:dyDescent="0.35">
      <c r="A1094" s="4">
        <v>1091</v>
      </c>
      <c r="B1094" s="17">
        <v>46054.048611111109</v>
      </c>
      <c r="C1094" s="1">
        <v>78588.95</v>
      </c>
      <c r="D1094" s="20">
        <v>78618.3</v>
      </c>
      <c r="E1094" s="20">
        <v>78526.59</v>
      </c>
      <c r="F1094" s="1">
        <v>78528.179999999993</v>
      </c>
      <c r="G1094" s="18">
        <v>253</v>
      </c>
      <c r="I1094" s="21">
        <v>46054.048611111109</v>
      </c>
      <c r="J1094" s="26"/>
      <c r="K1094" s="29"/>
      <c r="L1094" s="27">
        <v>78658.964999999997</v>
      </c>
      <c r="M1094" s="27">
        <v>78452.514999999999</v>
      </c>
      <c r="N1094" s="30" t="s">
        <v>7</v>
      </c>
      <c r="O1094" s="28" t="s">
        <v>13</v>
      </c>
      <c r="P1094"/>
    </row>
    <row r="1095" spans="1:16" x14ac:dyDescent="0.35">
      <c r="A1095" s="4">
        <v>1092</v>
      </c>
      <c r="B1095" s="17">
        <v>46054.049305555556</v>
      </c>
      <c r="C1095" s="1">
        <v>78529.11</v>
      </c>
      <c r="D1095" s="20">
        <v>78589.600000000006</v>
      </c>
      <c r="E1095" s="20">
        <v>78421.350000000006</v>
      </c>
      <c r="F1095" s="1">
        <v>78548.990000000005</v>
      </c>
      <c r="G1095" s="18">
        <v>266</v>
      </c>
      <c r="I1095" s="21">
        <v>46054.049305555556</v>
      </c>
      <c r="J1095" s="26"/>
      <c r="K1095" s="29">
        <v>78421.350000000006</v>
      </c>
      <c r="L1095" s="27">
        <v>78663.75</v>
      </c>
      <c r="M1095" s="27">
        <v>78421.350000000006</v>
      </c>
      <c r="N1095" s="30" t="s">
        <v>7</v>
      </c>
      <c r="O1095" s="28" t="s">
        <v>13</v>
      </c>
      <c r="P1095"/>
    </row>
    <row r="1096" spans="1:16" x14ac:dyDescent="0.35">
      <c r="A1096" s="4">
        <v>1093</v>
      </c>
      <c r="B1096" s="17">
        <v>46054.05</v>
      </c>
      <c r="C1096" s="1">
        <v>78549</v>
      </c>
      <c r="D1096" s="20">
        <v>78601.649999999994</v>
      </c>
      <c r="E1096" s="20">
        <v>78516.679999999993</v>
      </c>
      <c r="F1096" s="1">
        <v>78601.63</v>
      </c>
      <c r="G1096" s="18">
        <v>221</v>
      </c>
      <c r="I1096" s="21">
        <v>46054.05</v>
      </c>
      <c r="J1096" s="26"/>
      <c r="K1096" s="29"/>
      <c r="L1096" s="27">
        <v>78668.535000000003</v>
      </c>
      <c r="M1096" s="27">
        <v>78411.412500000006</v>
      </c>
      <c r="N1096" s="30" t="s">
        <v>7</v>
      </c>
      <c r="O1096" s="28" t="s">
        <v>13</v>
      </c>
      <c r="P1096"/>
    </row>
    <row r="1097" spans="1:16" x14ac:dyDescent="0.35">
      <c r="A1097" s="4">
        <v>1094</v>
      </c>
      <c r="B1097" s="17">
        <v>46054.050694444442</v>
      </c>
      <c r="C1097" s="1">
        <v>78604.570000000007</v>
      </c>
      <c r="D1097" s="20">
        <v>78673.320000000007</v>
      </c>
      <c r="E1097" s="20">
        <v>78604.570000000007</v>
      </c>
      <c r="F1097" s="1">
        <v>78648.149999999994</v>
      </c>
      <c r="G1097" s="18">
        <v>230</v>
      </c>
      <c r="I1097" s="21">
        <v>46054.050694444442</v>
      </c>
      <c r="J1097" s="26">
        <v>78673.320000000007</v>
      </c>
      <c r="K1097" s="29"/>
      <c r="L1097" s="27">
        <v>78673.320000000007</v>
      </c>
      <c r="M1097" s="27">
        <v>78401.475000000006</v>
      </c>
      <c r="N1097" s="30" t="s">
        <v>7</v>
      </c>
      <c r="O1097" s="28" t="s">
        <v>13</v>
      </c>
      <c r="P1097"/>
    </row>
    <row r="1098" spans="1:16" x14ac:dyDescent="0.35">
      <c r="A1098" s="4">
        <v>1095</v>
      </c>
      <c r="B1098" s="17">
        <v>46054.051388888889</v>
      </c>
      <c r="C1098" s="1">
        <v>78648.160000000003</v>
      </c>
      <c r="D1098" s="20">
        <v>78666.41</v>
      </c>
      <c r="E1098" s="20">
        <v>78621.2</v>
      </c>
      <c r="F1098" s="1">
        <v>78655.740000000005</v>
      </c>
      <c r="G1098" s="18">
        <v>222</v>
      </c>
      <c r="I1098" s="21">
        <v>46054.051388888889</v>
      </c>
      <c r="J1098" s="26"/>
      <c r="K1098" s="29"/>
      <c r="L1098" s="27">
        <v>78664.51182</v>
      </c>
      <c r="M1098" s="27">
        <v>78391.537500000006</v>
      </c>
      <c r="N1098" s="30" t="s">
        <v>6</v>
      </c>
      <c r="O1098" s="28" t="s">
        <v>13</v>
      </c>
      <c r="P1098"/>
    </row>
    <row r="1099" spans="1:16" x14ac:dyDescent="0.35">
      <c r="A1099" s="4">
        <v>1096</v>
      </c>
      <c r="B1099" s="17">
        <v>46054.052083333336</v>
      </c>
      <c r="C1099" s="1">
        <v>78656.289999999994</v>
      </c>
      <c r="D1099" s="20">
        <v>78656.289999999994</v>
      </c>
      <c r="E1099" s="20">
        <v>78500.56</v>
      </c>
      <c r="F1099" s="1">
        <v>78546.009999999995</v>
      </c>
      <c r="G1099" s="18">
        <v>233</v>
      </c>
      <c r="I1099" s="21">
        <v>46054.052083333336</v>
      </c>
      <c r="J1099" s="26"/>
      <c r="K1099" s="29"/>
      <c r="L1099" s="27">
        <v>78655.703640000007</v>
      </c>
      <c r="M1099" s="27">
        <v>78381.600000000006</v>
      </c>
      <c r="N1099" s="30" t="s">
        <v>6</v>
      </c>
      <c r="O1099" s="28" t="s">
        <v>13</v>
      </c>
      <c r="P1099"/>
    </row>
    <row r="1100" spans="1:16" x14ac:dyDescent="0.35">
      <c r="A1100" s="4">
        <v>1097</v>
      </c>
      <c r="B1100" s="17">
        <v>46054.052777777775</v>
      </c>
      <c r="C1100" s="1">
        <v>78545.039999999994</v>
      </c>
      <c r="D1100" s="20">
        <v>78566.11</v>
      </c>
      <c r="E1100" s="20">
        <v>78391.72</v>
      </c>
      <c r="F1100" s="1">
        <v>78426.100000000006</v>
      </c>
      <c r="G1100" s="18">
        <v>262</v>
      </c>
      <c r="I1100" s="21">
        <v>46054.052777777775</v>
      </c>
      <c r="J1100" s="26"/>
      <c r="K1100" s="29"/>
      <c r="L1100" s="27">
        <v>78646.895449999996</v>
      </c>
      <c r="M1100" s="27">
        <v>78371.662500000006</v>
      </c>
      <c r="N1100" s="30" t="s">
        <v>6</v>
      </c>
      <c r="O1100" s="28" t="s">
        <v>13</v>
      </c>
      <c r="P1100"/>
    </row>
    <row r="1101" spans="1:16" x14ac:dyDescent="0.35">
      <c r="A1101" s="4">
        <v>1098</v>
      </c>
      <c r="B1101" s="17">
        <v>46054.053472222222</v>
      </c>
      <c r="C1101" s="1">
        <v>78426.09</v>
      </c>
      <c r="D1101" s="20">
        <v>78454.05</v>
      </c>
      <c r="E1101" s="20">
        <v>78402.070000000007</v>
      </c>
      <c r="F1101" s="1">
        <v>78428.28</v>
      </c>
      <c r="G1101" s="18">
        <v>196</v>
      </c>
      <c r="I1101" s="21">
        <v>46054.053472222222</v>
      </c>
      <c r="J1101" s="26"/>
      <c r="K1101" s="29"/>
      <c r="L1101" s="27">
        <v>78638.087270000004</v>
      </c>
      <c r="M1101" s="27">
        <v>78361.725000000006</v>
      </c>
      <c r="N1101" s="30" t="s">
        <v>6</v>
      </c>
      <c r="O1101" s="28" t="s">
        <v>13</v>
      </c>
      <c r="P1101"/>
    </row>
    <row r="1102" spans="1:16" x14ac:dyDescent="0.35">
      <c r="A1102" s="4">
        <v>1099</v>
      </c>
      <c r="B1102" s="17">
        <v>46054.054166666669</v>
      </c>
      <c r="C1102" s="1">
        <v>78428.72</v>
      </c>
      <c r="D1102" s="20">
        <v>78466.649999999994</v>
      </c>
      <c r="E1102" s="20">
        <v>78369.600000000006</v>
      </c>
      <c r="F1102" s="1">
        <v>78409.210000000006</v>
      </c>
      <c r="G1102" s="18">
        <v>189</v>
      </c>
      <c r="I1102" s="21">
        <v>46054.054166666669</v>
      </c>
      <c r="J1102" s="26"/>
      <c r="K1102" s="29"/>
      <c r="L1102" s="27">
        <v>78629.279089999996</v>
      </c>
      <c r="M1102" s="27">
        <v>78351.787500000006</v>
      </c>
      <c r="N1102" s="30" t="s">
        <v>6</v>
      </c>
      <c r="O1102" s="28" t="s">
        <v>13</v>
      </c>
      <c r="P1102"/>
    </row>
    <row r="1103" spans="1:16" x14ac:dyDescent="0.35">
      <c r="A1103" s="4">
        <v>1100</v>
      </c>
      <c r="B1103" s="17">
        <v>46054.054861111108</v>
      </c>
      <c r="C1103" s="1">
        <v>78412.11</v>
      </c>
      <c r="D1103" s="20">
        <v>78413.98</v>
      </c>
      <c r="E1103" s="20">
        <v>78341.850000000006</v>
      </c>
      <c r="F1103" s="1">
        <v>78351.22</v>
      </c>
      <c r="G1103" s="18">
        <v>215</v>
      </c>
      <c r="I1103" s="21">
        <v>46054.054861111108</v>
      </c>
      <c r="J1103" s="26"/>
      <c r="K1103" s="29">
        <v>78341.850000000006</v>
      </c>
      <c r="L1103" s="27">
        <v>78620.470910000004</v>
      </c>
      <c r="M1103" s="27">
        <v>78341.850000000006</v>
      </c>
      <c r="N1103" s="30" t="s">
        <v>6</v>
      </c>
      <c r="O1103" s="28" t="s">
        <v>13</v>
      </c>
      <c r="P1103"/>
    </row>
    <row r="1104" spans="1:16" x14ac:dyDescent="0.35">
      <c r="A1104" s="4">
        <v>1101</v>
      </c>
      <c r="B1104" s="17">
        <v>46054.055555555555</v>
      </c>
      <c r="C1104" s="1">
        <v>78365.16</v>
      </c>
      <c r="D1104" s="20">
        <v>78407.22</v>
      </c>
      <c r="E1104" s="20">
        <v>78346.899999999994</v>
      </c>
      <c r="F1104" s="1">
        <v>78391.850000000006</v>
      </c>
      <c r="G1104" s="18">
        <v>238</v>
      </c>
      <c r="I1104" s="21">
        <v>46054.055555555555</v>
      </c>
      <c r="J1104" s="26"/>
      <c r="K1104" s="29"/>
      <c r="L1104" s="27">
        <v>78611.662729999996</v>
      </c>
      <c r="M1104" s="27">
        <v>78356.318570000003</v>
      </c>
      <c r="N1104" s="30" t="s">
        <v>6</v>
      </c>
      <c r="O1104" s="28" t="s">
        <v>8</v>
      </c>
      <c r="P1104"/>
    </row>
    <row r="1105" spans="1:16" x14ac:dyDescent="0.35">
      <c r="A1105" s="4">
        <v>1102</v>
      </c>
      <c r="B1105" s="17">
        <v>46054.056250000001</v>
      </c>
      <c r="C1105" s="1">
        <v>78391.850000000006</v>
      </c>
      <c r="D1105" s="20">
        <v>78484.05</v>
      </c>
      <c r="E1105" s="20">
        <v>78374.490000000005</v>
      </c>
      <c r="F1105" s="1">
        <v>78459.929999999993</v>
      </c>
      <c r="G1105" s="18">
        <v>203</v>
      </c>
      <c r="I1105" s="21">
        <v>46054.056250000001</v>
      </c>
      <c r="J1105" s="26"/>
      <c r="K1105" s="29"/>
      <c r="L1105" s="27">
        <v>78602.854550000004</v>
      </c>
      <c r="M1105" s="27">
        <v>78370.78714</v>
      </c>
      <c r="N1105" s="30" t="s">
        <v>6</v>
      </c>
      <c r="O1105" s="28" t="s">
        <v>8</v>
      </c>
      <c r="P1105"/>
    </row>
    <row r="1106" spans="1:16" x14ac:dyDescent="0.35">
      <c r="A1106" s="4">
        <v>1103</v>
      </c>
      <c r="B1106" s="17">
        <v>46054.056944444441</v>
      </c>
      <c r="C1106" s="1">
        <v>78459.929999999993</v>
      </c>
      <c r="D1106" s="20">
        <v>78506.23</v>
      </c>
      <c r="E1106" s="20">
        <v>78448.27</v>
      </c>
      <c r="F1106" s="1">
        <v>78503.100000000006</v>
      </c>
      <c r="G1106" s="18">
        <v>232</v>
      </c>
      <c r="I1106" s="21">
        <v>46054.056944444441</v>
      </c>
      <c r="J1106" s="26"/>
      <c r="K1106" s="29"/>
      <c r="L1106" s="27">
        <v>78594.046359999993</v>
      </c>
      <c r="M1106" s="27">
        <v>78385.255709999998</v>
      </c>
      <c r="N1106" s="30" t="s">
        <v>6</v>
      </c>
      <c r="O1106" s="28" t="s">
        <v>8</v>
      </c>
      <c r="P1106"/>
    </row>
    <row r="1107" spans="1:16" x14ac:dyDescent="0.35">
      <c r="A1107" s="4">
        <v>1104</v>
      </c>
      <c r="B1107" s="17">
        <v>46054.057638888888</v>
      </c>
      <c r="C1107" s="1">
        <v>78510.960000000006</v>
      </c>
      <c r="D1107" s="20">
        <v>78565.34</v>
      </c>
      <c r="E1107" s="20">
        <v>78510.92</v>
      </c>
      <c r="F1107" s="1">
        <v>78560.929999999993</v>
      </c>
      <c r="G1107" s="18">
        <v>218</v>
      </c>
      <c r="I1107" s="21">
        <v>46054.057638888888</v>
      </c>
      <c r="J1107" s="26"/>
      <c r="K1107" s="29"/>
      <c r="L1107" s="27">
        <v>78585.23818</v>
      </c>
      <c r="M1107" s="27">
        <v>78399.724289999998</v>
      </c>
      <c r="N1107" s="30" t="s">
        <v>6</v>
      </c>
      <c r="O1107" s="28" t="s">
        <v>8</v>
      </c>
      <c r="P1107"/>
    </row>
    <row r="1108" spans="1:16" x14ac:dyDescent="0.35">
      <c r="A1108" s="4">
        <v>1105</v>
      </c>
      <c r="B1108" s="17">
        <v>46054.058333333334</v>
      </c>
      <c r="C1108" s="1">
        <v>78560.820000000007</v>
      </c>
      <c r="D1108" s="20">
        <v>78576.429999999993</v>
      </c>
      <c r="E1108" s="20">
        <v>78534.179999999993</v>
      </c>
      <c r="F1108" s="1">
        <v>78575.61</v>
      </c>
      <c r="G1108" s="18">
        <v>221</v>
      </c>
      <c r="I1108" s="21">
        <v>46054.058333333334</v>
      </c>
      <c r="J1108" s="26">
        <v>78576.429999999993</v>
      </c>
      <c r="K1108" s="29"/>
      <c r="L1108" s="27">
        <v>78576.429999999993</v>
      </c>
      <c r="M1108" s="27">
        <v>78414.192859999996</v>
      </c>
      <c r="N1108" s="30" t="s">
        <v>6</v>
      </c>
      <c r="O1108" s="28" t="s">
        <v>8</v>
      </c>
      <c r="P1108"/>
    </row>
    <row r="1109" spans="1:16" x14ac:dyDescent="0.35">
      <c r="A1109" s="4">
        <v>1106</v>
      </c>
      <c r="B1109" s="17">
        <v>46054.059027777781</v>
      </c>
      <c r="C1109" s="1">
        <v>78575.63</v>
      </c>
      <c r="D1109" s="20">
        <v>78575.63</v>
      </c>
      <c r="E1109" s="20">
        <v>78537.100000000006</v>
      </c>
      <c r="F1109" s="1">
        <v>78556.53</v>
      </c>
      <c r="G1109" s="18">
        <v>207</v>
      </c>
      <c r="I1109" s="21">
        <v>46054.059027777781</v>
      </c>
      <c r="J1109" s="26"/>
      <c r="K1109" s="29"/>
      <c r="L1109" s="27">
        <v>78628.271999999997</v>
      </c>
      <c r="M1109" s="27">
        <v>78428.661429999993</v>
      </c>
      <c r="N1109" s="30" t="s">
        <v>7</v>
      </c>
      <c r="O1109" s="28" t="s">
        <v>8</v>
      </c>
      <c r="P1109"/>
    </row>
    <row r="1110" spans="1:16" x14ac:dyDescent="0.35">
      <c r="A1110" s="4">
        <v>1107</v>
      </c>
      <c r="B1110" s="17">
        <v>46054.05972222222</v>
      </c>
      <c r="C1110" s="1">
        <v>78555.78</v>
      </c>
      <c r="D1110" s="20">
        <v>78563.899999999994</v>
      </c>
      <c r="E1110" s="20">
        <v>78537.2</v>
      </c>
      <c r="F1110" s="1">
        <v>78555.259999999995</v>
      </c>
      <c r="G1110" s="18">
        <v>196</v>
      </c>
      <c r="I1110" s="21">
        <v>46054.05972222222</v>
      </c>
      <c r="J1110" s="26"/>
      <c r="K1110" s="29"/>
      <c r="L1110" s="27">
        <v>78680.114000000001</v>
      </c>
      <c r="M1110" s="27">
        <v>78443.13</v>
      </c>
      <c r="N1110" s="30" t="s">
        <v>7</v>
      </c>
      <c r="O1110" s="28" t="s">
        <v>8</v>
      </c>
      <c r="P1110"/>
    </row>
    <row r="1111" spans="1:16" x14ac:dyDescent="0.35">
      <c r="A1111" s="4">
        <v>1108</v>
      </c>
      <c r="B1111" s="17">
        <v>46054.060416666667</v>
      </c>
      <c r="C1111" s="1">
        <v>78554.02</v>
      </c>
      <c r="D1111" s="20">
        <v>78747.55</v>
      </c>
      <c r="E1111" s="20">
        <v>78554.02</v>
      </c>
      <c r="F1111" s="1">
        <v>78727.63</v>
      </c>
      <c r="G1111" s="18">
        <v>192</v>
      </c>
      <c r="I1111" s="21">
        <v>46054.060416666667</v>
      </c>
      <c r="J1111" s="26"/>
      <c r="K1111" s="29"/>
      <c r="L1111" s="27">
        <v>78731.956000000006</v>
      </c>
      <c r="M1111" s="27">
        <v>78457.598570000002</v>
      </c>
      <c r="N1111" s="30" t="s">
        <v>7</v>
      </c>
      <c r="O1111" s="28" t="s">
        <v>8</v>
      </c>
      <c r="P1111"/>
    </row>
    <row r="1112" spans="1:16" x14ac:dyDescent="0.35">
      <c r="A1112" s="4">
        <v>1109</v>
      </c>
      <c r="B1112" s="17">
        <v>46054.061111111114</v>
      </c>
      <c r="C1112" s="1">
        <v>78735.320000000007</v>
      </c>
      <c r="D1112" s="20">
        <v>78766.399999999994</v>
      </c>
      <c r="E1112" s="20">
        <v>78730.789999999994</v>
      </c>
      <c r="F1112" s="1">
        <v>78766.399999999994</v>
      </c>
      <c r="G1112" s="18">
        <v>216</v>
      </c>
      <c r="I1112" s="21">
        <v>46054.061111111114</v>
      </c>
      <c r="J1112" s="26"/>
      <c r="K1112" s="29"/>
      <c r="L1112" s="27">
        <v>78783.797999999995</v>
      </c>
      <c r="M1112" s="27">
        <v>78472.067139999999</v>
      </c>
      <c r="N1112" s="30" t="s">
        <v>7</v>
      </c>
      <c r="O1112" s="28" t="s">
        <v>8</v>
      </c>
      <c r="P1112"/>
    </row>
    <row r="1113" spans="1:16" x14ac:dyDescent="0.35">
      <c r="A1113" s="4">
        <v>1110</v>
      </c>
      <c r="B1113" s="17">
        <v>46054.061805555553</v>
      </c>
      <c r="C1113" s="1">
        <v>78767.199999999997</v>
      </c>
      <c r="D1113" s="20">
        <v>78835.64</v>
      </c>
      <c r="E1113" s="20">
        <v>78755.33</v>
      </c>
      <c r="F1113" s="1">
        <v>78790.5</v>
      </c>
      <c r="G1113" s="18">
        <v>238</v>
      </c>
      <c r="I1113" s="21">
        <v>46054.061805555553</v>
      </c>
      <c r="J1113" s="26">
        <v>78835.64</v>
      </c>
      <c r="K1113" s="29"/>
      <c r="L1113" s="27">
        <v>78835.64</v>
      </c>
      <c r="M1113" s="27">
        <v>78486.535709999996</v>
      </c>
      <c r="N1113" s="30" t="s">
        <v>7</v>
      </c>
      <c r="O1113" s="28" t="s">
        <v>8</v>
      </c>
      <c r="P1113"/>
    </row>
    <row r="1114" spans="1:16" x14ac:dyDescent="0.35">
      <c r="A1114" s="4">
        <v>1111</v>
      </c>
      <c r="B1114" s="17">
        <v>46054.0625</v>
      </c>
      <c r="C1114" s="1">
        <v>78780.850000000006</v>
      </c>
      <c r="D1114" s="20">
        <v>78810.77</v>
      </c>
      <c r="E1114" s="20">
        <v>78757.62</v>
      </c>
      <c r="F1114" s="1">
        <v>78761.62</v>
      </c>
      <c r="G1114" s="18">
        <v>247</v>
      </c>
      <c r="I1114" s="21">
        <v>46054.0625</v>
      </c>
      <c r="J1114" s="26"/>
      <c r="K1114" s="29"/>
      <c r="L1114" s="27">
        <v>78808.654999999999</v>
      </c>
      <c r="M1114" s="27">
        <v>78501.004289999997</v>
      </c>
      <c r="N1114" s="30" t="s">
        <v>6</v>
      </c>
      <c r="O1114" s="28" t="s">
        <v>8</v>
      </c>
      <c r="P1114"/>
    </row>
    <row r="1115" spans="1:16" x14ac:dyDescent="0.35">
      <c r="A1115" s="4">
        <v>1112</v>
      </c>
      <c r="B1115" s="17">
        <v>46054.063194444447</v>
      </c>
      <c r="C1115" s="1">
        <v>78761.53</v>
      </c>
      <c r="D1115" s="20">
        <v>78828.25</v>
      </c>
      <c r="E1115" s="20">
        <v>78734.47</v>
      </c>
      <c r="F1115" s="1">
        <v>78753.52</v>
      </c>
      <c r="G1115" s="18">
        <v>239</v>
      </c>
      <c r="I1115" s="21">
        <v>46054.063194444447</v>
      </c>
      <c r="J1115" s="26"/>
      <c r="K1115" s="29"/>
      <c r="L1115" s="27">
        <v>78781.67</v>
      </c>
      <c r="M1115" s="27">
        <v>78515.472859999994</v>
      </c>
      <c r="N1115" s="30" t="s">
        <v>6</v>
      </c>
      <c r="O1115" s="28" t="s">
        <v>8</v>
      </c>
      <c r="P1115"/>
    </row>
    <row r="1116" spans="1:16" x14ac:dyDescent="0.35">
      <c r="A1116" s="4">
        <v>1113</v>
      </c>
      <c r="B1116" s="17">
        <v>46054.063888888886</v>
      </c>
      <c r="C1116" s="1">
        <v>78754.429999999993</v>
      </c>
      <c r="D1116" s="20">
        <v>78755.570000000007</v>
      </c>
      <c r="E1116" s="20">
        <v>78621.960000000006</v>
      </c>
      <c r="F1116" s="1">
        <v>78622.8</v>
      </c>
      <c r="G1116" s="18">
        <v>250</v>
      </c>
      <c r="I1116" s="21">
        <v>46054.063888888886</v>
      </c>
      <c r="J1116" s="26"/>
      <c r="K1116" s="29"/>
      <c r="L1116" s="27">
        <v>78754.684999999998</v>
      </c>
      <c r="M1116" s="27">
        <v>78529.941430000006</v>
      </c>
      <c r="N1116" s="30" t="s">
        <v>6</v>
      </c>
      <c r="O1116" s="28" t="s">
        <v>8</v>
      </c>
      <c r="P1116"/>
    </row>
    <row r="1117" spans="1:16" x14ac:dyDescent="0.35">
      <c r="A1117" s="4">
        <v>1114</v>
      </c>
      <c r="B1117" s="17">
        <v>46054.064583333333</v>
      </c>
      <c r="C1117" s="1">
        <v>78622.8</v>
      </c>
      <c r="D1117" s="20">
        <v>78652.929999999993</v>
      </c>
      <c r="E1117" s="20">
        <v>78544.41</v>
      </c>
      <c r="F1117" s="1">
        <v>78561.460000000006</v>
      </c>
      <c r="G1117" s="18">
        <v>227</v>
      </c>
      <c r="I1117" s="21">
        <v>46054.064583333333</v>
      </c>
      <c r="J1117" s="26"/>
      <c r="K1117" s="29">
        <v>78544.41</v>
      </c>
      <c r="L1117" s="27">
        <v>78727.7</v>
      </c>
      <c r="M1117" s="27">
        <v>78544.41</v>
      </c>
      <c r="N1117" s="30" t="s">
        <v>6</v>
      </c>
      <c r="O1117" s="28" t="s">
        <v>8</v>
      </c>
      <c r="P1117"/>
    </row>
    <row r="1118" spans="1:16" x14ac:dyDescent="0.35">
      <c r="A1118" s="4">
        <v>1115</v>
      </c>
      <c r="B1118" s="17">
        <v>46054.06527777778</v>
      </c>
      <c r="C1118" s="1">
        <v>78554.97</v>
      </c>
      <c r="D1118" s="20">
        <v>78638.53</v>
      </c>
      <c r="E1118" s="20">
        <v>78554.97</v>
      </c>
      <c r="F1118" s="1">
        <v>78638.53</v>
      </c>
      <c r="G1118" s="18">
        <v>234</v>
      </c>
      <c r="I1118" s="21">
        <v>46054.06527777778</v>
      </c>
      <c r="J1118" s="26"/>
      <c r="K1118" s="29"/>
      <c r="L1118" s="27">
        <v>78700.714999999997</v>
      </c>
      <c r="M1118" s="27">
        <v>78517.638179999994</v>
      </c>
      <c r="N1118" s="30" t="s">
        <v>6</v>
      </c>
      <c r="O1118" s="28" t="s">
        <v>13</v>
      </c>
      <c r="P1118"/>
    </row>
    <row r="1119" spans="1:16" x14ac:dyDescent="0.35">
      <c r="A1119" s="4">
        <v>1116</v>
      </c>
      <c r="B1119" s="17">
        <v>46054.065972222219</v>
      </c>
      <c r="C1119" s="1">
        <v>78642.75</v>
      </c>
      <c r="D1119" s="20">
        <v>78673.73</v>
      </c>
      <c r="E1119" s="20">
        <v>78558.399999999994</v>
      </c>
      <c r="F1119" s="1">
        <v>78558.399999999994</v>
      </c>
      <c r="G1119" s="18">
        <v>206</v>
      </c>
      <c r="I1119" s="21">
        <v>46054.065972222219</v>
      </c>
      <c r="J1119" s="26">
        <v>78673.73</v>
      </c>
      <c r="K1119" s="29"/>
      <c r="L1119" s="27">
        <v>78673.73</v>
      </c>
      <c r="M1119" s="27">
        <v>78490.86636</v>
      </c>
      <c r="N1119" s="30" t="s">
        <v>6</v>
      </c>
      <c r="O1119" s="28" t="s">
        <v>13</v>
      </c>
      <c r="P1119"/>
    </row>
    <row r="1120" spans="1:16" x14ac:dyDescent="0.35">
      <c r="A1120" s="4">
        <v>1117</v>
      </c>
      <c r="B1120" s="17">
        <v>46054.066666666666</v>
      </c>
      <c r="C1120" s="1">
        <v>78564.600000000006</v>
      </c>
      <c r="D1120" s="20">
        <v>78580.160000000003</v>
      </c>
      <c r="E1120" s="20">
        <v>78554.600000000006</v>
      </c>
      <c r="F1120" s="1">
        <v>78557.62</v>
      </c>
      <c r="G1120" s="18">
        <v>207</v>
      </c>
      <c r="I1120" s="21">
        <v>46054.066666666666</v>
      </c>
      <c r="J1120" s="26"/>
      <c r="K1120" s="29"/>
      <c r="L1120" s="27">
        <v>78662.586469999995</v>
      </c>
      <c r="M1120" s="27">
        <v>78464.094549999994</v>
      </c>
      <c r="N1120" s="30" t="s">
        <v>6</v>
      </c>
      <c r="O1120" s="28" t="s">
        <v>13</v>
      </c>
      <c r="P1120"/>
    </row>
    <row r="1121" spans="1:16" x14ac:dyDescent="0.35">
      <c r="A1121" s="4">
        <v>1118</v>
      </c>
      <c r="B1121" s="17">
        <v>46054.067361111112</v>
      </c>
      <c r="C1121" s="1">
        <v>78557.63</v>
      </c>
      <c r="D1121" s="20">
        <v>78593.06</v>
      </c>
      <c r="E1121" s="20">
        <v>78541.3</v>
      </c>
      <c r="F1121" s="1">
        <v>78541.3</v>
      </c>
      <c r="G1121" s="18">
        <v>203</v>
      </c>
      <c r="I1121" s="21">
        <v>46054.067361111112</v>
      </c>
      <c r="J1121" s="26"/>
      <c r="K1121" s="29"/>
      <c r="L1121" s="27">
        <v>78651.442939999994</v>
      </c>
      <c r="M1121" s="27">
        <v>78437.32273</v>
      </c>
      <c r="N1121" s="30" t="s">
        <v>6</v>
      </c>
      <c r="O1121" s="28" t="s">
        <v>13</v>
      </c>
      <c r="P1121"/>
    </row>
    <row r="1122" spans="1:16" x14ac:dyDescent="0.35">
      <c r="A1122" s="4">
        <v>1119</v>
      </c>
      <c r="B1122" s="17">
        <v>46054.068055555559</v>
      </c>
      <c r="C1122" s="1">
        <v>78536.97</v>
      </c>
      <c r="D1122" s="20">
        <v>78575.520000000004</v>
      </c>
      <c r="E1122" s="20">
        <v>78497.78</v>
      </c>
      <c r="F1122" s="1">
        <v>78499.17</v>
      </c>
      <c r="G1122" s="18">
        <v>186</v>
      </c>
      <c r="I1122" s="21">
        <v>46054.068055555559</v>
      </c>
      <c r="J1122" s="26"/>
      <c r="K1122" s="29"/>
      <c r="L1122" s="27">
        <v>78640.299410000007</v>
      </c>
      <c r="M1122" s="27">
        <v>78410.550910000005</v>
      </c>
      <c r="N1122" s="30" t="s">
        <v>6</v>
      </c>
      <c r="O1122" s="28" t="s">
        <v>13</v>
      </c>
      <c r="P1122"/>
    </row>
    <row r="1123" spans="1:16" x14ac:dyDescent="0.35">
      <c r="A1123" s="4">
        <v>1120</v>
      </c>
      <c r="B1123" s="17">
        <v>46054.068749999999</v>
      </c>
      <c r="C1123" s="1">
        <v>78506</v>
      </c>
      <c r="D1123" s="20">
        <v>78516.5</v>
      </c>
      <c r="E1123" s="20">
        <v>78452.05</v>
      </c>
      <c r="F1123" s="1">
        <v>78453.36</v>
      </c>
      <c r="G1123" s="18">
        <v>250</v>
      </c>
      <c r="I1123" s="21">
        <v>46054.068749999999</v>
      </c>
      <c r="J1123" s="26"/>
      <c r="K1123" s="29"/>
      <c r="L1123" s="27">
        <v>78629.155880000006</v>
      </c>
      <c r="M1123" s="27">
        <v>78383.779089999996</v>
      </c>
      <c r="N1123" s="30" t="s">
        <v>6</v>
      </c>
      <c r="O1123" s="28" t="s">
        <v>13</v>
      </c>
      <c r="P1123"/>
    </row>
    <row r="1124" spans="1:16" x14ac:dyDescent="0.35">
      <c r="A1124" s="4">
        <v>1121</v>
      </c>
      <c r="B1124" s="17">
        <v>46054.069444444445</v>
      </c>
      <c r="C1124" s="1">
        <v>78453.320000000007</v>
      </c>
      <c r="D1124" s="20">
        <v>78490.350000000006</v>
      </c>
      <c r="E1124" s="20">
        <v>78450.539999999994</v>
      </c>
      <c r="F1124" s="1">
        <v>78479.58</v>
      </c>
      <c r="G1124" s="18">
        <v>207</v>
      </c>
      <c r="I1124" s="21">
        <v>46054.069444444445</v>
      </c>
      <c r="J1124" s="26"/>
      <c r="K1124" s="29"/>
      <c r="L1124" s="27">
        <v>78618.012350000005</v>
      </c>
      <c r="M1124" s="27">
        <v>78357.007270000002</v>
      </c>
      <c r="N1124" s="30" t="s">
        <v>6</v>
      </c>
      <c r="O1124" s="28" t="s">
        <v>13</v>
      </c>
      <c r="P1124"/>
    </row>
    <row r="1125" spans="1:16" x14ac:dyDescent="0.35">
      <c r="A1125" s="4">
        <v>1122</v>
      </c>
      <c r="B1125" s="17">
        <v>46054.070138888892</v>
      </c>
      <c r="C1125" s="1">
        <v>78481</v>
      </c>
      <c r="D1125" s="20">
        <v>78488.3</v>
      </c>
      <c r="E1125" s="20">
        <v>78335.61</v>
      </c>
      <c r="F1125" s="1">
        <v>78347.58</v>
      </c>
      <c r="G1125" s="18">
        <v>238</v>
      </c>
      <c r="I1125" s="21">
        <v>46054.070138888892</v>
      </c>
      <c r="J1125" s="26"/>
      <c r="K1125" s="29"/>
      <c r="L1125" s="27">
        <v>78606.868820000003</v>
      </c>
      <c r="M1125" s="27">
        <v>78330.235449999993</v>
      </c>
      <c r="N1125" s="30" t="s">
        <v>6</v>
      </c>
      <c r="O1125" s="28" t="s">
        <v>13</v>
      </c>
      <c r="P1125"/>
    </row>
    <row r="1126" spans="1:16" x14ac:dyDescent="0.35">
      <c r="A1126" s="4">
        <v>1123</v>
      </c>
      <c r="B1126" s="17">
        <v>46054.070833333331</v>
      </c>
      <c r="C1126" s="1">
        <v>78346.78</v>
      </c>
      <c r="D1126" s="20">
        <v>78407.8</v>
      </c>
      <c r="E1126" s="20">
        <v>78339.22</v>
      </c>
      <c r="F1126" s="1">
        <v>78340.17</v>
      </c>
      <c r="G1126" s="18">
        <v>243</v>
      </c>
      <c r="I1126" s="21">
        <v>46054.070833333331</v>
      </c>
      <c r="J1126" s="26"/>
      <c r="K1126" s="29"/>
      <c r="L1126" s="27">
        <v>78595.725290000002</v>
      </c>
      <c r="M1126" s="27">
        <v>78303.463640000002</v>
      </c>
      <c r="N1126" s="30" t="s">
        <v>6</v>
      </c>
      <c r="O1126" s="28" t="s">
        <v>13</v>
      </c>
      <c r="P1126"/>
    </row>
    <row r="1127" spans="1:16" x14ac:dyDescent="0.35">
      <c r="A1127" s="4">
        <v>1124</v>
      </c>
      <c r="B1127" s="17">
        <v>46054.071527777778</v>
      </c>
      <c r="C1127" s="1">
        <v>78339.23</v>
      </c>
      <c r="D1127" s="20">
        <v>78387.33</v>
      </c>
      <c r="E1127" s="20">
        <v>78323.320000000007</v>
      </c>
      <c r="F1127" s="1">
        <v>78335.27</v>
      </c>
      <c r="G1127" s="18">
        <v>240</v>
      </c>
      <c r="I1127" s="21">
        <v>46054.071527777778</v>
      </c>
      <c r="J1127" s="26"/>
      <c r="K1127" s="29"/>
      <c r="L1127" s="27">
        <v>78584.581760000001</v>
      </c>
      <c r="M1127" s="27">
        <v>78276.691819999993</v>
      </c>
      <c r="N1127" s="30" t="s">
        <v>6</v>
      </c>
      <c r="O1127" s="28" t="s">
        <v>13</v>
      </c>
      <c r="P1127"/>
    </row>
    <row r="1128" spans="1:16" x14ac:dyDescent="0.35">
      <c r="A1128" s="4">
        <v>1125</v>
      </c>
      <c r="B1128" s="17">
        <v>46054.072222222225</v>
      </c>
      <c r="C1128" s="1">
        <v>78335.22</v>
      </c>
      <c r="D1128" s="20">
        <v>78361.84</v>
      </c>
      <c r="E1128" s="20">
        <v>78249.919999999998</v>
      </c>
      <c r="F1128" s="1">
        <v>78300.990000000005</v>
      </c>
      <c r="G1128" s="18">
        <v>218</v>
      </c>
      <c r="I1128" s="21">
        <v>46054.072222222225</v>
      </c>
      <c r="J1128" s="26"/>
      <c r="K1128" s="29">
        <v>78249.919999999998</v>
      </c>
      <c r="L1128" s="27">
        <v>78573.438240000003</v>
      </c>
      <c r="M1128" s="27">
        <v>78249.919999999998</v>
      </c>
      <c r="N1128" s="30" t="s">
        <v>6</v>
      </c>
      <c r="O1128" s="28" t="s">
        <v>13</v>
      </c>
      <c r="P1128"/>
    </row>
    <row r="1129" spans="1:16" x14ac:dyDescent="0.35">
      <c r="A1129" s="4">
        <v>1126</v>
      </c>
      <c r="B1129" s="17">
        <v>46054.072916666664</v>
      </c>
      <c r="C1129" s="1">
        <v>78301.31</v>
      </c>
      <c r="D1129" s="20">
        <v>78321.539999999994</v>
      </c>
      <c r="E1129" s="20">
        <v>78289.67</v>
      </c>
      <c r="F1129" s="1">
        <v>78319.820000000007</v>
      </c>
      <c r="G1129" s="18">
        <v>200</v>
      </c>
      <c r="I1129" s="21">
        <v>46054.072916666664</v>
      </c>
      <c r="J1129" s="26"/>
      <c r="K1129" s="29"/>
      <c r="L1129" s="27">
        <v>78562.294710000002</v>
      </c>
      <c r="M1129" s="27">
        <v>78254.104999999996</v>
      </c>
      <c r="N1129" s="30" t="s">
        <v>6</v>
      </c>
      <c r="O1129" s="28" t="s">
        <v>8</v>
      </c>
      <c r="P1129"/>
    </row>
    <row r="1130" spans="1:16" x14ac:dyDescent="0.35">
      <c r="A1130" s="4">
        <v>1127</v>
      </c>
      <c r="B1130" s="17">
        <v>46054.073611111111</v>
      </c>
      <c r="C1130" s="1">
        <v>78320.039999999994</v>
      </c>
      <c r="D1130" s="20">
        <v>78327.360000000001</v>
      </c>
      <c r="E1130" s="20">
        <v>78251.12</v>
      </c>
      <c r="F1130" s="1">
        <v>78280.539999999994</v>
      </c>
      <c r="G1130" s="18">
        <v>220</v>
      </c>
      <c r="I1130" s="21">
        <v>46054.073611111111</v>
      </c>
      <c r="J1130" s="26"/>
      <c r="K1130" s="29"/>
      <c r="L1130" s="27">
        <v>78551.151180000001</v>
      </c>
      <c r="M1130" s="27">
        <v>78258.289999999994</v>
      </c>
      <c r="N1130" s="30" t="s">
        <v>6</v>
      </c>
      <c r="O1130" s="28" t="s">
        <v>8</v>
      </c>
      <c r="P1130"/>
    </row>
    <row r="1131" spans="1:16" x14ac:dyDescent="0.35">
      <c r="A1131" s="4">
        <v>1128</v>
      </c>
      <c r="B1131" s="17">
        <v>46054.074305555558</v>
      </c>
      <c r="C1131" s="1">
        <v>78280.539999999994</v>
      </c>
      <c r="D1131" s="20">
        <v>78352.83</v>
      </c>
      <c r="E1131" s="20">
        <v>78280.5</v>
      </c>
      <c r="F1131" s="1">
        <v>78315.03</v>
      </c>
      <c r="G1131" s="18">
        <v>228</v>
      </c>
      <c r="I1131" s="21">
        <v>46054.074305555558</v>
      </c>
      <c r="J1131" s="26"/>
      <c r="K1131" s="29"/>
      <c r="L1131" s="27">
        <v>78540.00765</v>
      </c>
      <c r="M1131" s="27">
        <v>78262.475000000006</v>
      </c>
      <c r="N1131" s="30" t="s">
        <v>6</v>
      </c>
      <c r="O1131" s="28" t="s">
        <v>8</v>
      </c>
      <c r="P1131"/>
    </row>
    <row r="1132" spans="1:16" x14ac:dyDescent="0.35">
      <c r="A1132" s="4">
        <v>1129</v>
      </c>
      <c r="B1132" s="17">
        <v>46054.074999999997</v>
      </c>
      <c r="C1132" s="1">
        <v>78315.5</v>
      </c>
      <c r="D1132" s="20">
        <v>78358.91</v>
      </c>
      <c r="E1132" s="20">
        <v>78312.77</v>
      </c>
      <c r="F1132" s="1">
        <v>78351.320000000007</v>
      </c>
      <c r="G1132" s="18">
        <v>176</v>
      </c>
      <c r="I1132" s="21">
        <v>46054.074999999997</v>
      </c>
      <c r="J1132" s="26"/>
      <c r="K1132" s="29"/>
      <c r="L1132" s="27">
        <v>78528.864119999998</v>
      </c>
      <c r="M1132" s="27">
        <v>78266.66</v>
      </c>
      <c r="N1132" s="30" t="s">
        <v>6</v>
      </c>
      <c r="O1132" s="28" t="s">
        <v>8</v>
      </c>
      <c r="P1132"/>
    </row>
    <row r="1133" spans="1:16" x14ac:dyDescent="0.35">
      <c r="A1133" s="4">
        <v>1130</v>
      </c>
      <c r="B1133" s="17">
        <v>46054.075694444444</v>
      </c>
      <c r="C1133" s="1">
        <v>78351.320000000007</v>
      </c>
      <c r="D1133" s="20">
        <v>78441.119999999995</v>
      </c>
      <c r="E1133" s="20">
        <v>78351.320000000007</v>
      </c>
      <c r="F1133" s="1">
        <v>78436.22</v>
      </c>
      <c r="G1133" s="18">
        <v>239</v>
      </c>
      <c r="I1133" s="21">
        <v>46054.075694444444</v>
      </c>
      <c r="J1133" s="26"/>
      <c r="K1133" s="29"/>
      <c r="L1133" s="27">
        <v>78517.720589999997</v>
      </c>
      <c r="M1133" s="27">
        <v>78270.845000000001</v>
      </c>
      <c r="N1133" s="30" t="s">
        <v>6</v>
      </c>
      <c r="O1133" s="28" t="s">
        <v>8</v>
      </c>
      <c r="P1133"/>
    </row>
    <row r="1134" spans="1:16" x14ac:dyDescent="0.35">
      <c r="A1134" s="4">
        <v>1131</v>
      </c>
      <c r="B1134" s="17">
        <v>46054.076388888891</v>
      </c>
      <c r="C1134" s="1">
        <v>78436.52</v>
      </c>
      <c r="D1134" s="20">
        <v>78446.73</v>
      </c>
      <c r="E1134" s="20">
        <v>78390.98</v>
      </c>
      <c r="F1134" s="1">
        <v>78428.45</v>
      </c>
      <c r="G1134" s="18">
        <v>213</v>
      </c>
      <c r="I1134" s="21">
        <v>46054.076388888891</v>
      </c>
      <c r="J1134" s="26"/>
      <c r="K1134" s="29"/>
      <c r="L1134" s="27">
        <v>78506.577059999996</v>
      </c>
      <c r="M1134" s="27">
        <v>78275.03</v>
      </c>
      <c r="N1134" s="30" t="s">
        <v>6</v>
      </c>
      <c r="O1134" s="28" t="s">
        <v>8</v>
      </c>
      <c r="P1134"/>
    </row>
    <row r="1135" spans="1:16" x14ac:dyDescent="0.35">
      <c r="A1135" s="4">
        <v>1132</v>
      </c>
      <c r="B1135" s="17">
        <v>46054.07708333333</v>
      </c>
      <c r="C1135" s="1">
        <v>78428.600000000006</v>
      </c>
      <c r="D1135" s="20">
        <v>78470.350000000006</v>
      </c>
      <c r="E1135" s="20">
        <v>78416.02</v>
      </c>
      <c r="F1135" s="1">
        <v>78470.34</v>
      </c>
      <c r="G1135" s="18">
        <v>185</v>
      </c>
      <c r="I1135" s="21">
        <v>46054.07708333333</v>
      </c>
      <c r="J1135" s="26"/>
      <c r="K1135" s="29"/>
      <c r="L1135" s="27">
        <v>78495.433529999995</v>
      </c>
      <c r="M1135" s="27">
        <v>78279.214999999997</v>
      </c>
      <c r="N1135" s="30" t="s">
        <v>6</v>
      </c>
      <c r="O1135" s="28" t="s">
        <v>8</v>
      </c>
      <c r="P1135"/>
    </row>
    <row r="1136" spans="1:16" x14ac:dyDescent="0.35">
      <c r="A1136" s="4">
        <v>1133</v>
      </c>
      <c r="B1136" s="17">
        <v>46054.077777777777</v>
      </c>
      <c r="C1136" s="1">
        <v>78469.45</v>
      </c>
      <c r="D1136" s="20">
        <v>78484.289999999994</v>
      </c>
      <c r="E1136" s="20">
        <v>78425.98</v>
      </c>
      <c r="F1136" s="1">
        <v>78435.17</v>
      </c>
      <c r="G1136" s="18">
        <v>229</v>
      </c>
      <c r="I1136" s="21">
        <v>46054.077777777777</v>
      </c>
      <c r="J1136" s="26">
        <v>78484.289999999994</v>
      </c>
      <c r="K1136" s="29"/>
      <c r="L1136" s="27">
        <v>78484.289999999994</v>
      </c>
      <c r="M1136" s="27">
        <v>78283.399999999994</v>
      </c>
      <c r="N1136" s="30" t="s">
        <v>6</v>
      </c>
      <c r="O1136" s="28" t="s">
        <v>8</v>
      </c>
      <c r="P1136"/>
    </row>
    <row r="1137" spans="1:16" x14ac:dyDescent="0.35">
      <c r="A1137" s="4">
        <v>1134</v>
      </c>
      <c r="B1137" s="17">
        <v>46054.078472222223</v>
      </c>
      <c r="C1137" s="1">
        <v>78435.179999999993</v>
      </c>
      <c r="D1137" s="20">
        <v>78475.039999999994</v>
      </c>
      <c r="E1137" s="20">
        <v>78435.070000000007</v>
      </c>
      <c r="F1137" s="1">
        <v>78458.94</v>
      </c>
      <c r="G1137" s="18">
        <v>204</v>
      </c>
      <c r="I1137" s="21">
        <v>46054.078472222223</v>
      </c>
      <c r="J1137" s="26"/>
      <c r="K1137" s="29"/>
      <c r="L1137" s="27">
        <v>78489.831999999995</v>
      </c>
      <c r="M1137" s="27">
        <v>78287.585000000006</v>
      </c>
      <c r="N1137" s="30" t="s">
        <v>7</v>
      </c>
      <c r="O1137" s="28" t="s">
        <v>8</v>
      </c>
      <c r="P1137"/>
    </row>
    <row r="1138" spans="1:16" x14ac:dyDescent="0.35">
      <c r="A1138" s="4">
        <v>1135</v>
      </c>
      <c r="B1138" s="17">
        <v>46054.07916666667</v>
      </c>
      <c r="C1138" s="1">
        <v>78459.13</v>
      </c>
      <c r="D1138" s="20">
        <v>78475.429999999993</v>
      </c>
      <c r="E1138" s="20">
        <v>78440.5</v>
      </c>
      <c r="F1138" s="1">
        <v>78440.5</v>
      </c>
      <c r="G1138" s="18">
        <v>119</v>
      </c>
      <c r="I1138" s="21">
        <v>46054.07916666667</v>
      </c>
      <c r="J1138" s="26"/>
      <c r="K1138" s="29"/>
      <c r="L1138" s="27">
        <v>78495.373999999996</v>
      </c>
      <c r="M1138" s="27">
        <v>78291.77</v>
      </c>
      <c r="N1138" s="30" t="s">
        <v>7</v>
      </c>
      <c r="O1138" s="28" t="s">
        <v>8</v>
      </c>
      <c r="P1138"/>
    </row>
    <row r="1139" spans="1:16" x14ac:dyDescent="0.35">
      <c r="A1139" s="4">
        <v>1136</v>
      </c>
      <c r="B1139" s="17">
        <v>46054.079861111109</v>
      </c>
      <c r="C1139" s="1">
        <v>78440.5</v>
      </c>
      <c r="D1139" s="20">
        <v>78490.33</v>
      </c>
      <c r="E1139" s="20">
        <v>78440.5</v>
      </c>
      <c r="F1139" s="1">
        <v>78450.25</v>
      </c>
      <c r="G1139" s="18">
        <v>199</v>
      </c>
      <c r="I1139" s="21">
        <v>46054.079861111109</v>
      </c>
      <c r="J1139" s="26"/>
      <c r="K1139" s="29"/>
      <c r="L1139" s="27">
        <v>78500.915999999997</v>
      </c>
      <c r="M1139" s="27">
        <v>78295.955000000002</v>
      </c>
      <c r="N1139" s="30" t="s">
        <v>7</v>
      </c>
      <c r="O1139" s="28" t="s">
        <v>8</v>
      </c>
      <c r="P1139"/>
    </row>
    <row r="1140" spans="1:16" x14ac:dyDescent="0.35">
      <c r="A1140" s="4">
        <v>1137</v>
      </c>
      <c r="B1140" s="17">
        <v>46054.080555555556</v>
      </c>
      <c r="C1140" s="1">
        <v>78450.259999999995</v>
      </c>
      <c r="D1140" s="20">
        <v>78502.53</v>
      </c>
      <c r="E1140" s="20">
        <v>78450.02</v>
      </c>
      <c r="F1140" s="1">
        <v>78502.52</v>
      </c>
      <c r="G1140" s="18">
        <v>131</v>
      </c>
      <c r="I1140" s="21">
        <v>46054.080555555556</v>
      </c>
      <c r="J1140" s="26"/>
      <c r="K1140" s="29"/>
      <c r="L1140" s="27">
        <v>78506.457999999999</v>
      </c>
      <c r="M1140" s="27">
        <v>78300.14</v>
      </c>
      <c r="N1140" s="30" t="s">
        <v>7</v>
      </c>
      <c r="O1140" s="28" t="s">
        <v>8</v>
      </c>
      <c r="P1140"/>
    </row>
    <row r="1141" spans="1:16" x14ac:dyDescent="0.35">
      <c r="A1141" s="4">
        <v>1138</v>
      </c>
      <c r="B1141" s="17">
        <v>46054.081250000003</v>
      </c>
      <c r="C1141" s="1">
        <v>78502.52</v>
      </c>
      <c r="D1141" s="20">
        <v>78512</v>
      </c>
      <c r="E1141" s="20">
        <v>78441.36</v>
      </c>
      <c r="F1141" s="1">
        <v>78456.710000000006</v>
      </c>
      <c r="G1141" s="18">
        <v>158</v>
      </c>
      <c r="I1141" s="21">
        <v>46054.081250000003</v>
      </c>
      <c r="J1141" s="26">
        <v>78512</v>
      </c>
      <c r="K1141" s="29"/>
      <c r="L1141" s="27">
        <v>78512</v>
      </c>
      <c r="M1141" s="27">
        <v>78304.324999999997</v>
      </c>
      <c r="N1141" s="30" t="s">
        <v>7</v>
      </c>
      <c r="O1141" s="28" t="s">
        <v>8</v>
      </c>
      <c r="P1141"/>
    </row>
    <row r="1142" spans="1:16" x14ac:dyDescent="0.35">
      <c r="A1142" s="4">
        <v>1139</v>
      </c>
      <c r="B1142" s="17">
        <v>46054.081944444442</v>
      </c>
      <c r="C1142" s="1">
        <v>78456.7</v>
      </c>
      <c r="D1142" s="20">
        <v>78480.759999999995</v>
      </c>
      <c r="E1142" s="20">
        <v>78452.240000000005</v>
      </c>
      <c r="F1142" s="1">
        <v>78463.44</v>
      </c>
      <c r="G1142" s="18">
        <v>152</v>
      </c>
      <c r="I1142" s="21">
        <v>46054.081944444442</v>
      </c>
      <c r="J1142" s="26"/>
      <c r="K1142" s="29"/>
      <c r="L1142" s="27">
        <v>78534.836670000004</v>
      </c>
      <c r="M1142" s="27">
        <v>78308.509999999995</v>
      </c>
      <c r="N1142" s="30" t="s">
        <v>7</v>
      </c>
      <c r="O1142" s="28" t="s">
        <v>8</v>
      </c>
      <c r="P1142"/>
    </row>
    <row r="1143" spans="1:16" x14ac:dyDescent="0.35">
      <c r="A1143" s="4">
        <v>1140</v>
      </c>
      <c r="B1143" s="17">
        <v>46054.082638888889</v>
      </c>
      <c r="C1143" s="1">
        <v>78463.44</v>
      </c>
      <c r="D1143" s="20">
        <v>78498.42</v>
      </c>
      <c r="E1143" s="20">
        <v>78456.88</v>
      </c>
      <c r="F1143" s="1">
        <v>78484.210000000006</v>
      </c>
      <c r="G1143" s="18">
        <v>141</v>
      </c>
      <c r="I1143" s="21">
        <v>46054.082638888889</v>
      </c>
      <c r="J1143" s="26"/>
      <c r="K1143" s="29"/>
      <c r="L1143" s="27">
        <v>78557.673330000005</v>
      </c>
      <c r="M1143" s="27">
        <v>78312.695000000007</v>
      </c>
      <c r="N1143" s="30" t="s">
        <v>7</v>
      </c>
      <c r="O1143" s="28" t="s">
        <v>8</v>
      </c>
      <c r="P1143"/>
    </row>
    <row r="1144" spans="1:16" x14ac:dyDescent="0.35">
      <c r="A1144" s="4">
        <v>1141</v>
      </c>
      <c r="B1144" s="17">
        <v>46054.083333333336</v>
      </c>
      <c r="C1144" s="1">
        <v>78494.960000000006</v>
      </c>
      <c r="D1144" s="20">
        <v>78580.509999999995</v>
      </c>
      <c r="E1144" s="20">
        <v>78494.960000000006</v>
      </c>
      <c r="F1144" s="1">
        <v>78570.570000000007</v>
      </c>
      <c r="G1144" s="18">
        <v>217</v>
      </c>
      <c r="I1144" s="21">
        <v>46054.083333333336</v>
      </c>
      <c r="J1144" s="26">
        <v>78580.509999999995</v>
      </c>
      <c r="K1144" s="29"/>
      <c r="L1144" s="27">
        <v>78580.509999999995</v>
      </c>
      <c r="M1144" s="27">
        <v>78316.88</v>
      </c>
      <c r="N1144" s="30" t="s">
        <v>7</v>
      </c>
      <c r="O1144" s="28" t="s">
        <v>8</v>
      </c>
      <c r="P1144"/>
    </row>
    <row r="1145" spans="1:16" x14ac:dyDescent="0.35">
      <c r="A1145" s="4">
        <v>1142</v>
      </c>
      <c r="B1145" s="17">
        <v>46054.084027777775</v>
      </c>
      <c r="C1145" s="1">
        <v>78570.61</v>
      </c>
      <c r="D1145" s="20">
        <v>78570.61</v>
      </c>
      <c r="E1145" s="20">
        <v>78393.86</v>
      </c>
      <c r="F1145" s="1">
        <v>78393.86</v>
      </c>
      <c r="G1145" s="18">
        <v>233</v>
      </c>
      <c r="I1145" s="21">
        <v>46054.084027777775</v>
      </c>
      <c r="J1145" s="26"/>
      <c r="K1145" s="29"/>
      <c r="L1145" s="27">
        <v>78595.828999999998</v>
      </c>
      <c r="M1145" s="27">
        <v>78321.065000000002</v>
      </c>
      <c r="N1145" s="30" t="s">
        <v>7</v>
      </c>
      <c r="O1145" s="28" t="s">
        <v>8</v>
      </c>
      <c r="P1145"/>
    </row>
    <row r="1146" spans="1:16" x14ac:dyDescent="0.35">
      <c r="A1146" s="4">
        <v>1143</v>
      </c>
      <c r="B1146" s="17">
        <v>46054.084722222222</v>
      </c>
      <c r="C1146" s="1">
        <v>78395.3</v>
      </c>
      <c r="D1146" s="20">
        <v>78439.839999999997</v>
      </c>
      <c r="E1146" s="20">
        <v>78390.25</v>
      </c>
      <c r="F1146" s="1">
        <v>78393.539999999994</v>
      </c>
      <c r="G1146" s="18">
        <v>201</v>
      </c>
      <c r="I1146" s="21">
        <v>46054.084722222222</v>
      </c>
      <c r="J1146" s="26"/>
      <c r="K1146" s="29"/>
      <c r="L1146" s="27">
        <v>78611.148000000001</v>
      </c>
      <c r="M1146" s="27">
        <v>78325.25</v>
      </c>
      <c r="N1146" s="30" t="s">
        <v>7</v>
      </c>
      <c r="O1146" s="28" t="s">
        <v>8</v>
      </c>
      <c r="P1146"/>
    </row>
    <row r="1147" spans="1:16" x14ac:dyDescent="0.35">
      <c r="A1147" s="4">
        <v>1144</v>
      </c>
      <c r="B1147" s="17">
        <v>46054.085416666669</v>
      </c>
      <c r="C1147" s="1">
        <v>78393.600000000006</v>
      </c>
      <c r="D1147" s="20">
        <v>78393.600000000006</v>
      </c>
      <c r="E1147" s="20">
        <v>78345.61</v>
      </c>
      <c r="F1147" s="1">
        <v>78354.3</v>
      </c>
      <c r="G1147" s="18">
        <v>178</v>
      </c>
      <c r="I1147" s="21">
        <v>46054.085416666669</v>
      </c>
      <c r="J1147" s="26"/>
      <c r="K1147" s="29"/>
      <c r="L1147" s="27">
        <v>78626.467000000004</v>
      </c>
      <c r="M1147" s="27">
        <v>78329.434999999998</v>
      </c>
      <c r="N1147" s="30" t="s">
        <v>7</v>
      </c>
      <c r="O1147" s="28" t="s">
        <v>8</v>
      </c>
      <c r="P1147"/>
    </row>
    <row r="1148" spans="1:16" x14ac:dyDescent="0.35">
      <c r="A1148" s="4">
        <v>1145</v>
      </c>
      <c r="B1148" s="17">
        <v>46054.086111111108</v>
      </c>
      <c r="C1148" s="1">
        <v>78354.44</v>
      </c>
      <c r="D1148" s="20">
        <v>78364.639999999999</v>
      </c>
      <c r="E1148" s="20">
        <v>78333.62</v>
      </c>
      <c r="F1148" s="1">
        <v>78349.289999999994</v>
      </c>
      <c r="G1148" s="18">
        <v>181</v>
      </c>
      <c r="I1148" s="21">
        <v>46054.086111111108</v>
      </c>
      <c r="J1148" s="26"/>
      <c r="K1148" s="29">
        <v>78333.62</v>
      </c>
      <c r="L1148" s="27">
        <v>78641.785999999993</v>
      </c>
      <c r="M1148" s="27">
        <v>78333.62</v>
      </c>
      <c r="N1148" s="30" t="s">
        <v>7</v>
      </c>
      <c r="O1148" s="28" t="s">
        <v>8</v>
      </c>
      <c r="P1148"/>
    </row>
    <row r="1149" spans="1:16" x14ac:dyDescent="0.35">
      <c r="A1149" s="4">
        <v>1146</v>
      </c>
      <c r="B1149" s="17">
        <v>46054.086805555555</v>
      </c>
      <c r="C1149" s="1">
        <v>78349.36</v>
      </c>
      <c r="D1149" s="20">
        <v>78408.69</v>
      </c>
      <c r="E1149" s="20">
        <v>78349.27</v>
      </c>
      <c r="F1149" s="1">
        <v>78408.69</v>
      </c>
      <c r="G1149" s="18">
        <v>214</v>
      </c>
      <c r="I1149" s="21">
        <v>46054.086805555555</v>
      </c>
      <c r="J1149" s="26"/>
      <c r="K1149" s="29"/>
      <c r="L1149" s="27">
        <v>78657.104999999996</v>
      </c>
      <c r="M1149" s="27">
        <v>78336.356669999994</v>
      </c>
      <c r="N1149" s="30" t="s">
        <v>7</v>
      </c>
      <c r="O1149" s="28" t="s">
        <v>8</v>
      </c>
      <c r="P1149"/>
    </row>
    <row r="1150" spans="1:16" x14ac:dyDescent="0.35">
      <c r="A1150" s="4">
        <v>1147</v>
      </c>
      <c r="B1150" s="17">
        <v>46054.087500000001</v>
      </c>
      <c r="C1150" s="1">
        <v>78408.7</v>
      </c>
      <c r="D1150" s="20">
        <v>78427.539999999994</v>
      </c>
      <c r="E1150" s="20">
        <v>78364.22</v>
      </c>
      <c r="F1150" s="1">
        <v>78380.23</v>
      </c>
      <c r="G1150" s="18">
        <v>205</v>
      </c>
      <c r="I1150" s="21">
        <v>46054.087500000001</v>
      </c>
      <c r="J1150" s="26"/>
      <c r="K1150" s="29"/>
      <c r="L1150" s="27">
        <v>78672.423999999999</v>
      </c>
      <c r="M1150" s="27">
        <v>78339.093330000003</v>
      </c>
      <c r="N1150" s="30" t="s">
        <v>7</v>
      </c>
      <c r="O1150" s="28" t="s">
        <v>8</v>
      </c>
      <c r="P1150"/>
    </row>
    <row r="1151" spans="1:16" x14ac:dyDescent="0.35">
      <c r="A1151" s="4">
        <v>1148</v>
      </c>
      <c r="B1151" s="17">
        <v>46054.088194444441</v>
      </c>
      <c r="C1151" s="1">
        <v>78380.23</v>
      </c>
      <c r="D1151" s="20">
        <v>78387.19</v>
      </c>
      <c r="E1151" s="20">
        <v>78341.83</v>
      </c>
      <c r="F1151" s="1">
        <v>78372.160000000003</v>
      </c>
      <c r="G1151" s="18">
        <v>193</v>
      </c>
      <c r="I1151" s="21">
        <v>46054.088194444441</v>
      </c>
      <c r="J1151" s="26"/>
      <c r="K1151" s="29">
        <v>78341.83</v>
      </c>
      <c r="L1151" s="27">
        <v>78687.743000000002</v>
      </c>
      <c r="M1151" s="27">
        <v>78341.83</v>
      </c>
      <c r="N1151" s="30" t="s">
        <v>7</v>
      </c>
      <c r="O1151" s="28" t="s">
        <v>8</v>
      </c>
      <c r="P1151"/>
    </row>
    <row r="1152" spans="1:16" x14ac:dyDescent="0.35">
      <c r="A1152" s="4">
        <v>1149</v>
      </c>
      <c r="B1152" s="17">
        <v>46054.088888888888</v>
      </c>
      <c r="C1152" s="1">
        <v>78372.399999999994</v>
      </c>
      <c r="D1152" s="20">
        <v>78492.820000000007</v>
      </c>
      <c r="E1152" s="20">
        <v>78372.399999999994</v>
      </c>
      <c r="F1152" s="1">
        <v>78486.09</v>
      </c>
      <c r="G1152" s="18">
        <v>196</v>
      </c>
      <c r="I1152" s="21">
        <v>46054.088888888888</v>
      </c>
      <c r="J1152" s="26"/>
      <c r="K1152" s="29"/>
      <c r="L1152" s="27">
        <v>78703.062000000005</v>
      </c>
      <c r="M1152" s="27">
        <v>78349.514999999999</v>
      </c>
      <c r="N1152" s="30" t="s">
        <v>7</v>
      </c>
      <c r="O1152" s="28" t="s">
        <v>8</v>
      </c>
      <c r="P1152"/>
    </row>
    <row r="1153" spans="1:16" x14ac:dyDescent="0.35">
      <c r="A1153" s="4">
        <v>1150</v>
      </c>
      <c r="B1153" s="17">
        <v>46054.089583333334</v>
      </c>
      <c r="C1153" s="1">
        <v>78486.22</v>
      </c>
      <c r="D1153" s="20">
        <v>78543.19</v>
      </c>
      <c r="E1153" s="20">
        <v>78470.61</v>
      </c>
      <c r="F1153" s="1">
        <v>78543.179999999993</v>
      </c>
      <c r="G1153" s="18">
        <v>246</v>
      </c>
      <c r="I1153" s="21">
        <v>46054.089583333334</v>
      </c>
      <c r="J1153" s="26"/>
      <c r="K1153" s="29"/>
      <c r="L1153" s="27">
        <v>78718.380999999994</v>
      </c>
      <c r="M1153" s="27">
        <v>78357.2</v>
      </c>
      <c r="N1153" s="30" t="s">
        <v>7</v>
      </c>
      <c r="O1153" s="28" t="s">
        <v>8</v>
      </c>
      <c r="P1153"/>
    </row>
    <row r="1154" spans="1:16" x14ac:dyDescent="0.35">
      <c r="A1154" s="4">
        <v>1151</v>
      </c>
      <c r="B1154" s="17">
        <v>46054.090277777781</v>
      </c>
      <c r="C1154" s="1">
        <v>78543.179999999993</v>
      </c>
      <c r="D1154" s="20">
        <v>78733.7</v>
      </c>
      <c r="E1154" s="20">
        <v>78543.179999999993</v>
      </c>
      <c r="F1154" s="1">
        <v>78651.429999999993</v>
      </c>
      <c r="G1154" s="18">
        <v>268</v>
      </c>
      <c r="I1154" s="21">
        <v>46054.090277777781</v>
      </c>
      <c r="J1154" s="26">
        <v>78733.7</v>
      </c>
      <c r="K1154" s="29"/>
      <c r="L1154" s="27">
        <v>78733.7</v>
      </c>
      <c r="M1154" s="27">
        <v>78364.884999999995</v>
      </c>
      <c r="N1154" s="30" t="s">
        <v>7</v>
      </c>
      <c r="O1154" s="28" t="s">
        <v>8</v>
      </c>
      <c r="P1154"/>
    </row>
    <row r="1155" spans="1:16" x14ac:dyDescent="0.35">
      <c r="A1155" s="4">
        <v>1152</v>
      </c>
      <c r="B1155" s="17">
        <v>46054.09097222222</v>
      </c>
      <c r="C1155" s="1">
        <v>78652.490000000005</v>
      </c>
      <c r="D1155" s="20">
        <v>78709.61</v>
      </c>
      <c r="E1155" s="20">
        <v>78649.98</v>
      </c>
      <c r="F1155" s="1">
        <v>78679.399999999994</v>
      </c>
      <c r="G1155" s="18">
        <v>183</v>
      </c>
      <c r="I1155" s="21">
        <v>46054.09097222222</v>
      </c>
      <c r="J1155" s="26"/>
      <c r="K1155" s="29"/>
      <c r="L1155" s="27">
        <v>78754.788329999996</v>
      </c>
      <c r="M1155" s="27">
        <v>78372.570000000007</v>
      </c>
      <c r="N1155" s="30" t="s">
        <v>7</v>
      </c>
      <c r="O1155" s="28" t="s">
        <v>8</v>
      </c>
      <c r="P1155"/>
    </row>
    <row r="1156" spans="1:16" x14ac:dyDescent="0.35">
      <c r="A1156" s="4">
        <v>1153</v>
      </c>
      <c r="B1156" s="17">
        <v>46054.091666666667</v>
      </c>
      <c r="C1156" s="1">
        <v>78679.399999999994</v>
      </c>
      <c r="D1156" s="20">
        <v>78723.62</v>
      </c>
      <c r="E1156" s="20">
        <v>78677.45</v>
      </c>
      <c r="F1156" s="1">
        <v>78723.62</v>
      </c>
      <c r="G1156" s="18">
        <v>218</v>
      </c>
      <c r="I1156" s="21">
        <v>46054.091666666667</v>
      </c>
      <c r="J1156" s="26"/>
      <c r="K1156" s="29"/>
      <c r="L1156" s="27">
        <v>78775.876669999998</v>
      </c>
      <c r="M1156" s="27">
        <v>78380.255000000005</v>
      </c>
      <c r="N1156" s="30" t="s">
        <v>7</v>
      </c>
      <c r="O1156" s="28" t="s">
        <v>8</v>
      </c>
      <c r="P1156"/>
    </row>
    <row r="1157" spans="1:16" x14ac:dyDescent="0.35">
      <c r="A1157" s="4">
        <v>1154</v>
      </c>
      <c r="B1157" s="17">
        <v>46054.092361111114</v>
      </c>
      <c r="C1157" s="1">
        <v>78723.7</v>
      </c>
      <c r="D1157" s="20">
        <v>78748.33</v>
      </c>
      <c r="E1157" s="20">
        <v>78697.37</v>
      </c>
      <c r="F1157" s="1">
        <v>78716.240000000005</v>
      </c>
      <c r="G1157" s="18">
        <v>223</v>
      </c>
      <c r="I1157" s="21">
        <v>46054.092361111114</v>
      </c>
      <c r="J1157" s="26"/>
      <c r="K1157" s="29"/>
      <c r="L1157" s="27">
        <v>78796.964999999997</v>
      </c>
      <c r="M1157" s="27">
        <v>78387.94</v>
      </c>
      <c r="N1157" s="30" t="s">
        <v>7</v>
      </c>
      <c r="O1157" s="28" t="s">
        <v>8</v>
      </c>
      <c r="P1157"/>
    </row>
    <row r="1158" spans="1:16" x14ac:dyDescent="0.35">
      <c r="A1158" s="4">
        <v>1155</v>
      </c>
      <c r="B1158" s="17">
        <v>46054.093055555553</v>
      </c>
      <c r="C1158" s="1">
        <v>78716.19</v>
      </c>
      <c r="D1158" s="20">
        <v>78815.5</v>
      </c>
      <c r="E1158" s="20">
        <v>78715.960000000006</v>
      </c>
      <c r="F1158" s="1">
        <v>78776.92</v>
      </c>
      <c r="G1158" s="18">
        <v>219</v>
      </c>
      <c r="I1158" s="21">
        <v>46054.093055555553</v>
      </c>
      <c r="J1158" s="26"/>
      <c r="K1158" s="29"/>
      <c r="L1158" s="27">
        <v>78818.053329999995</v>
      </c>
      <c r="M1158" s="27">
        <v>78395.625</v>
      </c>
      <c r="N1158" s="30" t="s">
        <v>7</v>
      </c>
      <c r="O1158" s="28" t="s">
        <v>8</v>
      </c>
      <c r="P1158"/>
    </row>
    <row r="1159" spans="1:16" x14ac:dyDescent="0.35">
      <c r="A1159" s="4">
        <v>1156</v>
      </c>
      <c r="B1159" s="17">
        <v>46054.09375</v>
      </c>
      <c r="C1159" s="1">
        <v>78778.179999999993</v>
      </c>
      <c r="D1159" s="20">
        <v>78833.710000000006</v>
      </c>
      <c r="E1159" s="20">
        <v>78761.23</v>
      </c>
      <c r="F1159" s="1">
        <v>78808.61</v>
      </c>
      <c r="G1159" s="18">
        <v>160</v>
      </c>
      <c r="I1159" s="21">
        <v>46054.09375</v>
      </c>
      <c r="J1159" s="26"/>
      <c r="K1159" s="29"/>
      <c r="L1159" s="27">
        <v>78839.141669999997</v>
      </c>
      <c r="M1159" s="27">
        <v>78403.31</v>
      </c>
      <c r="N1159" s="30" t="s">
        <v>7</v>
      </c>
      <c r="O1159" s="28" t="s">
        <v>8</v>
      </c>
      <c r="P1159"/>
    </row>
    <row r="1160" spans="1:16" x14ac:dyDescent="0.35">
      <c r="A1160" s="4">
        <v>1157</v>
      </c>
      <c r="B1160" s="17">
        <v>46054.094444444447</v>
      </c>
      <c r="C1160" s="1">
        <v>78800.47</v>
      </c>
      <c r="D1160" s="20">
        <v>78860.23</v>
      </c>
      <c r="E1160" s="20">
        <v>78778.28</v>
      </c>
      <c r="F1160" s="1">
        <v>78806.820000000007</v>
      </c>
      <c r="G1160" s="18">
        <v>265</v>
      </c>
      <c r="I1160" s="21">
        <v>46054.094444444447</v>
      </c>
      <c r="J1160" s="26">
        <v>78860.23</v>
      </c>
      <c r="K1160" s="29"/>
      <c r="L1160" s="27">
        <v>78860.23</v>
      </c>
      <c r="M1160" s="27">
        <v>78410.994999999995</v>
      </c>
      <c r="N1160" s="30" t="s">
        <v>7</v>
      </c>
      <c r="O1160" s="28" t="s">
        <v>8</v>
      </c>
      <c r="P1160"/>
    </row>
    <row r="1161" spans="1:16" x14ac:dyDescent="0.35">
      <c r="A1161" s="4">
        <v>1158</v>
      </c>
      <c r="B1161" s="17">
        <v>46054.095138888886</v>
      </c>
      <c r="C1161" s="1">
        <v>78806.81</v>
      </c>
      <c r="D1161" s="20">
        <v>78806.81</v>
      </c>
      <c r="E1161" s="20">
        <v>78747.59</v>
      </c>
      <c r="F1161" s="1">
        <v>78749.58</v>
      </c>
      <c r="G1161" s="18">
        <v>220</v>
      </c>
      <c r="I1161" s="21">
        <v>46054.095138888886</v>
      </c>
      <c r="J1161" s="26"/>
      <c r="K1161" s="29"/>
      <c r="L1161" s="27">
        <v>78843.626669999998</v>
      </c>
      <c r="M1161" s="27">
        <v>78418.679999999993</v>
      </c>
      <c r="N1161" s="30" t="s">
        <v>6</v>
      </c>
      <c r="O1161" s="28" t="s">
        <v>8</v>
      </c>
      <c r="P1161"/>
    </row>
    <row r="1162" spans="1:16" x14ac:dyDescent="0.35">
      <c r="A1162" s="4">
        <v>1159</v>
      </c>
      <c r="B1162" s="17">
        <v>46054.095833333333</v>
      </c>
      <c r="C1162" s="1">
        <v>78750.52</v>
      </c>
      <c r="D1162" s="20">
        <v>78789.64</v>
      </c>
      <c r="E1162" s="20">
        <v>78732.160000000003</v>
      </c>
      <c r="F1162" s="1">
        <v>78779.570000000007</v>
      </c>
      <c r="G1162" s="18">
        <v>236</v>
      </c>
      <c r="I1162" s="21">
        <v>46054.095833333333</v>
      </c>
      <c r="J1162" s="26"/>
      <c r="K1162" s="29"/>
      <c r="L1162" s="27">
        <v>78827.023329999996</v>
      </c>
      <c r="M1162" s="27">
        <v>78426.365000000005</v>
      </c>
      <c r="N1162" s="30" t="s">
        <v>6</v>
      </c>
      <c r="O1162" s="28" t="s">
        <v>8</v>
      </c>
      <c r="P1162"/>
    </row>
    <row r="1163" spans="1:16" x14ac:dyDescent="0.35">
      <c r="A1163" s="4">
        <v>1160</v>
      </c>
      <c r="B1163" s="17">
        <v>46054.09652777778</v>
      </c>
      <c r="C1163" s="1">
        <v>78779.66</v>
      </c>
      <c r="D1163" s="20">
        <v>78810.42</v>
      </c>
      <c r="E1163" s="20">
        <v>78734.63</v>
      </c>
      <c r="F1163" s="1">
        <v>78743.19</v>
      </c>
      <c r="G1163" s="18">
        <v>218</v>
      </c>
      <c r="I1163" s="21">
        <v>46054.09652777778</v>
      </c>
      <c r="J1163" s="26">
        <v>78810.42</v>
      </c>
      <c r="K1163" s="29"/>
      <c r="L1163" s="27">
        <v>78810.42</v>
      </c>
      <c r="M1163" s="27">
        <v>78434.05</v>
      </c>
      <c r="N1163" s="30" t="s">
        <v>6</v>
      </c>
      <c r="O1163" s="28" t="s">
        <v>8</v>
      </c>
      <c r="P1163"/>
    </row>
    <row r="1164" spans="1:16" x14ac:dyDescent="0.35">
      <c r="A1164" s="4">
        <v>1161</v>
      </c>
      <c r="B1164" s="17">
        <v>46054.097222222219</v>
      </c>
      <c r="C1164" s="1">
        <v>78745.2</v>
      </c>
      <c r="D1164" s="20">
        <v>78753.820000000007</v>
      </c>
      <c r="E1164" s="20">
        <v>78597.81</v>
      </c>
      <c r="F1164" s="1">
        <v>78624.56</v>
      </c>
      <c r="G1164" s="18">
        <v>255</v>
      </c>
      <c r="I1164" s="21">
        <v>46054.097222222219</v>
      </c>
      <c r="J1164" s="26"/>
      <c r="K1164" s="29"/>
      <c r="L1164" s="27">
        <v>78772.468330000003</v>
      </c>
      <c r="M1164" s="27">
        <v>78441.735000000001</v>
      </c>
      <c r="N1164" s="30" t="s">
        <v>6</v>
      </c>
      <c r="O1164" s="28" t="s">
        <v>8</v>
      </c>
      <c r="P1164"/>
    </row>
    <row r="1165" spans="1:16" x14ac:dyDescent="0.35">
      <c r="A1165" s="4">
        <v>1162</v>
      </c>
      <c r="B1165" s="17">
        <v>46054.097916666666</v>
      </c>
      <c r="C1165" s="1">
        <v>78617.259999999995</v>
      </c>
      <c r="D1165" s="20">
        <v>78619.23</v>
      </c>
      <c r="E1165" s="20">
        <v>78488.7</v>
      </c>
      <c r="F1165" s="1">
        <v>78502.53</v>
      </c>
      <c r="G1165" s="18">
        <v>247</v>
      </c>
      <c r="I1165" s="21">
        <v>46054.097916666666</v>
      </c>
      <c r="J1165" s="26"/>
      <c r="K1165" s="29"/>
      <c r="L1165" s="27">
        <v>78734.516669999997</v>
      </c>
      <c r="M1165" s="27">
        <v>78449.42</v>
      </c>
      <c r="N1165" s="30" t="s">
        <v>6</v>
      </c>
      <c r="O1165" s="28" t="s">
        <v>8</v>
      </c>
      <c r="P1165"/>
    </row>
    <row r="1166" spans="1:16" x14ac:dyDescent="0.35">
      <c r="A1166" s="4">
        <v>1163</v>
      </c>
      <c r="B1166" s="17">
        <v>46054.098611111112</v>
      </c>
      <c r="C1166" s="1">
        <v>78505.66</v>
      </c>
      <c r="D1166" s="20">
        <v>78555.34</v>
      </c>
      <c r="E1166" s="20">
        <v>78479.56</v>
      </c>
      <c r="F1166" s="1">
        <v>78491.34</v>
      </c>
      <c r="G1166" s="18">
        <v>249</v>
      </c>
      <c r="I1166" s="21">
        <v>46054.098611111112</v>
      </c>
      <c r="J1166" s="26"/>
      <c r="K1166" s="29"/>
      <c r="L1166" s="27">
        <v>78696.565000000002</v>
      </c>
      <c r="M1166" s="27">
        <v>78457.104999999996</v>
      </c>
      <c r="N1166" s="30" t="s">
        <v>6</v>
      </c>
      <c r="O1166" s="28" t="s">
        <v>8</v>
      </c>
      <c r="P1166"/>
    </row>
    <row r="1167" spans="1:16" x14ac:dyDescent="0.35">
      <c r="A1167" s="4">
        <v>1164</v>
      </c>
      <c r="B1167" s="17">
        <v>46054.099305555559</v>
      </c>
      <c r="C1167" s="1">
        <v>78490.86</v>
      </c>
      <c r="D1167" s="20">
        <v>78507.740000000005</v>
      </c>
      <c r="E1167" s="20">
        <v>78464.789999999994</v>
      </c>
      <c r="F1167" s="1">
        <v>78494.649999999994</v>
      </c>
      <c r="G1167" s="18">
        <v>213</v>
      </c>
      <c r="I1167" s="21">
        <v>46054.099305555559</v>
      </c>
      <c r="J1167" s="26"/>
      <c r="K1167" s="29">
        <v>78464.789999999994</v>
      </c>
      <c r="L1167" s="27">
        <v>78658.613329999993</v>
      </c>
      <c r="M1167" s="27">
        <v>78464.789999999994</v>
      </c>
      <c r="N1167" s="30" t="s">
        <v>6</v>
      </c>
      <c r="O1167" s="28" t="s">
        <v>8</v>
      </c>
      <c r="P1167"/>
    </row>
    <row r="1168" spans="1:16" x14ac:dyDescent="0.35">
      <c r="A1168" s="4">
        <v>1165</v>
      </c>
      <c r="B1168" s="17">
        <v>46054.1</v>
      </c>
      <c r="C1168" s="1">
        <v>78495.009999999995</v>
      </c>
      <c r="D1168" s="20">
        <v>78545.42</v>
      </c>
      <c r="E1168" s="20">
        <v>78494.98</v>
      </c>
      <c r="F1168" s="1">
        <v>78529.17</v>
      </c>
      <c r="G1168" s="18">
        <v>201</v>
      </c>
      <c r="I1168" s="21">
        <v>46054.1</v>
      </c>
      <c r="J1168" s="26"/>
      <c r="K1168" s="29"/>
      <c r="L1168" s="27">
        <v>78620.661670000001</v>
      </c>
      <c r="M1168" s="27">
        <v>78470.89</v>
      </c>
      <c r="N1168" s="30" t="s">
        <v>6</v>
      </c>
      <c r="O1168" s="28" t="s">
        <v>8</v>
      </c>
      <c r="P1168"/>
    </row>
    <row r="1169" spans="1:16" x14ac:dyDescent="0.35">
      <c r="A1169" s="4">
        <v>1166</v>
      </c>
      <c r="B1169" s="17">
        <v>46054.100694444445</v>
      </c>
      <c r="C1169" s="1">
        <v>78529.16</v>
      </c>
      <c r="D1169" s="20">
        <v>78582.710000000006</v>
      </c>
      <c r="E1169" s="20">
        <v>78529.16</v>
      </c>
      <c r="F1169" s="1">
        <v>78540.63</v>
      </c>
      <c r="G1169" s="18">
        <v>185</v>
      </c>
      <c r="I1169" s="21">
        <v>46054.100694444445</v>
      </c>
      <c r="J1169" s="26">
        <v>78582.710000000006</v>
      </c>
      <c r="K1169" s="29"/>
      <c r="L1169" s="27">
        <v>78582.710000000006</v>
      </c>
      <c r="M1169" s="27">
        <v>78476.990000000005</v>
      </c>
      <c r="N1169" s="30" t="s">
        <v>6</v>
      </c>
      <c r="O1169" s="28" t="s">
        <v>8</v>
      </c>
      <c r="P1169"/>
    </row>
    <row r="1170" spans="1:16" x14ac:dyDescent="0.35">
      <c r="A1170" s="4">
        <v>1167</v>
      </c>
      <c r="B1170" s="17">
        <v>46054.101388888892</v>
      </c>
      <c r="C1170" s="1">
        <v>78540.63</v>
      </c>
      <c r="D1170" s="20">
        <v>78570.69</v>
      </c>
      <c r="E1170" s="20">
        <v>78503.360000000001</v>
      </c>
      <c r="F1170" s="1">
        <v>78503.990000000005</v>
      </c>
      <c r="G1170" s="18">
        <v>196</v>
      </c>
      <c r="I1170" s="21">
        <v>46054.101388888892</v>
      </c>
      <c r="J1170" s="26"/>
      <c r="K1170" s="29"/>
      <c r="L1170" s="27">
        <v>78598.457139999999</v>
      </c>
      <c r="M1170" s="27">
        <v>78483.09</v>
      </c>
      <c r="N1170" s="30" t="s">
        <v>7</v>
      </c>
      <c r="O1170" s="28" t="s">
        <v>8</v>
      </c>
      <c r="P1170"/>
    </row>
    <row r="1171" spans="1:16" x14ac:dyDescent="0.35">
      <c r="A1171" s="4">
        <v>1168</v>
      </c>
      <c r="B1171" s="17">
        <v>46054.102083333331</v>
      </c>
      <c r="C1171" s="1">
        <v>78510.899999999994</v>
      </c>
      <c r="D1171" s="20">
        <v>78538.75</v>
      </c>
      <c r="E1171" s="20">
        <v>78489.19</v>
      </c>
      <c r="F1171" s="1">
        <v>78518.33</v>
      </c>
      <c r="G1171" s="18">
        <v>189</v>
      </c>
      <c r="I1171" s="21">
        <v>46054.102083333331</v>
      </c>
      <c r="J1171" s="26"/>
      <c r="K1171" s="29">
        <v>78489.19</v>
      </c>
      <c r="L1171" s="27">
        <v>78614.204289999994</v>
      </c>
      <c r="M1171" s="27">
        <v>78489.19</v>
      </c>
      <c r="N1171" s="30" t="s">
        <v>7</v>
      </c>
      <c r="O1171" s="28" t="s">
        <v>8</v>
      </c>
      <c r="P1171"/>
    </row>
    <row r="1172" spans="1:16" x14ac:dyDescent="0.35">
      <c r="A1172" s="4">
        <v>1169</v>
      </c>
      <c r="B1172" s="17">
        <v>46054.102777777778</v>
      </c>
      <c r="C1172" s="1">
        <v>78515.429999999993</v>
      </c>
      <c r="D1172" s="20">
        <v>78574.33</v>
      </c>
      <c r="E1172" s="20">
        <v>78515.429999999993</v>
      </c>
      <c r="F1172" s="1">
        <v>78558.25</v>
      </c>
      <c r="G1172" s="18">
        <v>183</v>
      </c>
      <c r="I1172" s="21">
        <v>46054.102777777778</v>
      </c>
      <c r="J1172" s="26"/>
      <c r="K1172" s="29"/>
      <c r="L1172" s="27">
        <v>78629.951430000001</v>
      </c>
      <c r="M1172" s="27">
        <v>78499.509999999995</v>
      </c>
      <c r="N1172" s="30" t="s">
        <v>7</v>
      </c>
      <c r="O1172" s="28" t="s">
        <v>8</v>
      </c>
      <c r="P1172"/>
    </row>
    <row r="1173" spans="1:16" x14ac:dyDescent="0.35">
      <c r="A1173" s="4">
        <v>1170</v>
      </c>
      <c r="B1173" s="17">
        <v>46054.103472222225</v>
      </c>
      <c r="C1173" s="1">
        <v>78558.509999999995</v>
      </c>
      <c r="D1173" s="20">
        <v>78586.44</v>
      </c>
      <c r="E1173" s="20">
        <v>78536.679999999993</v>
      </c>
      <c r="F1173" s="1">
        <v>78586.44</v>
      </c>
      <c r="G1173" s="18">
        <v>169</v>
      </c>
      <c r="I1173" s="21">
        <v>46054.103472222225</v>
      </c>
      <c r="J1173" s="26"/>
      <c r="K1173" s="29"/>
      <c r="L1173" s="27">
        <v>78645.698569999993</v>
      </c>
      <c r="M1173" s="27">
        <v>78509.83</v>
      </c>
      <c r="N1173" s="30" t="s">
        <v>7</v>
      </c>
      <c r="O1173" s="28" t="s">
        <v>8</v>
      </c>
      <c r="P1173"/>
    </row>
    <row r="1174" spans="1:16" x14ac:dyDescent="0.35">
      <c r="A1174" s="4">
        <v>1171</v>
      </c>
      <c r="B1174" s="17">
        <v>46054.104166666664</v>
      </c>
      <c r="C1174" s="1">
        <v>78586.44</v>
      </c>
      <c r="D1174" s="20">
        <v>78621.41</v>
      </c>
      <c r="E1174" s="20">
        <v>78574.899999999994</v>
      </c>
      <c r="F1174" s="1">
        <v>78586.14</v>
      </c>
      <c r="G1174" s="18">
        <v>230</v>
      </c>
      <c r="I1174" s="21">
        <v>46054.104166666664</v>
      </c>
      <c r="J1174" s="26"/>
      <c r="K1174" s="29"/>
      <c r="L1174" s="27">
        <v>78661.44571</v>
      </c>
      <c r="M1174" s="27">
        <v>78520.149999999994</v>
      </c>
      <c r="N1174" s="30" t="s">
        <v>7</v>
      </c>
      <c r="O1174" s="28" t="s">
        <v>8</v>
      </c>
      <c r="P1174"/>
    </row>
    <row r="1175" spans="1:16" x14ac:dyDescent="0.35">
      <c r="A1175" s="4">
        <v>1172</v>
      </c>
      <c r="B1175" s="17">
        <v>46054.104861111111</v>
      </c>
      <c r="C1175" s="1">
        <v>78589.100000000006</v>
      </c>
      <c r="D1175" s="20">
        <v>78658.91</v>
      </c>
      <c r="E1175" s="20">
        <v>78579.7</v>
      </c>
      <c r="F1175" s="1">
        <v>78658.91</v>
      </c>
      <c r="G1175" s="18">
        <v>191</v>
      </c>
      <c r="I1175" s="21">
        <v>46054.104861111111</v>
      </c>
      <c r="J1175" s="26"/>
      <c r="K1175" s="29"/>
      <c r="L1175" s="27">
        <v>78677.192859999996</v>
      </c>
      <c r="M1175" s="27">
        <v>78530.47</v>
      </c>
      <c r="N1175" s="30" t="s">
        <v>7</v>
      </c>
      <c r="O1175" s="28" t="s">
        <v>8</v>
      </c>
      <c r="P1175"/>
    </row>
    <row r="1176" spans="1:16" x14ac:dyDescent="0.35">
      <c r="A1176" s="4">
        <v>1173</v>
      </c>
      <c r="B1176" s="17">
        <v>46054.105555555558</v>
      </c>
      <c r="C1176" s="1">
        <v>78658.91</v>
      </c>
      <c r="D1176" s="20">
        <v>78692.94</v>
      </c>
      <c r="E1176" s="20">
        <v>78651.89</v>
      </c>
      <c r="F1176" s="1">
        <v>78667.16</v>
      </c>
      <c r="G1176" s="18">
        <v>188</v>
      </c>
      <c r="I1176" s="21">
        <v>46054.105555555558</v>
      </c>
      <c r="J1176" s="26">
        <v>78692.94</v>
      </c>
      <c r="K1176" s="29"/>
      <c r="L1176" s="27">
        <v>78692.94</v>
      </c>
      <c r="M1176" s="27">
        <v>78540.789999999994</v>
      </c>
      <c r="N1176" s="30" t="s">
        <v>7</v>
      </c>
      <c r="O1176" s="28" t="s">
        <v>8</v>
      </c>
      <c r="P1176"/>
    </row>
    <row r="1177" spans="1:16" x14ac:dyDescent="0.35">
      <c r="A1177" s="4">
        <v>1174</v>
      </c>
      <c r="B1177" s="17">
        <v>46054.106249999997</v>
      </c>
      <c r="C1177" s="1">
        <v>78667.45</v>
      </c>
      <c r="D1177" s="20">
        <v>78683.990000000005</v>
      </c>
      <c r="E1177" s="20">
        <v>78570.45</v>
      </c>
      <c r="F1177" s="1">
        <v>78571.360000000001</v>
      </c>
      <c r="G1177" s="18">
        <v>223</v>
      </c>
      <c r="I1177" s="21">
        <v>46054.106249999997</v>
      </c>
      <c r="J1177" s="26"/>
      <c r="K1177" s="29"/>
      <c r="L1177" s="27">
        <v>78703.597139999998</v>
      </c>
      <c r="M1177" s="27">
        <v>78551.11</v>
      </c>
      <c r="N1177" s="30" t="s">
        <v>7</v>
      </c>
      <c r="O1177" s="28" t="s">
        <v>8</v>
      </c>
      <c r="P1177"/>
    </row>
    <row r="1178" spans="1:16" x14ac:dyDescent="0.35">
      <c r="A1178" s="4">
        <v>1175</v>
      </c>
      <c r="B1178" s="17">
        <v>46054.106944444444</v>
      </c>
      <c r="C1178" s="1">
        <v>78571.399999999994</v>
      </c>
      <c r="D1178" s="20">
        <v>78673.899999999994</v>
      </c>
      <c r="E1178" s="20">
        <v>78561.429999999993</v>
      </c>
      <c r="F1178" s="1">
        <v>78667</v>
      </c>
      <c r="G1178" s="18">
        <v>204</v>
      </c>
      <c r="I1178" s="21">
        <v>46054.106944444444</v>
      </c>
      <c r="J1178" s="26"/>
      <c r="K1178" s="29">
        <v>78561.429999999993</v>
      </c>
      <c r="L1178" s="27">
        <v>78714.254289999997</v>
      </c>
      <c r="M1178" s="27">
        <v>78561.429999999993</v>
      </c>
      <c r="N1178" s="30" t="s">
        <v>7</v>
      </c>
      <c r="O1178" s="28" t="s">
        <v>8</v>
      </c>
      <c r="P1178"/>
    </row>
    <row r="1179" spans="1:16" x14ac:dyDescent="0.35">
      <c r="A1179" s="4">
        <v>1176</v>
      </c>
      <c r="B1179" s="17">
        <v>46054.107638888891</v>
      </c>
      <c r="C1179" s="1">
        <v>78667</v>
      </c>
      <c r="D1179" s="20">
        <v>78717.960000000006</v>
      </c>
      <c r="E1179" s="20">
        <v>78667</v>
      </c>
      <c r="F1179" s="1">
        <v>78705.83</v>
      </c>
      <c r="G1179" s="18">
        <v>209</v>
      </c>
      <c r="I1179" s="21">
        <v>46054.107638888891</v>
      </c>
      <c r="J1179" s="26"/>
      <c r="K1179" s="29"/>
      <c r="L1179" s="27">
        <v>78724.911429999993</v>
      </c>
      <c r="M1179" s="27">
        <v>78571.013999999996</v>
      </c>
      <c r="N1179" s="30" t="s">
        <v>7</v>
      </c>
      <c r="O1179" s="28" t="s">
        <v>8</v>
      </c>
      <c r="P1179"/>
    </row>
    <row r="1180" spans="1:16" x14ac:dyDescent="0.35">
      <c r="A1180" s="4">
        <v>1177</v>
      </c>
      <c r="B1180" s="17">
        <v>46054.10833333333</v>
      </c>
      <c r="C1180" s="1">
        <v>78705.86</v>
      </c>
      <c r="D1180" s="20">
        <v>78742.149999999994</v>
      </c>
      <c r="E1180" s="20">
        <v>78643.100000000006</v>
      </c>
      <c r="F1180" s="1">
        <v>78663.91</v>
      </c>
      <c r="G1180" s="18">
        <v>244</v>
      </c>
      <c r="I1180" s="21">
        <v>46054.10833333333</v>
      </c>
      <c r="J1180" s="26"/>
      <c r="K1180" s="29"/>
      <c r="L1180" s="27">
        <v>78735.568570000003</v>
      </c>
      <c r="M1180" s="27">
        <v>78580.597999999998</v>
      </c>
      <c r="N1180" s="30" t="s">
        <v>7</v>
      </c>
      <c r="O1180" s="28" t="s">
        <v>8</v>
      </c>
      <c r="P1180"/>
    </row>
    <row r="1181" spans="1:16" x14ac:dyDescent="0.35">
      <c r="A1181" s="4">
        <v>1178</v>
      </c>
      <c r="B1181" s="17">
        <v>46054.109027777777</v>
      </c>
      <c r="C1181" s="1">
        <v>78670.23</v>
      </c>
      <c r="D1181" s="20">
        <v>78751.95</v>
      </c>
      <c r="E1181" s="20">
        <v>78670.23</v>
      </c>
      <c r="F1181" s="1">
        <v>78751.95</v>
      </c>
      <c r="G1181" s="18">
        <v>219</v>
      </c>
      <c r="I1181" s="21">
        <v>46054.109027777777</v>
      </c>
      <c r="J1181" s="26"/>
      <c r="K1181" s="29"/>
      <c r="L1181" s="27">
        <v>78746.225709999999</v>
      </c>
      <c r="M1181" s="27">
        <v>78590.182000000001</v>
      </c>
      <c r="N1181" s="30" t="s">
        <v>7</v>
      </c>
      <c r="O1181" s="28" t="s">
        <v>8</v>
      </c>
      <c r="P1181"/>
    </row>
    <row r="1182" spans="1:16" x14ac:dyDescent="0.35">
      <c r="A1182" s="4">
        <v>1179</v>
      </c>
      <c r="B1182" s="17">
        <v>46054.109722222223</v>
      </c>
      <c r="C1182" s="1">
        <v>78752</v>
      </c>
      <c r="D1182" s="20">
        <v>78752.740000000005</v>
      </c>
      <c r="E1182" s="20">
        <v>78690.5</v>
      </c>
      <c r="F1182" s="1">
        <v>78702.320000000007</v>
      </c>
      <c r="G1182" s="18">
        <v>206</v>
      </c>
      <c r="I1182" s="21">
        <v>46054.109722222223</v>
      </c>
      <c r="J1182" s="26"/>
      <c r="K1182" s="29"/>
      <c r="L1182" s="27">
        <v>78756.882859999998</v>
      </c>
      <c r="M1182" s="27">
        <v>78599.766000000003</v>
      </c>
      <c r="N1182" s="30" t="s">
        <v>7</v>
      </c>
      <c r="O1182" s="28" t="s">
        <v>8</v>
      </c>
      <c r="P1182"/>
    </row>
    <row r="1183" spans="1:16" x14ac:dyDescent="0.35">
      <c r="A1183" s="4">
        <v>1180</v>
      </c>
      <c r="B1183" s="17">
        <v>46054.11041666667</v>
      </c>
      <c r="C1183" s="1">
        <v>78708.09</v>
      </c>
      <c r="D1183" s="20">
        <v>78767.539999999994</v>
      </c>
      <c r="E1183" s="20">
        <v>78696.2</v>
      </c>
      <c r="F1183" s="1">
        <v>78729.23</v>
      </c>
      <c r="G1183" s="18">
        <v>234</v>
      </c>
      <c r="I1183" s="21">
        <v>46054.11041666667</v>
      </c>
      <c r="J1183" s="26">
        <v>78767.539999999994</v>
      </c>
      <c r="K1183" s="29"/>
      <c r="L1183" s="27">
        <v>78767.539999999994</v>
      </c>
      <c r="M1183" s="27">
        <v>78609.350000000006</v>
      </c>
      <c r="N1183" s="30" t="s">
        <v>7</v>
      </c>
      <c r="O1183" s="28" t="s">
        <v>8</v>
      </c>
      <c r="P1183"/>
    </row>
    <row r="1184" spans="1:16" x14ac:dyDescent="0.35">
      <c r="A1184" s="4">
        <v>1181</v>
      </c>
      <c r="B1184" s="17">
        <v>46054.111111111109</v>
      </c>
      <c r="C1184" s="1">
        <v>78729.23</v>
      </c>
      <c r="D1184" s="20">
        <v>78754.720000000001</v>
      </c>
      <c r="E1184" s="20">
        <v>78695.25</v>
      </c>
      <c r="F1184" s="1">
        <v>78717.19</v>
      </c>
      <c r="G1184" s="18">
        <v>195</v>
      </c>
      <c r="I1184" s="21">
        <v>46054.111111111109</v>
      </c>
      <c r="J1184" s="26"/>
      <c r="K1184" s="29"/>
      <c r="L1184" s="27">
        <v>78764.47</v>
      </c>
      <c r="M1184" s="27">
        <v>78618.933999999994</v>
      </c>
      <c r="N1184" s="30" t="s">
        <v>6</v>
      </c>
      <c r="O1184" s="28" t="s">
        <v>8</v>
      </c>
      <c r="P1184"/>
    </row>
    <row r="1185" spans="1:16" x14ac:dyDescent="0.35">
      <c r="A1185" s="4">
        <v>1182</v>
      </c>
      <c r="B1185" s="17">
        <v>46054.111805555556</v>
      </c>
      <c r="C1185" s="1">
        <v>78717.22</v>
      </c>
      <c r="D1185" s="20">
        <v>78736.759999999995</v>
      </c>
      <c r="E1185" s="20">
        <v>78688.11</v>
      </c>
      <c r="F1185" s="1">
        <v>78736.08</v>
      </c>
      <c r="G1185" s="18">
        <v>197</v>
      </c>
      <c r="I1185" s="21">
        <v>46054.111805555556</v>
      </c>
      <c r="J1185" s="26"/>
      <c r="K1185" s="29"/>
      <c r="L1185" s="27">
        <v>78761.399999999994</v>
      </c>
      <c r="M1185" s="27">
        <v>78628.517999999996</v>
      </c>
      <c r="N1185" s="30" t="s">
        <v>6</v>
      </c>
      <c r="O1185" s="28" t="s">
        <v>8</v>
      </c>
      <c r="P1185"/>
    </row>
    <row r="1186" spans="1:16" x14ac:dyDescent="0.35">
      <c r="A1186" s="4">
        <v>1183</v>
      </c>
      <c r="B1186" s="17">
        <v>46054.112500000003</v>
      </c>
      <c r="C1186" s="1">
        <v>78735.94</v>
      </c>
      <c r="D1186" s="20">
        <v>78758.33</v>
      </c>
      <c r="E1186" s="20">
        <v>78728.259999999995</v>
      </c>
      <c r="F1186" s="1">
        <v>78744.17</v>
      </c>
      <c r="G1186" s="18">
        <v>197</v>
      </c>
      <c r="I1186" s="21">
        <v>46054.112500000003</v>
      </c>
      <c r="J1186" s="26">
        <v>78758.33</v>
      </c>
      <c r="K1186" s="29"/>
      <c r="L1186" s="27">
        <v>78758.33</v>
      </c>
      <c r="M1186" s="27">
        <v>78638.101999999999</v>
      </c>
      <c r="N1186" s="30" t="s">
        <v>6</v>
      </c>
      <c r="O1186" s="28" t="s">
        <v>8</v>
      </c>
      <c r="P1186"/>
    </row>
    <row r="1187" spans="1:16" x14ac:dyDescent="0.35">
      <c r="A1187" s="4">
        <v>1184</v>
      </c>
      <c r="B1187" s="17">
        <v>46054.113194444442</v>
      </c>
      <c r="C1187" s="1">
        <v>78738.5</v>
      </c>
      <c r="D1187" s="20">
        <v>78738.5</v>
      </c>
      <c r="E1187" s="20">
        <v>78657.289999999994</v>
      </c>
      <c r="F1187" s="1">
        <v>78657.289999999994</v>
      </c>
      <c r="G1187" s="18">
        <v>149</v>
      </c>
      <c r="I1187" s="21">
        <v>46054.113194444442</v>
      </c>
      <c r="J1187" s="26"/>
      <c r="K1187" s="29"/>
      <c r="L1187" s="27">
        <v>78778.021540000002</v>
      </c>
      <c r="M1187" s="27">
        <v>78647.686000000002</v>
      </c>
      <c r="N1187" s="30" t="s">
        <v>7</v>
      </c>
      <c r="O1187" s="28" t="s">
        <v>8</v>
      </c>
      <c r="P1187"/>
    </row>
    <row r="1188" spans="1:16" x14ac:dyDescent="0.35">
      <c r="A1188" s="4">
        <v>1185</v>
      </c>
      <c r="B1188" s="17">
        <v>46054.113888888889</v>
      </c>
      <c r="C1188" s="1">
        <v>78657.27</v>
      </c>
      <c r="D1188" s="20">
        <v>78738.649999999994</v>
      </c>
      <c r="E1188" s="20">
        <v>78657.27</v>
      </c>
      <c r="F1188" s="1">
        <v>78708.929999999993</v>
      </c>
      <c r="G1188" s="18">
        <v>200</v>
      </c>
      <c r="I1188" s="21">
        <v>46054.113888888889</v>
      </c>
      <c r="J1188" s="26"/>
      <c r="K1188" s="29">
        <v>78657.27</v>
      </c>
      <c r="L1188" s="27">
        <v>78797.713080000001</v>
      </c>
      <c r="M1188" s="27">
        <v>78657.27</v>
      </c>
      <c r="N1188" s="30" t="s">
        <v>7</v>
      </c>
      <c r="O1188" s="28" t="s">
        <v>8</v>
      </c>
      <c r="P1188"/>
    </row>
    <row r="1189" spans="1:16" x14ac:dyDescent="0.35">
      <c r="A1189" s="4">
        <v>1186</v>
      </c>
      <c r="B1189" s="17">
        <v>46054.114583333336</v>
      </c>
      <c r="C1189" s="1">
        <v>78708.95</v>
      </c>
      <c r="D1189" s="20">
        <v>78765.95</v>
      </c>
      <c r="E1189" s="20">
        <v>78697.36</v>
      </c>
      <c r="F1189" s="1">
        <v>78720.28</v>
      </c>
      <c r="G1189" s="18">
        <v>183</v>
      </c>
      <c r="I1189" s="21">
        <v>46054.114583333336</v>
      </c>
      <c r="J1189" s="26"/>
      <c r="K1189" s="29"/>
      <c r="L1189" s="27">
        <v>78817.404620000001</v>
      </c>
      <c r="M1189" s="27">
        <v>78670.531430000003</v>
      </c>
      <c r="N1189" s="30" t="s">
        <v>7</v>
      </c>
      <c r="O1189" s="28" t="s">
        <v>8</v>
      </c>
      <c r="P1189"/>
    </row>
    <row r="1190" spans="1:16" x14ac:dyDescent="0.35">
      <c r="A1190" s="4">
        <v>1187</v>
      </c>
      <c r="B1190" s="17">
        <v>46054.115277777775</v>
      </c>
      <c r="C1190" s="1">
        <v>78720.27</v>
      </c>
      <c r="D1190" s="20">
        <v>78813.759999999995</v>
      </c>
      <c r="E1190" s="20">
        <v>78676.19</v>
      </c>
      <c r="F1190" s="1">
        <v>78811.179999999993</v>
      </c>
      <c r="G1190" s="18">
        <v>218</v>
      </c>
      <c r="I1190" s="21">
        <v>46054.115277777775</v>
      </c>
      <c r="J1190" s="26"/>
      <c r="K1190" s="29"/>
      <c r="L1190" s="27">
        <v>78837.096149999998</v>
      </c>
      <c r="M1190" s="27">
        <v>78683.792860000001</v>
      </c>
      <c r="N1190" s="30" t="s">
        <v>7</v>
      </c>
      <c r="O1190" s="28" t="s">
        <v>8</v>
      </c>
      <c r="P1190"/>
    </row>
    <row r="1191" spans="1:16" x14ac:dyDescent="0.35">
      <c r="A1191" s="4">
        <v>1188</v>
      </c>
      <c r="B1191" s="17">
        <v>46054.115972222222</v>
      </c>
      <c r="C1191" s="1">
        <v>78814.399999999994</v>
      </c>
      <c r="D1191" s="20">
        <v>78814.429999999993</v>
      </c>
      <c r="E1191" s="20">
        <v>78768.429999999993</v>
      </c>
      <c r="F1191" s="1">
        <v>78792.88</v>
      </c>
      <c r="G1191" s="18">
        <v>217</v>
      </c>
      <c r="I1191" s="21">
        <v>46054.115972222222</v>
      </c>
      <c r="J1191" s="26"/>
      <c r="K1191" s="29"/>
      <c r="L1191" s="27">
        <v>78856.787689999997</v>
      </c>
      <c r="M1191" s="27">
        <v>78697.05429</v>
      </c>
      <c r="N1191" s="30" t="s">
        <v>7</v>
      </c>
      <c r="O1191" s="28" t="s">
        <v>8</v>
      </c>
      <c r="P1191"/>
    </row>
    <row r="1192" spans="1:16" x14ac:dyDescent="0.35">
      <c r="A1192" s="4">
        <v>1189</v>
      </c>
      <c r="B1192" s="17">
        <v>46054.116666666669</v>
      </c>
      <c r="C1192" s="1">
        <v>78792.570000000007</v>
      </c>
      <c r="D1192" s="20">
        <v>78826.320000000007</v>
      </c>
      <c r="E1192" s="20">
        <v>78792.570000000007</v>
      </c>
      <c r="F1192" s="1">
        <v>78814.559999999998</v>
      </c>
      <c r="G1192" s="18">
        <v>203</v>
      </c>
      <c r="I1192" s="21">
        <v>46054.116666666669</v>
      </c>
      <c r="J1192" s="26"/>
      <c r="K1192" s="29"/>
      <c r="L1192" s="27">
        <v>78876.479229999997</v>
      </c>
      <c r="M1192" s="27">
        <v>78710.315709999995</v>
      </c>
      <c r="N1192" s="30" t="s">
        <v>7</v>
      </c>
      <c r="O1192" s="28" t="s">
        <v>8</v>
      </c>
      <c r="P1192"/>
    </row>
    <row r="1193" spans="1:16" x14ac:dyDescent="0.35">
      <c r="A1193" s="4">
        <v>1190</v>
      </c>
      <c r="B1193" s="17">
        <v>46054.117361111108</v>
      </c>
      <c r="C1193" s="1">
        <v>78814.92</v>
      </c>
      <c r="D1193" s="20">
        <v>78826.31</v>
      </c>
      <c r="E1193" s="20">
        <v>78788.47</v>
      </c>
      <c r="F1193" s="1">
        <v>78813.929999999993</v>
      </c>
      <c r="G1193" s="18">
        <v>187</v>
      </c>
      <c r="I1193" s="21">
        <v>46054.117361111108</v>
      </c>
      <c r="J1193" s="26"/>
      <c r="K1193" s="29"/>
      <c r="L1193" s="27">
        <v>78896.170769999997</v>
      </c>
      <c r="M1193" s="27">
        <v>78723.577139999994</v>
      </c>
      <c r="N1193" s="30" t="s">
        <v>7</v>
      </c>
      <c r="O1193" s="28" t="s">
        <v>8</v>
      </c>
      <c r="P1193"/>
    </row>
    <row r="1194" spans="1:16" x14ac:dyDescent="0.35">
      <c r="A1194" s="4">
        <v>1191</v>
      </c>
      <c r="B1194" s="17">
        <v>46054.118055555555</v>
      </c>
      <c r="C1194" s="1">
        <v>78815.759999999995</v>
      </c>
      <c r="D1194" s="20">
        <v>78838.98</v>
      </c>
      <c r="E1194" s="20">
        <v>78796</v>
      </c>
      <c r="F1194" s="1">
        <v>78831.12</v>
      </c>
      <c r="G1194" s="18">
        <v>201</v>
      </c>
      <c r="I1194" s="21">
        <v>46054.118055555555</v>
      </c>
      <c r="J1194" s="26"/>
      <c r="K1194" s="29"/>
      <c r="L1194" s="27">
        <v>78915.862309999997</v>
      </c>
      <c r="M1194" s="27">
        <v>78736.838570000007</v>
      </c>
      <c r="N1194" s="30" t="s">
        <v>7</v>
      </c>
      <c r="O1194" s="28" t="s">
        <v>8</v>
      </c>
      <c r="P1194"/>
    </row>
    <row r="1195" spans="1:16" x14ac:dyDescent="0.35">
      <c r="A1195" s="4">
        <v>1192</v>
      </c>
      <c r="B1195" s="17">
        <v>46054.118750000001</v>
      </c>
      <c r="C1195" s="1">
        <v>78831.14</v>
      </c>
      <c r="D1195" s="20">
        <v>78831.14</v>
      </c>
      <c r="E1195" s="20">
        <v>78750.100000000006</v>
      </c>
      <c r="F1195" s="1">
        <v>78789.850000000006</v>
      </c>
      <c r="G1195" s="18">
        <v>170</v>
      </c>
      <c r="I1195" s="21">
        <v>46054.118750000001</v>
      </c>
      <c r="J1195" s="26"/>
      <c r="K1195" s="29">
        <v>78750.100000000006</v>
      </c>
      <c r="L1195" s="27">
        <v>78935.553849999997</v>
      </c>
      <c r="M1195" s="27">
        <v>78750.100000000006</v>
      </c>
      <c r="N1195" s="30" t="s">
        <v>7</v>
      </c>
      <c r="O1195" s="28" t="s">
        <v>8</v>
      </c>
      <c r="P1195"/>
    </row>
    <row r="1196" spans="1:16" x14ac:dyDescent="0.35">
      <c r="A1196" s="4">
        <v>1193</v>
      </c>
      <c r="B1196" s="17">
        <v>46054.119444444441</v>
      </c>
      <c r="C1196" s="1">
        <v>78793.47</v>
      </c>
      <c r="D1196" s="20">
        <v>78893.33</v>
      </c>
      <c r="E1196" s="20">
        <v>78793.100000000006</v>
      </c>
      <c r="F1196" s="1">
        <v>78848.86</v>
      </c>
      <c r="G1196" s="18">
        <v>223</v>
      </c>
      <c r="I1196" s="21">
        <v>46054.119444444441</v>
      </c>
      <c r="J1196" s="26"/>
      <c r="K1196" s="29"/>
      <c r="L1196" s="27">
        <v>78955.245379999993</v>
      </c>
      <c r="M1196" s="27">
        <v>78763.555710000001</v>
      </c>
      <c r="N1196" s="30" t="s">
        <v>7</v>
      </c>
      <c r="O1196" s="28" t="s">
        <v>8</v>
      </c>
      <c r="P1196"/>
    </row>
    <row r="1197" spans="1:16" x14ac:dyDescent="0.35">
      <c r="A1197" s="4">
        <v>1194</v>
      </c>
      <c r="B1197" s="17">
        <v>46054.120138888888</v>
      </c>
      <c r="C1197" s="1">
        <v>78848.89</v>
      </c>
      <c r="D1197" s="20">
        <v>78951.009999999995</v>
      </c>
      <c r="E1197" s="20">
        <v>78835.56</v>
      </c>
      <c r="F1197" s="1">
        <v>78940.59</v>
      </c>
      <c r="G1197" s="18">
        <v>235</v>
      </c>
      <c r="I1197" s="21">
        <v>46054.120138888888</v>
      </c>
      <c r="J1197" s="26"/>
      <c r="K1197" s="29"/>
      <c r="L1197" s="27">
        <v>78974.936919999993</v>
      </c>
      <c r="M1197" s="27">
        <v>78777.011429999999</v>
      </c>
      <c r="N1197" s="30" t="s">
        <v>7</v>
      </c>
      <c r="O1197" s="28" t="s">
        <v>8</v>
      </c>
      <c r="P1197"/>
    </row>
    <row r="1198" spans="1:16" x14ac:dyDescent="0.35">
      <c r="A1198" s="4">
        <v>1195</v>
      </c>
      <c r="B1198" s="17">
        <v>46054.120833333334</v>
      </c>
      <c r="C1198" s="1">
        <v>78941.72</v>
      </c>
      <c r="D1198" s="20">
        <v>78988.45</v>
      </c>
      <c r="E1198" s="20">
        <v>78928.66</v>
      </c>
      <c r="F1198" s="1">
        <v>78986.52</v>
      </c>
      <c r="G1198" s="18">
        <v>250</v>
      </c>
      <c r="I1198" s="21">
        <v>46054.120833333334</v>
      </c>
      <c r="J1198" s="26"/>
      <c r="K1198" s="29"/>
      <c r="L1198" s="27">
        <v>78994.628460000007</v>
      </c>
      <c r="M1198" s="27">
        <v>78790.467139999993</v>
      </c>
      <c r="N1198" s="30" t="s">
        <v>7</v>
      </c>
      <c r="O1198" s="28" t="s">
        <v>8</v>
      </c>
      <c r="P1198"/>
    </row>
    <row r="1199" spans="1:16" x14ac:dyDescent="0.35">
      <c r="A1199" s="4">
        <v>1196</v>
      </c>
      <c r="B1199" s="17">
        <v>46054.121527777781</v>
      </c>
      <c r="C1199" s="1">
        <v>78983.37</v>
      </c>
      <c r="D1199" s="20">
        <v>79014.320000000007</v>
      </c>
      <c r="E1199" s="20">
        <v>78881.81</v>
      </c>
      <c r="F1199" s="1">
        <v>78916.98</v>
      </c>
      <c r="G1199" s="18">
        <v>262</v>
      </c>
      <c r="I1199" s="21">
        <v>46054.121527777781</v>
      </c>
      <c r="J1199" s="26">
        <v>79014.320000000007</v>
      </c>
      <c r="K1199" s="29"/>
      <c r="L1199" s="27">
        <v>79014.320000000007</v>
      </c>
      <c r="M1199" s="27">
        <v>78803.922860000006</v>
      </c>
      <c r="N1199" s="30" t="s">
        <v>7</v>
      </c>
      <c r="O1199" s="28" t="s">
        <v>8</v>
      </c>
      <c r="P1199"/>
    </row>
    <row r="1200" spans="1:16" x14ac:dyDescent="0.35">
      <c r="A1200" s="4">
        <v>1197</v>
      </c>
      <c r="B1200" s="17">
        <v>46054.12222222222</v>
      </c>
      <c r="C1200" s="1">
        <v>78916.83</v>
      </c>
      <c r="D1200" s="20">
        <v>78952.87</v>
      </c>
      <c r="E1200" s="20">
        <v>78895.91</v>
      </c>
      <c r="F1200" s="1">
        <v>78952.86</v>
      </c>
      <c r="G1200" s="18">
        <v>196</v>
      </c>
      <c r="I1200" s="21">
        <v>46054.12222222222</v>
      </c>
      <c r="J1200" s="26"/>
      <c r="K1200" s="29"/>
      <c r="L1200" s="27">
        <v>79006.80429</v>
      </c>
      <c r="M1200" s="27">
        <v>78817.378570000001</v>
      </c>
      <c r="N1200" s="30" t="s">
        <v>6</v>
      </c>
      <c r="O1200" s="28" t="s">
        <v>8</v>
      </c>
      <c r="P1200"/>
    </row>
    <row r="1201" spans="1:16" x14ac:dyDescent="0.35">
      <c r="A1201" s="4">
        <v>1198</v>
      </c>
      <c r="B1201" s="17">
        <v>46054.122916666667</v>
      </c>
      <c r="C1201" s="1">
        <v>78952.850000000006</v>
      </c>
      <c r="D1201" s="20">
        <v>78957.27</v>
      </c>
      <c r="E1201" s="20">
        <v>78909.97</v>
      </c>
      <c r="F1201" s="1">
        <v>78942</v>
      </c>
      <c r="G1201" s="18">
        <v>207</v>
      </c>
      <c r="I1201" s="21">
        <v>46054.122916666667</v>
      </c>
      <c r="J1201" s="26"/>
      <c r="K1201" s="29"/>
      <c r="L1201" s="27">
        <v>78999.288570000004</v>
      </c>
      <c r="M1201" s="27">
        <v>78830.834289999999</v>
      </c>
      <c r="N1201" s="30" t="s">
        <v>6</v>
      </c>
      <c r="O1201" s="28" t="s">
        <v>8</v>
      </c>
      <c r="P1201"/>
    </row>
    <row r="1202" spans="1:16" x14ac:dyDescent="0.35">
      <c r="A1202" s="4">
        <v>1199</v>
      </c>
      <c r="B1202" s="17">
        <v>46054.123611111114</v>
      </c>
      <c r="C1202" s="1">
        <v>78946.559999999998</v>
      </c>
      <c r="D1202" s="20">
        <v>78948.03</v>
      </c>
      <c r="E1202" s="20">
        <v>78844.289999999994</v>
      </c>
      <c r="F1202" s="1">
        <v>78857.33</v>
      </c>
      <c r="G1202" s="18">
        <v>222</v>
      </c>
      <c r="I1202" s="21">
        <v>46054.123611111114</v>
      </c>
      <c r="J1202" s="26"/>
      <c r="K1202" s="29">
        <v>78844.289999999994</v>
      </c>
      <c r="L1202" s="27">
        <v>78991.772859999997</v>
      </c>
      <c r="M1202" s="27">
        <v>78844.289999999994</v>
      </c>
      <c r="N1202" s="30" t="s">
        <v>6</v>
      </c>
      <c r="O1202" s="28" t="s">
        <v>8</v>
      </c>
      <c r="P1202"/>
    </row>
    <row r="1203" spans="1:16" x14ac:dyDescent="0.35">
      <c r="A1203" s="4">
        <v>1200</v>
      </c>
      <c r="B1203" s="17">
        <v>46054.124305555553</v>
      </c>
      <c r="C1203" s="1">
        <v>78857.320000000007</v>
      </c>
      <c r="D1203" s="20">
        <v>78917.77</v>
      </c>
      <c r="E1203" s="20">
        <v>78846.820000000007</v>
      </c>
      <c r="F1203" s="1">
        <v>78846.89</v>
      </c>
      <c r="G1203" s="18">
        <v>225</v>
      </c>
      <c r="I1203" s="21">
        <v>46054.124305555553</v>
      </c>
      <c r="J1203" s="26"/>
      <c r="K1203" s="29"/>
      <c r="L1203" s="27">
        <v>78984.257140000002</v>
      </c>
      <c r="M1203" s="27">
        <v>78829.236999999994</v>
      </c>
      <c r="N1203" s="30" t="s">
        <v>6</v>
      </c>
      <c r="O1203" s="28" t="s">
        <v>13</v>
      </c>
      <c r="P1203"/>
    </row>
    <row r="1204" spans="1:16" x14ac:dyDescent="0.35">
      <c r="A1204" s="4">
        <v>1201</v>
      </c>
      <c r="B1204" s="17">
        <v>46054.125</v>
      </c>
      <c r="C1204" s="1">
        <v>78846.89</v>
      </c>
      <c r="D1204" s="20">
        <v>78940.399999999994</v>
      </c>
      <c r="E1204" s="20">
        <v>78846.89</v>
      </c>
      <c r="F1204" s="1">
        <v>78882.149999999994</v>
      </c>
      <c r="G1204" s="18">
        <v>241</v>
      </c>
      <c r="I1204" s="21">
        <v>46054.125</v>
      </c>
      <c r="J1204" s="26"/>
      <c r="K1204" s="29"/>
      <c r="L1204" s="27">
        <v>78976.741429999995</v>
      </c>
      <c r="M1204" s="27">
        <v>78814.183999999994</v>
      </c>
      <c r="N1204" s="30" t="s">
        <v>6</v>
      </c>
      <c r="O1204" s="28" t="s">
        <v>13</v>
      </c>
      <c r="P1204"/>
    </row>
    <row r="1205" spans="1:16" x14ac:dyDescent="0.35">
      <c r="A1205" s="4">
        <v>1202</v>
      </c>
      <c r="B1205" s="17">
        <v>46054.125694444447</v>
      </c>
      <c r="C1205" s="1">
        <v>78882.11</v>
      </c>
      <c r="D1205" s="20">
        <v>78931.33</v>
      </c>
      <c r="E1205" s="20">
        <v>78874.8</v>
      </c>
      <c r="F1205" s="1">
        <v>78931.28</v>
      </c>
      <c r="G1205" s="18">
        <v>230</v>
      </c>
      <c r="I1205" s="21">
        <v>46054.125694444447</v>
      </c>
      <c r="J1205" s="26"/>
      <c r="K1205" s="29"/>
      <c r="L1205" s="27">
        <v>78969.225709999999</v>
      </c>
      <c r="M1205" s="27">
        <v>78799.130999999994</v>
      </c>
      <c r="N1205" s="30" t="s">
        <v>6</v>
      </c>
      <c r="O1205" s="28" t="s">
        <v>13</v>
      </c>
      <c r="P1205"/>
    </row>
    <row r="1206" spans="1:16" x14ac:dyDescent="0.35">
      <c r="A1206" s="4">
        <v>1203</v>
      </c>
      <c r="B1206" s="17">
        <v>46054.126388888886</v>
      </c>
      <c r="C1206" s="1">
        <v>78940.63</v>
      </c>
      <c r="D1206" s="20">
        <v>78961.710000000006</v>
      </c>
      <c r="E1206" s="20">
        <v>78931.13</v>
      </c>
      <c r="F1206" s="1">
        <v>78939.08</v>
      </c>
      <c r="G1206" s="18">
        <v>222</v>
      </c>
      <c r="I1206" s="21">
        <v>46054.126388888886</v>
      </c>
      <c r="J1206" s="26">
        <v>78961.710000000006</v>
      </c>
      <c r="K1206" s="29"/>
      <c r="L1206" s="27">
        <v>78961.710000000006</v>
      </c>
      <c r="M1206" s="27">
        <v>78784.077999999994</v>
      </c>
      <c r="N1206" s="30" t="s">
        <v>6</v>
      </c>
      <c r="O1206" s="28" t="s">
        <v>13</v>
      </c>
      <c r="P1206"/>
    </row>
    <row r="1207" spans="1:16" x14ac:dyDescent="0.35">
      <c r="A1207" s="4">
        <v>1204</v>
      </c>
      <c r="B1207" s="17">
        <v>46054.127083333333</v>
      </c>
      <c r="C1207" s="1">
        <v>78939.199999999997</v>
      </c>
      <c r="D1207" s="20">
        <v>78939.199999999997</v>
      </c>
      <c r="E1207" s="20">
        <v>78856.399999999994</v>
      </c>
      <c r="F1207" s="1">
        <v>78856.78</v>
      </c>
      <c r="G1207" s="18">
        <v>206</v>
      </c>
      <c r="I1207" s="21">
        <v>46054.127083333333</v>
      </c>
      <c r="J1207" s="26"/>
      <c r="K1207" s="29"/>
      <c r="L1207" s="27">
        <v>78953.78</v>
      </c>
      <c r="M1207" s="27">
        <v>78769.024999999994</v>
      </c>
      <c r="N1207" s="30" t="s">
        <v>6</v>
      </c>
      <c r="O1207" s="28" t="s">
        <v>13</v>
      </c>
      <c r="P1207"/>
    </row>
    <row r="1208" spans="1:16" x14ac:dyDescent="0.35">
      <c r="A1208" s="4">
        <v>1205</v>
      </c>
      <c r="B1208" s="17">
        <v>46054.12777777778</v>
      </c>
      <c r="C1208" s="1">
        <v>78856.58</v>
      </c>
      <c r="D1208" s="20">
        <v>78856.58</v>
      </c>
      <c r="E1208" s="20">
        <v>78743.13</v>
      </c>
      <c r="F1208" s="1">
        <v>78743.75</v>
      </c>
      <c r="G1208" s="18">
        <v>229</v>
      </c>
      <c r="I1208" s="21">
        <v>46054.12777777778</v>
      </c>
      <c r="J1208" s="26"/>
      <c r="K1208" s="29"/>
      <c r="L1208" s="27">
        <v>78945.850000000006</v>
      </c>
      <c r="M1208" s="27">
        <v>78753.971999999994</v>
      </c>
      <c r="N1208" s="30" t="s">
        <v>6</v>
      </c>
      <c r="O1208" s="28" t="s">
        <v>13</v>
      </c>
      <c r="P1208"/>
    </row>
    <row r="1209" spans="1:16" x14ac:dyDescent="0.35">
      <c r="A1209" s="4">
        <v>1206</v>
      </c>
      <c r="B1209" s="17">
        <v>46054.128472222219</v>
      </c>
      <c r="C1209" s="1">
        <v>78740.5</v>
      </c>
      <c r="D1209" s="20">
        <v>78793.95</v>
      </c>
      <c r="E1209" s="20">
        <v>78712.33</v>
      </c>
      <c r="F1209" s="1">
        <v>78743.850000000006</v>
      </c>
      <c r="G1209" s="18">
        <v>253</v>
      </c>
      <c r="I1209" s="21">
        <v>46054.128472222219</v>
      </c>
      <c r="J1209" s="26"/>
      <c r="K1209" s="29"/>
      <c r="L1209" s="27">
        <v>78937.919999999998</v>
      </c>
      <c r="M1209" s="27">
        <v>78738.918999999994</v>
      </c>
      <c r="N1209" s="30" t="s">
        <v>6</v>
      </c>
      <c r="O1209" s="28" t="s">
        <v>13</v>
      </c>
      <c r="P1209"/>
    </row>
    <row r="1210" spans="1:16" x14ac:dyDescent="0.35">
      <c r="A1210" s="4">
        <v>1207</v>
      </c>
      <c r="B1210" s="17">
        <v>46054.129166666666</v>
      </c>
      <c r="C1210" s="1">
        <v>78743.66</v>
      </c>
      <c r="D1210" s="20">
        <v>78767.13</v>
      </c>
      <c r="E1210" s="20">
        <v>78712.350000000006</v>
      </c>
      <c r="F1210" s="1">
        <v>78721.279999999999</v>
      </c>
      <c r="G1210" s="18">
        <v>207</v>
      </c>
      <c r="I1210" s="21">
        <v>46054.129166666666</v>
      </c>
      <c r="J1210" s="26"/>
      <c r="K1210" s="29"/>
      <c r="L1210" s="27">
        <v>78929.990000000005</v>
      </c>
      <c r="M1210" s="27">
        <v>78723.865999999995</v>
      </c>
      <c r="N1210" s="30" t="s">
        <v>6</v>
      </c>
      <c r="O1210" s="28" t="s">
        <v>13</v>
      </c>
      <c r="P1210"/>
    </row>
    <row r="1211" spans="1:16" x14ac:dyDescent="0.35">
      <c r="A1211" s="4">
        <v>1208</v>
      </c>
      <c r="B1211" s="17">
        <v>46054.129861111112</v>
      </c>
      <c r="C1211" s="1">
        <v>78721.289999999994</v>
      </c>
      <c r="D1211" s="20">
        <v>78743.7</v>
      </c>
      <c r="E1211" s="20">
        <v>78695.199999999997</v>
      </c>
      <c r="F1211" s="1">
        <v>78703.649999999994</v>
      </c>
      <c r="G1211" s="18">
        <v>215</v>
      </c>
      <c r="I1211" s="21">
        <v>46054.129861111112</v>
      </c>
      <c r="J1211" s="26"/>
      <c r="K1211" s="29"/>
      <c r="L1211" s="27">
        <v>78922.06</v>
      </c>
      <c r="M1211" s="27">
        <v>78708.812999999995</v>
      </c>
      <c r="N1211" s="30" t="s">
        <v>6</v>
      </c>
      <c r="O1211" s="28" t="s">
        <v>13</v>
      </c>
      <c r="P1211"/>
    </row>
    <row r="1212" spans="1:16" x14ac:dyDescent="0.35">
      <c r="A1212" s="4">
        <v>1209</v>
      </c>
      <c r="B1212" s="17">
        <v>46054.130555555559</v>
      </c>
      <c r="C1212" s="1">
        <v>78703.820000000007</v>
      </c>
      <c r="D1212" s="20">
        <v>78756.84</v>
      </c>
      <c r="E1212" s="20">
        <v>78693.759999999995</v>
      </c>
      <c r="F1212" s="1">
        <v>78738.720000000001</v>
      </c>
      <c r="G1212" s="18">
        <v>228</v>
      </c>
      <c r="I1212" s="21">
        <v>46054.130555555559</v>
      </c>
      <c r="J1212" s="26"/>
      <c r="K1212" s="29">
        <v>78693.759999999995</v>
      </c>
      <c r="L1212" s="27">
        <v>78914.13</v>
      </c>
      <c r="M1212" s="27">
        <v>78693.759999999995</v>
      </c>
      <c r="N1212" s="30" t="s">
        <v>6</v>
      </c>
      <c r="O1212" s="28" t="s">
        <v>13</v>
      </c>
      <c r="P1212"/>
    </row>
    <row r="1213" spans="1:16" x14ac:dyDescent="0.35">
      <c r="A1213" s="4">
        <v>1210</v>
      </c>
      <c r="B1213" s="17">
        <v>46054.131249999999</v>
      </c>
      <c r="C1213" s="1">
        <v>78736.679999999993</v>
      </c>
      <c r="D1213" s="20">
        <v>78872.73</v>
      </c>
      <c r="E1213" s="20">
        <v>78736.570000000007</v>
      </c>
      <c r="F1213" s="1">
        <v>78843.320000000007</v>
      </c>
      <c r="G1213" s="18">
        <v>238</v>
      </c>
      <c r="I1213" s="21">
        <v>46054.131249999999</v>
      </c>
      <c r="J1213" s="26"/>
      <c r="K1213" s="29"/>
      <c r="L1213" s="27">
        <v>78906.2</v>
      </c>
      <c r="M1213" s="27">
        <v>78708.933999999994</v>
      </c>
      <c r="N1213" s="30" t="s">
        <v>6</v>
      </c>
      <c r="O1213" s="28" t="s">
        <v>8</v>
      </c>
      <c r="P1213"/>
    </row>
    <row r="1214" spans="1:16" x14ac:dyDescent="0.35">
      <c r="A1214" s="4">
        <v>1211</v>
      </c>
      <c r="B1214" s="17">
        <v>46054.131944444445</v>
      </c>
      <c r="C1214" s="1">
        <v>78843.13</v>
      </c>
      <c r="D1214" s="20">
        <v>78843.210000000006</v>
      </c>
      <c r="E1214" s="20">
        <v>78813.41</v>
      </c>
      <c r="F1214" s="1">
        <v>78831.13</v>
      </c>
      <c r="G1214" s="18">
        <v>205</v>
      </c>
      <c r="I1214" s="21">
        <v>46054.131944444445</v>
      </c>
      <c r="J1214" s="26"/>
      <c r="K1214" s="29"/>
      <c r="L1214" s="27">
        <v>78898.27</v>
      </c>
      <c r="M1214" s="27">
        <v>78724.107999999993</v>
      </c>
      <c r="N1214" s="30" t="s">
        <v>6</v>
      </c>
      <c r="O1214" s="28" t="s">
        <v>8</v>
      </c>
      <c r="P1214"/>
    </row>
    <row r="1215" spans="1:16" x14ac:dyDescent="0.35">
      <c r="A1215" s="4">
        <v>1212</v>
      </c>
      <c r="B1215" s="17">
        <v>46054.132638888892</v>
      </c>
      <c r="C1215" s="1">
        <v>78831.14</v>
      </c>
      <c r="D1215" s="20">
        <v>78890.34</v>
      </c>
      <c r="E1215" s="20">
        <v>78830.89</v>
      </c>
      <c r="F1215" s="1">
        <v>78831.199999999997</v>
      </c>
      <c r="G1215" s="18">
        <v>206</v>
      </c>
      <c r="I1215" s="21">
        <v>46054.132638888892</v>
      </c>
      <c r="J1215" s="26">
        <v>78890.34</v>
      </c>
      <c r="K1215" s="29"/>
      <c r="L1215" s="27">
        <v>78890.34</v>
      </c>
      <c r="M1215" s="27">
        <v>78739.282000000007</v>
      </c>
      <c r="N1215" s="30" t="s">
        <v>6</v>
      </c>
      <c r="O1215" s="28" t="s">
        <v>8</v>
      </c>
      <c r="P1215"/>
    </row>
    <row r="1216" spans="1:16" x14ac:dyDescent="0.35">
      <c r="A1216" s="4">
        <v>1213</v>
      </c>
      <c r="B1216" s="17">
        <v>46054.133333333331</v>
      </c>
      <c r="C1216" s="1">
        <v>78831.199999999997</v>
      </c>
      <c r="D1216" s="20">
        <v>78842.429999999993</v>
      </c>
      <c r="E1216" s="20">
        <v>78819.38</v>
      </c>
      <c r="F1216" s="1">
        <v>78826.87</v>
      </c>
      <c r="G1216" s="18">
        <v>177</v>
      </c>
      <c r="I1216" s="21">
        <v>46054.133333333331</v>
      </c>
      <c r="J1216" s="26"/>
      <c r="K1216" s="29"/>
      <c r="L1216" s="27">
        <v>78880.207500000004</v>
      </c>
      <c r="M1216" s="27">
        <v>78754.456000000006</v>
      </c>
      <c r="N1216" s="30" t="s">
        <v>6</v>
      </c>
      <c r="O1216" s="28" t="s">
        <v>8</v>
      </c>
      <c r="P1216"/>
    </row>
    <row r="1217" spans="1:16" x14ac:dyDescent="0.35">
      <c r="A1217" s="4">
        <v>1214</v>
      </c>
      <c r="B1217" s="17">
        <v>46054.134027777778</v>
      </c>
      <c r="C1217" s="1">
        <v>78826.87</v>
      </c>
      <c r="D1217" s="20">
        <v>78844.350000000006</v>
      </c>
      <c r="E1217" s="20">
        <v>78769.63</v>
      </c>
      <c r="F1217" s="1">
        <v>78770.149999999994</v>
      </c>
      <c r="G1217" s="18">
        <v>183</v>
      </c>
      <c r="I1217" s="21">
        <v>46054.134027777778</v>
      </c>
      <c r="J1217" s="26"/>
      <c r="K1217" s="29">
        <v>78769.63</v>
      </c>
      <c r="L1217" s="27">
        <v>78870.074999999997</v>
      </c>
      <c r="M1217" s="27">
        <v>78769.63</v>
      </c>
      <c r="N1217" s="30" t="s">
        <v>6</v>
      </c>
      <c r="O1217" s="28" t="s">
        <v>8</v>
      </c>
      <c r="P1217"/>
    </row>
    <row r="1218" spans="1:16" x14ac:dyDescent="0.35">
      <c r="A1218" s="4">
        <v>1215</v>
      </c>
      <c r="B1218" s="17">
        <v>46054.134722222225</v>
      </c>
      <c r="C1218" s="1">
        <v>78778.94</v>
      </c>
      <c r="D1218" s="20">
        <v>78824.7</v>
      </c>
      <c r="E1218" s="20">
        <v>78777.84</v>
      </c>
      <c r="F1218" s="1">
        <v>78822.16</v>
      </c>
      <c r="G1218" s="18">
        <v>182</v>
      </c>
      <c r="I1218" s="21">
        <v>46054.134722222225</v>
      </c>
      <c r="J1218" s="26"/>
      <c r="K1218" s="29"/>
      <c r="L1218" s="27">
        <v>78859.942500000005</v>
      </c>
      <c r="M1218" s="27">
        <v>78752.588570000007</v>
      </c>
      <c r="N1218" s="30" t="s">
        <v>6</v>
      </c>
      <c r="O1218" s="28" t="s">
        <v>13</v>
      </c>
      <c r="P1218"/>
    </row>
    <row r="1219" spans="1:16" x14ac:dyDescent="0.35">
      <c r="A1219" s="4">
        <v>1216</v>
      </c>
      <c r="B1219" s="17">
        <v>46054.135416666664</v>
      </c>
      <c r="C1219" s="1">
        <v>78830.3</v>
      </c>
      <c r="D1219" s="20">
        <v>78849.81</v>
      </c>
      <c r="E1219" s="20">
        <v>78817.11</v>
      </c>
      <c r="F1219" s="1">
        <v>78817.11</v>
      </c>
      <c r="G1219" s="18">
        <v>204</v>
      </c>
      <c r="I1219" s="21">
        <v>46054.135416666664</v>
      </c>
      <c r="J1219" s="26">
        <v>78849.81</v>
      </c>
      <c r="K1219" s="29"/>
      <c r="L1219" s="27">
        <v>78849.81</v>
      </c>
      <c r="M1219" s="27">
        <v>78735.547139999995</v>
      </c>
      <c r="N1219" s="30" t="s">
        <v>6</v>
      </c>
      <c r="O1219" s="28" t="s">
        <v>13</v>
      </c>
      <c r="P1219"/>
    </row>
    <row r="1220" spans="1:16" x14ac:dyDescent="0.35">
      <c r="A1220" s="4">
        <v>1217</v>
      </c>
      <c r="B1220" s="17">
        <v>46054.136111111111</v>
      </c>
      <c r="C1220" s="1">
        <v>78812.53</v>
      </c>
      <c r="D1220" s="20">
        <v>78812.53</v>
      </c>
      <c r="E1220" s="20">
        <v>78748.789999999994</v>
      </c>
      <c r="F1220" s="1">
        <v>78748.800000000003</v>
      </c>
      <c r="G1220" s="18">
        <v>151</v>
      </c>
      <c r="I1220" s="21">
        <v>46054.136111111111</v>
      </c>
      <c r="J1220" s="26"/>
      <c r="K1220" s="29"/>
      <c r="L1220" s="27">
        <v>78833.778330000001</v>
      </c>
      <c r="M1220" s="27">
        <v>78718.505709999998</v>
      </c>
      <c r="N1220" s="30" t="s">
        <v>6</v>
      </c>
      <c r="O1220" s="28" t="s">
        <v>13</v>
      </c>
      <c r="P1220"/>
    </row>
    <row r="1221" spans="1:16" x14ac:dyDescent="0.35">
      <c r="A1221" s="4">
        <v>1218</v>
      </c>
      <c r="B1221" s="17">
        <v>46054.136805555558</v>
      </c>
      <c r="C1221" s="1">
        <v>78753.8</v>
      </c>
      <c r="D1221" s="20">
        <v>78771.06</v>
      </c>
      <c r="E1221" s="20">
        <v>78702.48</v>
      </c>
      <c r="F1221" s="1">
        <v>78734.61</v>
      </c>
      <c r="G1221" s="18">
        <v>205</v>
      </c>
      <c r="I1221" s="21">
        <v>46054.136805555558</v>
      </c>
      <c r="J1221" s="26"/>
      <c r="K1221" s="29"/>
      <c r="L1221" s="27">
        <v>78817.746669999993</v>
      </c>
      <c r="M1221" s="27">
        <v>78701.464290000004</v>
      </c>
      <c r="N1221" s="30" t="s">
        <v>6</v>
      </c>
      <c r="O1221" s="28" t="s">
        <v>13</v>
      </c>
      <c r="P1221"/>
    </row>
    <row r="1222" spans="1:16" x14ac:dyDescent="0.35">
      <c r="A1222" s="4">
        <v>1219</v>
      </c>
      <c r="B1222" s="17">
        <v>46054.137499999997</v>
      </c>
      <c r="C1222" s="1">
        <v>78734.61</v>
      </c>
      <c r="D1222" s="20">
        <v>78734.61</v>
      </c>
      <c r="E1222" s="20">
        <v>78670.240000000005</v>
      </c>
      <c r="F1222" s="1">
        <v>78731.81</v>
      </c>
      <c r="G1222" s="18">
        <v>208</v>
      </c>
      <c r="I1222" s="21">
        <v>46054.137499999997</v>
      </c>
      <c r="J1222" s="26"/>
      <c r="K1222" s="29"/>
      <c r="L1222" s="27">
        <v>78801.714999999997</v>
      </c>
      <c r="M1222" s="27">
        <v>78684.422860000006</v>
      </c>
      <c r="N1222" s="30" t="s">
        <v>6</v>
      </c>
      <c r="O1222" s="28" t="s">
        <v>13</v>
      </c>
      <c r="P1222"/>
    </row>
    <row r="1223" spans="1:16" x14ac:dyDescent="0.35">
      <c r="A1223" s="4">
        <v>1220</v>
      </c>
      <c r="B1223" s="17">
        <v>46054.138194444444</v>
      </c>
      <c r="C1223" s="1">
        <v>78731.81</v>
      </c>
      <c r="D1223" s="20">
        <v>78750.22</v>
      </c>
      <c r="E1223" s="20">
        <v>78650.649999999994</v>
      </c>
      <c r="F1223" s="1">
        <v>78650.86</v>
      </c>
      <c r="G1223" s="18">
        <v>203</v>
      </c>
      <c r="I1223" s="21">
        <v>46054.138194444444</v>
      </c>
      <c r="J1223" s="26"/>
      <c r="K1223" s="29"/>
      <c r="L1223" s="27">
        <v>78785.68333</v>
      </c>
      <c r="M1223" s="27">
        <v>78667.381429999994</v>
      </c>
      <c r="N1223" s="30" t="s">
        <v>6</v>
      </c>
      <c r="O1223" s="28" t="s">
        <v>13</v>
      </c>
      <c r="P1223"/>
    </row>
    <row r="1224" spans="1:16" x14ac:dyDescent="0.35">
      <c r="A1224" s="4">
        <v>1221</v>
      </c>
      <c r="B1224" s="17">
        <v>46054.138888888891</v>
      </c>
      <c r="C1224" s="1">
        <v>78650.86</v>
      </c>
      <c r="D1224" s="20">
        <v>78734.509999999995</v>
      </c>
      <c r="E1224" s="20">
        <v>78650.34</v>
      </c>
      <c r="F1224" s="1">
        <v>78726.16</v>
      </c>
      <c r="G1224" s="18">
        <v>228</v>
      </c>
      <c r="I1224" s="21">
        <v>46054.138888888891</v>
      </c>
      <c r="J1224" s="26"/>
      <c r="K1224" s="29">
        <v>78650.34</v>
      </c>
      <c r="L1224" s="27">
        <v>78769.651670000007</v>
      </c>
      <c r="M1224" s="27">
        <v>78650.34</v>
      </c>
      <c r="N1224" s="30" t="s">
        <v>6</v>
      </c>
      <c r="O1224" s="28" t="s">
        <v>13</v>
      </c>
      <c r="P1224"/>
    </row>
    <row r="1225" spans="1:16" x14ac:dyDescent="0.35">
      <c r="A1225" s="4">
        <v>1222</v>
      </c>
      <c r="B1225" s="17">
        <v>46054.13958333333</v>
      </c>
      <c r="C1225" s="1">
        <v>78726.17</v>
      </c>
      <c r="D1225" s="20">
        <v>78753.62</v>
      </c>
      <c r="E1225" s="20">
        <v>78718.05</v>
      </c>
      <c r="F1225" s="1">
        <v>78741.66</v>
      </c>
      <c r="G1225" s="18">
        <v>153</v>
      </c>
      <c r="I1225" s="21">
        <v>46054.13958333333</v>
      </c>
      <c r="J1225" s="26">
        <v>78753.62</v>
      </c>
      <c r="K1225" s="29"/>
      <c r="L1225" s="27">
        <v>78753.62</v>
      </c>
      <c r="M1225" s="27">
        <v>78640.983330000003</v>
      </c>
      <c r="N1225" s="30" t="s">
        <v>6</v>
      </c>
      <c r="O1225" s="28" t="s">
        <v>13</v>
      </c>
      <c r="P1225"/>
    </row>
    <row r="1226" spans="1:16" x14ac:dyDescent="0.35">
      <c r="A1226" s="4">
        <v>1223</v>
      </c>
      <c r="B1226" s="17">
        <v>46054.140277777777</v>
      </c>
      <c r="C1226" s="1">
        <v>78741.66</v>
      </c>
      <c r="D1226" s="20">
        <v>78747.320000000007</v>
      </c>
      <c r="E1226" s="20">
        <v>78673.8</v>
      </c>
      <c r="F1226" s="1">
        <v>78679.53</v>
      </c>
      <c r="G1226" s="18">
        <v>170</v>
      </c>
      <c r="I1226" s="21">
        <v>46054.140277777777</v>
      </c>
      <c r="J1226" s="26"/>
      <c r="K1226" s="29"/>
      <c r="L1226" s="27">
        <v>78751.792499999996</v>
      </c>
      <c r="M1226" s="27">
        <v>78631.626669999998</v>
      </c>
      <c r="N1226" s="30" t="s">
        <v>6</v>
      </c>
      <c r="O1226" s="28" t="s">
        <v>13</v>
      </c>
      <c r="P1226"/>
    </row>
    <row r="1227" spans="1:16" x14ac:dyDescent="0.35">
      <c r="A1227" s="4">
        <v>1224</v>
      </c>
      <c r="B1227" s="17">
        <v>46054.140972222223</v>
      </c>
      <c r="C1227" s="1">
        <v>78679.53</v>
      </c>
      <c r="D1227" s="20">
        <v>78692.27</v>
      </c>
      <c r="E1227" s="20">
        <v>78622.27</v>
      </c>
      <c r="F1227" s="1">
        <v>78649.61</v>
      </c>
      <c r="G1227" s="18">
        <v>183</v>
      </c>
      <c r="I1227" s="21">
        <v>46054.140972222223</v>
      </c>
      <c r="J1227" s="26"/>
      <c r="K1227" s="29">
        <v>78622.27</v>
      </c>
      <c r="L1227" s="27">
        <v>78749.964999999997</v>
      </c>
      <c r="M1227" s="27">
        <v>78622.27</v>
      </c>
      <c r="N1227" s="30" t="s">
        <v>6</v>
      </c>
      <c r="O1227" s="28" t="s">
        <v>13</v>
      </c>
      <c r="P1227"/>
    </row>
    <row r="1228" spans="1:16" x14ac:dyDescent="0.35">
      <c r="A1228" s="4">
        <v>1225</v>
      </c>
      <c r="B1228" s="17">
        <v>46054.14166666667</v>
      </c>
      <c r="C1228" s="1">
        <v>78649.61</v>
      </c>
      <c r="D1228" s="20">
        <v>78699.12</v>
      </c>
      <c r="E1228" s="20">
        <v>78639.7</v>
      </c>
      <c r="F1228" s="1">
        <v>78699.12</v>
      </c>
      <c r="G1228" s="18">
        <v>185</v>
      </c>
      <c r="I1228" s="21">
        <v>46054.14166666667</v>
      </c>
      <c r="J1228" s="26"/>
      <c r="K1228" s="29"/>
      <c r="L1228" s="27">
        <v>78748.137499999997</v>
      </c>
      <c r="M1228" s="27">
        <v>78623.344440000001</v>
      </c>
      <c r="N1228" s="30" t="s">
        <v>6</v>
      </c>
      <c r="O1228" s="28" t="s">
        <v>8</v>
      </c>
      <c r="P1228"/>
    </row>
    <row r="1229" spans="1:16" x14ac:dyDescent="0.35">
      <c r="A1229" s="4">
        <v>1226</v>
      </c>
      <c r="B1229" s="17">
        <v>46054.142361111109</v>
      </c>
      <c r="C1229" s="1">
        <v>78714.929999999993</v>
      </c>
      <c r="D1229" s="20">
        <v>78746.31</v>
      </c>
      <c r="E1229" s="20">
        <v>78658.570000000007</v>
      </c>
      <c r="F1229" s="1">
        <v>78661.399999999994</v>
      </c>
      <c r="G1229" s="18">
        <v>201</v>
      </c>
      <c r="I1229" s="21">
        <v>46054.142361111109</v>
      </c>
      <c r="J1229" s="26">
        <v>78746.31</v>
      </c>
      <c r="K1229" s="29"/>
      <c r="L1229" s="27">
        <v>78746.31</v>
      </c>
      <c r="M1229" s="27">
        <v>78624.418890000001</v>
      </c>
      <c r="N1229" s="30" t="s">
        <v>6</v>
      </c>
      <c r="O1229" s="28" t="s">
        <v>8</v>
      </c>
      <c r="P1229"/>
    </row>
    <row r="1230" spans="1:16" x14ac:dyDescent="0.35">
      <c r="A1230" s="4">
        <v>1227</v>
      </c>
      <c r="B1230" s="17">
        <v>46054.143055555556</v>
      </c>
      <c r="C1230" s="1">
        <v>78672.009999999995</v>
      </c>
      <c r="D1230" s="20">
        <v>78721.8</v>
      </c>
      <c r="E1230" s="20">
        <v>78672.009999999995</v>
      </c>
      <c r="F1230" s="1">
        <v>78721.8</v>
      </c>
      <c r="G1230" s="18">
        <v>178</v>
      </c>
      <c r="I1230" s="21">
        <v>46054.143055555556</v>
      </c>
      <c r="J1230" s="26"/>
      <c r="K1230" s="29"/>
      <c r="L1230" s="27">
        <v>78747.093999999997</v>
      </c>
      <c r="M1230" s="27">
        <v>78625.493329999998</v>
      </c>
      <c r="N1230" s="30" t="s">
        <v>7</v>
      </c>
      <c r="O1230" s="28" t="s">
        <v>8</v>
      </c>
      <c r="P1230"/>
    </row>
    <row r="1231" spans="1:16" x14ac:dyDescent="0.35">
      <c r="A1231" s="4">
        <v>1228</v>
      </c>
      <c r="B1231" s="17">
        <v>46054.143750000003</v>
      </c>
      <c r="C1231" s="1">
        <v>78721.72</v>
      </c>
      <c r="D1231" s="20">
        <v>78743.149999999994</v>
      </c>
      <c r="E1231" s="20">
        <v>78717.47</v>
      </c>
      <c r="F1231" s="1">
        <v>78717.52</v>
      </c>
      <c r="G1231" s="18">
        <v>148</v>
      </c>
      <c r="I1231" s="21">
        <v>46054.143750000003</v>
      </c>
      <c r="J1231" s="26"/>
      <c r="K1231" s="29"/>
      <c r="L1231" s="27">
        <v>78747.877999999997</v>
      </c>
      <c r="M1231" s="27">
        <v>78626.567779999998</v>
      </c>
      <c r="N1231" s="30" t="s">
        <v>7</v>
      </c>
      <c r="O1231" s="28" t="s">
        <v>8</v>
      </c>
      <c r="P1231"/>
    </row>
    <row r="1232" spans="1:16" x14ac:dyDescent="0.35">
      <c r="A1232" s="4">
        <v>1229</v>
      </c>
      <c r="B1232" s="17">
        <v>46054.144444444442</v>
      </c>
      <c r="C1232" s="1">
        <v>78717.52</v>
      </c>
      <c r="D1232" s="20">
        <v>78737.22</v>
      </c>
      <c r="E1232" s="20">
        <v>78700.28</v>
      </c>
      <c r="F1232" s="1">
        <v>78717.679999999993</v>
      </c>
      <c r="G1232" s="18">
        <v>162</v>
      </c>
      <c r="I1232" s="21">
        <v>46054.144444444442</v>
      </c>
      <c r="J1232" s="26"/>
      <c r="K1232" s="29"/>
      <c r="L1232" s="27">
        <v>78748.661999999997</v>
      </c>
      <c r="M1232" s="27">
        <v>78627.642219999994</v>
      </c>
      <c r="N1232" s="30" t="s">
        <v>7</v>
      </c>
      <c r="O1232" s="28" t="s">
        <v>8</v>
      </c>
      <c r="P1232"/>
    </row>
    <row r="1233" spans="1:16" x14ac:dyDescent="0.35">
      <c r="A1233" s="4">
        <v>1230</v>
      </c>
      <c r="B1233" s="17">
        <v>46054.145138888889</v>
      </c>
      <c r="C1233" s="1">
        <v>78717.73</v>
      </c>
      <c r="D1233" s="20">
        <v>78746.350000000006</v>
      </c>
      <c r="E1233" s="20">
        <v>78694.11</v>
      </c>
      <c r="F1233" s="1">
        <v>78696.009999999995</v>
      </c>
      <c r="G1233" s="18">
        <v>125</v>
      </c>
      <c r="I1233" s="21">
        <v>46054.145138888889</v>
      </c>
      <c r="J1233" s="26"/>
      <c r="K1233" s="29"/>
      <c r="L1233" s="27">
        <v>78749.445999999996</v>
      </c>
      <c r="M1233" s="27">
        <v>78628.716669999994</v>
      </c>
      <c r="N1233" s="30" t="s">
        <v>7</v>
      </c>
      <c r="O1233" s="28" t="s">
        <v>8</v>
      </c>
      <c r="P1233"/>
    </row>
    <row r="1234" spans="1:16" x14ac:dyDescent="0.35">
      <c r="A1234" s="4">
        <v>1231</v>
      </c>
      <c r="B1234" s="17">
        <v>46054.145833333336</v>
      </c>
      <c r="C1234" s="1">
        <v>78696.009999999995</v>
      </c>
      <c r="D1234" s="20">
        <v>78750.23</v>
      </c>
      <c r="E1234" s="20">
        <v>78696.009999999995</v>
      </c>
      <c r="F1234" s="1">
        <v>78740.58</v>
      </c>
      <c r="G1234" s="18">
        <v>171</v>
      </c>
      <c r="I1234" s="21">
        <v>46054.145833333336</v>
      </c>
      <c r="J1234" s="26">
        <v>78750.23</v>
      </c>
      <c r="K1234" s="29"/>
      <c r="L1234" s="27">
        <v>78750.23</v>
      </c>
      <c r="M1234" s="27">
        <v>78629.791110000006</v>
      </c>
      <c r="N1234" s="30" t="s">
        <v>7</v>
      </c>
      <c r="O1234" s="28" t="s">
        <v>8</v>
      </c>
      <c r="P1234"/>
    </row>
    <row r="1235" spans="1:16" x14ac:dyDescent="0.35">
      <c r="A1235" s="4">
        <v>1232</v>
      </c>
      <c r="B1235" s="17">
        <v>46054.146527777775</v>
      </c>
      <c r="C1235" s="1">
        <v>78740.84</v>
      </c>
      <c r="D1235" s="20">
        <v>78740.84</v>
      </c>
      <c r="E1235" s="20">
        <v>78670.2</v>
      </c>
      <c r="F1235" s="1">
        <v>78670.2</v>
      </c>
      <c r="G1235" s="18">
        <v>186</v>
      </c>
      <c r="I1235" s="21">
        <v>46054.146527777775</v>
      </c>
      <c r="J1235" s="26"/>
      <c r="K1235" s="29"/>
      <c r="L1235" s="27">
        <v>78755.86</v>
      </c>
      <c r="M1235" s="27">
        <v>78630.865560000006</v>
      </c>
      <c r="N1235" s="30" t="s">
        <v>7</v>
      </c>
      <c r="O1235" s="28" t="s">
        <v>8</v>
      </c>
      <c r="P1235"/>
    </row>
    <row r="1236" spans="1:16" x14ac:dyDescent="0.35">
      <c r="A1236" s="4">
        <v>1233</v>
      </c>
      <c r="B1236" s="17">
        <v>46054.147222222222</v>
      </c>
      <c r="C1236" s="1">
        <v>78670.210000000006</v>
      </c>
      <c r="D1236" s="20">
        <v>78670.210000000006</v>
      </c>
      <c r="E1236" s="20">
        <v>78631.94</v>
      </c>
      <c r="F1236" s="1">
        <v>78663</v>
      </c>
      <c r="G1236" s="18">
        <v>190</v>
      </c>
      <c r="I1236" s="21">
        <v>46054.147222222222</v>
      </c>
      <c r="J1236" s="26"/>
      <c r="K1236" s="29">
        <v>78631.94</v>
      </c>
      <c r="L1236" s="27">
        <v>78761.490000000005</v>
      </c>
      <c r="M1236" s="27">
        <v>78631.94</v>
      </c>
      <c r="N1236" s="30" t="s">
        <v>7</v>
      </c>
      <c r="O1236" s="28" t="s">
        <v>8</v>
      </c>
      <c r="P1236"/>
    </row>
    <row r="1237" spans="1:16" x14ac:dyDescent="0.35">
      <c r="A1237" s="4">
        <v>1234</v>
      </c>
      <c r="B1237" s="17">
        <v>46054.147916666669</v>
      </c>
      <c r="C1237" s="1">
        <v>78663</v>
      </c>
      <c r="D1237" s="20">
        <v>78736.13</v>
      </c>
      <c r="E1237" s="20">
        <v>78663</v>
      </c>
      <c r="F1237" s="1">
        <v>78717.16</v>
      </c>
      <c r="G1237" s="18">
        <v>212</v>
      </c>
      <c r="I1237" s="21">
        <v>46054.147916666669</v>
      </c>
      <c r="J1237" s="26"/>
      <c r="K1237" s="29"/>
      <c r="L1237" s="27">
        <v>78767.12</v>
      </c>
      <c r="M1237" s="27">
        <v>78639.259999999995</v>
      </c>
      <c r="N1237" s="30" t="s">
        <v>7</v>
      </c>
      <c r="O1237" s="28" t="s">
        <v>8</v>
      </c>
      <c r="P1237"/>
    </row>
    <row r="1238" spans="1:16" x14ac:dyDescent="0.35">
      <c r="A1238" s="4">
        <v>1235</v>
      </c>
      <c r="B1238" s="17">
        <v>46054.148611111108</v>
      </c>
      <c r="C1238" s="1">
        <v>78722.100000000006</v>
      </c>
      <c r="D1238" s="20">
        <v>78722.100000000006</v>
      </c>
      <c r="E1238" s="20">
        <v>78686.8</v>
      </c>
      <c r="F1238" s="1">
        <v>78686.8</v>
      </c>
      <c r="G1238" s="18">
        <v>199</v>
      </c>
      <c r="I1238" s="21">
        <v>46054.148611111108</v>
      </c>
      <c r="J1238" s="26"/>
      <c r="K1238" s="29"/>
      <c r="L1238" s="27">
        <v>78772.75</v>
      </c>
      <c r="M1238" s="27">
        <v>78646.58</v>
      </c>
      <c r="N1238" s="30" t="s">
        <v>7</v>
      </c>
      <c r="O1238" s="28" t="s">
        <v>8</v>
      </c>
      <c r="P1238"/>
    </row>
    <row r="1239" spans="1:16" x14ac:dyDescent="0.35">
      <c r="A1239" s="4">
        <v>1236</v>
      </c>
      <c r="B1239" s="17">
        <v>46054.149305555555</v>
      </c>
      <c r="C1239" s="1">
        <v>78687.08</v>
      </c>
      <c r="D1239" s="20">
        <v>78687.34</v>
      </c>
      <c r="E1239" s="20">
        <v>78653.899999999994</v>
      </c>
      <c r="F1239" s="1">
        <v>78664.14</v>
      </c>
      <c r="G1239" s="18">
        <v>178</v>
      </c>
      <c r="I1239" s="21">
        <v>46054.149305555555</v>
      </c>
      <c r="J1239" s="26"/>
      <c r="K1239" s="29">
        <v>78653.899999999994</v>
      </c>
      <c r="L1239" s="27">
        <v>78778.38</v>
      </c>
      <c r="M1239" s="27">
        <v>78653.899999999994</v>
      </c>
      <c r="N1239" s="30" t="s">
        <v>7</v>
      </c>
      <c r="O1239" s="28" t="s">
        <v>8</v>
      </c>
      <c r="P1239"/>
    </row>
    <row r="1240" spans="1:16" x14ac:dyDescent="0.35">
      <c r="A1240" s="4">
        <v>1237</v>
      </c>
      <c r="B1240" s="17">
        <v>46054.15</v>
      </c>
      <c r="C1240" s="1">
        <v>78664.14</v>
      </c>
      <c r="D1240" s="20">
        <v>78696.12</v>
      </c>
      <c r="E1240" s="20">
        <v>78655.710000000006</v>
      </c>
      <c r="F1240" s="1">
        <v>78676.649999999994</v>
      </c>
      <c r="G1240" s="18">
        <v>197</v>
      </c>
      <c r="I1240" s="21">
        <v>46054.15</v>
      </c>
      <c r="J1240" s="26"/>
      <c r="K1240" s="29"/>
      <c r="L1240" s="27">
        <v>78784.009999999995</v>
      </c>
      <c r="M1240" s="27">
        <v>78653.554440000007</v>
      </c>
      <c r="N1240" s="30" t="s">
        <v>7</v>
      </c>
      <c r="O1240" s="28" t="s">
        <v>13</v>
      </c>
      <c r="P1240"/>
    </row>
    <row r="1241" spans="1:16" x14ac:dyDescent="0.35">
      <c r="A1241" s="4">
        <v>1238</v>
      </c>
      <c r="B1241" s="17">
        <v>46054.150694444441</v>
      </c>
      <c r="C1241" s="1">
        <v>78676.72</v>
      </c>
      <c r="D1241" s="20">
        <v>78698.509999999995</v>
      </c>
      <c r="E1241" s="20">
        <v>78668.47</v>
      </c>
      <c r="F1241" s="1">
        <v>78690.33</v>
      </c>
      <c r="G1241" s="18">
        <v>233</v>
      </c>
      <c r="I1241" s="21">
        <v>46054.150694444441</v>
      </c>
      <c r="J1241" s="26"/>
      <c r="K1241" s="29"/>
      <c r="L1241" s="27">
        <v>78789.64</v>
      </c>
      <c r="M1241" s="27">
        <v>78653.208889999994</v>
      </c>
      <c r="N1241" s="30" t="s">
        <v>7</v>
      </c>
      <c r="O1241" s="28" t="s">
        <v>13</v>
      </c>
      <c r="P1241"/>
    </row>
    <row r="1242" spans="1:16" x14ac:dyDescent="0.35">
      <c r="A1242" s="4">
        <v>1239</v>
      </c>
      <c r="B1242" s="17">
        <v>46054.151388888888</v>
      </c>
      <c r="C1242" s="1">
        <v>78690.33</v>
      </c>
      <c r="D1242" s="20">
        <v>78708.52</v>
      </c>
      <c r="E1242" s="20">
        <v>78689.87</v>
      </c>
      <c r="F1242" s="1">
        <v>78694.62</v>
      </c>
      <c r="G1242" s="18">
        <v>185</v>
      </c>
      <c r="I1242" s="21">
        <v>46054.151388888888</v>
      </c>
      <c r="J1242" s="26"/>
      <c r="K1242" s="29"/>
      <c r="L1242" s="27">
        <v>78795.27</v>
      </c>
      <c r="M1242" s="27">
        <v>78652.863329999993</v>
      </c>
      <c r="N1242" s="30" t="s">
        <v>7</v>
      </c>
      <c r="O1242" s="28" t="s">
        <v>13</v>
      </c>
      <c r="P1242"/>
    </row>
    <row r="1243" spans="1:16" x14ac:dyDescent="0.35">
      <c r="A1243" s="4">
        <v>1240</v>
      </c>
      <c r="B1243" s="17">
        <v>46054.152083333334</v>
      </c>
      <c r="C1243" s="1">
        <v>78694.62</v>
      </c>
      <c r="D1243" s="20">
        <v>78733.62</v>
      </c>
      <c r="E1243" s="20">
        <v>78694.62</v>
      </c>
      <c r="F1243" s="1">
        <v>78727.63</v>
      </c>
      <c r="G1243" s="18">
        <v>161</v>
      </c>
      <c r="I1243" s="21">
        <v>46054.152083333334</v>
      </c>
      <c r="J1243" s="26"/>
      <c r="K1243" s="29"/>
      <c r="L1243" s="27">
        <v>78800.899999999994</v>
      </c>
      <c r="M1243" s="27">
        <v>78652.517779999995</v>
      </c>
      <c r="N1243" s="30" t="s">
        <v>7</v>
      </c>
      <c r="O1243" s="28" t="s">
        <v>13</v>
      </c>
      <c r="P1243"/>
    </row>
    <row r="1244" spans="1:16" x14ac:dyDescent="0.35">
      <c r="A1244" s="4">
        <v>1241</v>
      </c>
      <c r="B1244" s="17">
        <v>46054.152777777781</v>
      </c>
      <c r="C1244" s="1">
        <v>78727.679999999993</v>
      </c>
      <c r="D1244" s="20">
        <v>78727.94</v>
      </c>
      <c r="E1244" s="20">
        <v>78690.41</v>
      </c>
      <c r="F1244" s="1">
        <v>78727.94</v>
      </c>
      <c r="G1244" s="18">
        <v>150</v>
      </c>
      <c r="I1244" s="21">
        <v>46054.152777777781</v>
      </c>
      <c r="J1244" s="26"/>
      <c r="K1244" s="29"/>
      <c r="L1244" s="27">
        <v>78806.53</v>
      </c>
      <c r="M1244" s="27">
        <v>78652.172219999993</v>
      </c>
      <c r="N1244" s="30" t="s">
        <v>7</v>
      </c>
      <c r="O1244" s="28" t="s">
        <v>13</v>
      </c>
      <c r="P1244"/>
    </row>
    <row r="1245" spans="1:16" x14ac:dyDescent="0.35">
      <c r="A1245" s="4">
        <v>1242</v>
      </c>
      <c r="B1245" s="17">
        <v>46054.15347222222</v>
      </c>
      <c r="C1245" s="1">
        <v>78727.94</v>
      </c>
      <c r="D1245" s="20">
        <v>78756.62</v>
      </c>
      <c r="E1245" s="20">
        <v>78721.25</v>
      </c>
      <c r="F1245" s="1">
        <v>78721.33</v>
      </c>
      <c r="G1245" s="18">
        <v>207</v>
      </c>
      <c r="I1245" s="21">
        <v>46054.15347222222</v>
      </c>
      <c r="J1245" s="26"/>
      <c r="K1245" s="29"/>
      <c r="L1245" s="27">
        <v>78812.160000000003</v>
      </c>
      <c r="M1245" s="27">
        <v>78651.826669999995</v>
      </c>
      <c r="N1245" s="30" t="s">
        <v>7</v>
      </c>
      <c r="O1245" s="28" t="s">
        <v>13</v>
      </c>
      <c r="P1245"/>
    </row>
    <row r="1246" spans="1:16" x14ac:dyDescent="0.35">
      <c r="A1246" s="4">
        <v>1243</v>
      </c>
      <c r="B1246" s="17">
        <v>46054.154166666667</v>
      </c>
      <c r="C1246" s="1">
        <v>78766.31</v>
      </c>
      <c r="D1246" s="20">
        <v>78797.100000000006</v>
      </c>
      <c r="E1246" s="20">
        <v>78766.31</v>
      </c>
      <c r="F1246" s="1">
        <v>78796.66</v>
      </c>
      <c r="G1246" s="18">
        <v>105</v>
      </c>
      <c r="I1246" s="21">
        <v>46054.154166666667</v>
      </c>
      <c r="J1246" s="26"/>
      <c r="K1246" s="29"/>
      <c r="L1246" s="27">
        <v>78817.789999999994</v>
      </c>
      <c r="M1246" s="27">
        <v>78651.481109999993</v>
      </c>
      <c r="N1246" s="30" t="s">
        <v>7</v>
      </c>
      <c r="O1246" s="28" t="s">
        <v>13</v>
      </c>
      <c r="P1246"/>
    </row>
    <row r="1247" spans="1:16" x14ac:dyDescent="0.35">
      <c r="A1247" s="4">
        <v>1244</v>
      </c>
      <c r="B1247" s="17">
        <v>46054.154861111114</v>
      </c>
      <c r="C1247" s="1">
        <v>78800.84</v>
      </c>
      <c r="D1247" s="20">
        <v>78823.42</v>
      </c>
      <c r="E1247" s="20">
        <v>78655.570000000007</v>
      </c>
      <c r="F1247" s="1">
        <v>78660.84</v>
      </c>
      <c r="G1247" s="18">
        <v>211</v>
      </c>
      <c r="I1247" s="21">
        <v>46054.154861111114</v>
      </c>
      <c r="J1247" s="26">
        <v>78823.42</v>
      </c>
      <c r="K1247" s="29"/>
      <c r="L1247" s="27">
        <v>78823.42</v>
      </c>
      <c r="M1247" s="27">
        <v>78651.135559999995</v>
      </c>
      <c r="N1247" s="30" t="s">
        <v>7</v>
      </c>
      <c r="O1247" s="28" t="s">
        <v>13</v>
      </c>
      <c r="P1247"/>
    </row>
    <row r="1248" spans="1:16" x14ac:dyDescent="0.35">
      <c r="A1248" s="4">
        <v>1245</v>
      </c>
      <c r="B1248" s="17">
        <v>46054.155555555553</v>
      </c>
      <c r="C1248" s="1">
        <v>78659.03</v>
      </c>
      <c r="D1248" s="20">
        <v>78694.62</v>
      </c>
      <c r="E1248" s="20">
        <v>78650.789999999994</v>
      </c>
      <c r="F1248" s="1">
        <v>78680</v>
      </c>
      <c r="G1248" s="18">
        <v>210</v>
      </c>
      <c r="I1248" s="21">
        <v>46054.155555555553</v>
      </c>
      <c r="J1248" s="26"/>
      <c r="K1248" s="29">
        <v>78650.789999999994</v>
      </c>
      <c r="L1248" s="27">
        <v>78828.48444</v>
      </c>
      <c r="M1248" s="27">
        <v>78650.789999999994</v>
      </c>
      <c r="N1248" s="30" t="s">
        <v>7</v>
      </c>
      <c r="O1248" s="28" t="s">
        <v>13</v>
      </c>
      <c r="P1248"/>
    </row>
    <row r="1249" spans="1:16" x14ac:dyDescent="0.35">
      <c r="A1249" s="4">
        <v>1246</v>
      </c>
      <c r="B1249" s="17">
        <v>46054.15625</v>
      </c>
      <c r="C1249" s="1">
        <v>78682.490000000005</v>
      </c>
      <c r="D1249" s="20">
        <v>78722.05</v>
      </c>
      <c r="E1249" s="20">
        <v>78682.490000000005</v>
      </c>
      <c r="F1249" s="1">
        <v>78722.039999999994</v>
      </c>
      <c r="G1249" s="18">
        <v>200</v>
      </c>
      <c r="I1249" s="21">
        <v>46054.15625</v>
      </c>
      <c r="J1249" s="26"/>
      <c r="K1249" s="29"/>
      <c r="L1249" s="27">
        <v>78833.548890000005</v>
      </c>
      <c r="M1249" s="27">
        <v>78661.03</v>
      </c>
      <c r="N1249" s="30" t="s">
        <v>7</v>
      </c>
      <c r="O1249" s="28" t="s">
        <v>8</v>
      </c>
      <c r="P1249"/>
    </row>
    <row r="1250" spans="1:16" x14ac:dyDescent="0.35">
      <c r="A1250" s="4">
        <v>1247</v>
      </c>
      <c r="B1250" s="17">
        <v>46054.156944444447</v>
      </c>
      <c r="C1250" s="1">
        <v>78722.039999999994</v>
      </c>
      <c r="D1250" s="20">
        <v>78746.64</v>
      </c>
      <c r="E1250" s="20">
        <v>78719.83</v>
      </c>
      <c r="F1250" s="1">
        <v>78729.37</v>
      </c>
      <c r="G1250" s="18">
        <v>176</v>
      </c>
      <c r="I1250" s="21">
        <v>46054.156944444447</v>
      </c>
      <c r="J1250" s="26"/>
      <c r="K1250" s="29"/>
      <c r="L1250" s="27">
        <v>78838.613329999993</v>
      </c>
      <c r="M1250" s="27">
        <v>78671.27</v>
      </c>
      <c r="N1250" s="30" t="s">
        <v>7</v>
      </c>
      <c r="O1250" s="28" t="s">
        <v>8</v>
      </c>
      <c r="P1250"/>
    </row>
    <row r="1251" spans="1:16" x14ac:dyDescent="0.35">
      <c r="A1251" s="4">
        <v>1248</v>
      </c>
      <c r="B1251" s="17">
        <v>46054.157638888886</v>
      </c>
      <c r="C1251" s="1">
        <v>78729.37</v>
      </c>
      <c r="D1251" s="20">
        <v>78777.899999999994</v>
      </c>
      <c r="E1251" s="20">
        <v>78715.7</v>
      </c>
      <c r="F1251" s="1">
        <v>78777.83</v>
      </c>
      <c r="G1251" s="18">
        <v>194</v>
      </c>
      <c r="I1251" s="21">
        <v>46054.157638888886</v>
      </c>
      <c r="J1251" s="26"/>
      <c r="K1251" s="29"/>
      <c r="L1251" s="27">
        <v>78843.677779999998</v>
      </c>
      <c r="M1251" s="27">
        <v>78681.509999999995</v>
      </c>
      <c r="N1251" s="30" t="s">
        <v>7</v>
      </c>
      <c r="O1251" s="28" t="s">
        <v>8</v>
      </c>
      <c r="P1251"/>
    </row>
    <row r="1252" spans="1:16" x14ac:dyDescent="0.35">
      <c r="A1252" s="4">
        <v>1249</v>
      </c>
      <c r="B1252" s="17">
        <v>46054.158333333333</v>
      </c>
      <c r="C1252" s="1">
        <v>78777.820000000007</v>
      </c>
      <c r="D1252" s="20">
        <v>78819.39</v>
      </c>
      <c r="E1252" s="20">
        <v>78772.61</v>
      </c>
      <c r="F1252" s="1">
        <v>78793.45</v>
      </c>
      <c r="G1252" s="18">
        <v>161</v>
      </c>
      <c r="I1252" s="21">
        <v>46054.158333333333</v>
      </c>
      <c r="J1252" s="26"/>
      <c r="K1252" s="29"/>
      <c r="L1252" s="27">
        <v>78848.74222</v>
      </c>
      <c r="M1252" s="27">
        <v>78691.75</v>
      </c>
      <c r="N1252" s="30" t="s">
        <v>7</v>
      </c>
      <c r="O1252" s="28" t="s">
        <v>8</v>
      </c>
      <c r="P1252"/>
    </row>
    <row r="1253" spans="1:16" x14ac:dyDescent="0.35">
      <c r="A1253" s="4">
        <v>1250</v>
      </c>
      <c r="B1253" s="17">
        <v>46054.15902777778</v>
      </c>
      <c r="C1253" s="1">
        <v>78790.960000000006</v>
      </c>
      <c r="D1253" s="20">
        <v>78824.25</v>
      </c>
      <c r="E1253" s="20">
        <v>78759.990000000005</v>
      </c>
      <c r="F1253" s="1">
        <v>78823.86</v>
      </c>
      <c r="G1253" s="18">
        <v>203</v>
      </c>
      <c r="I1253" s="21">
        <v>46054.15902777778</v>
      </c>
      <c r="J1253" s="26"/>
      <c r="K1253" s="29"/>
      <c r="L1253" s="27">
        <v>78853.806670000005</v>
      </c>
      <c r="M1253" s="27">
        <v>78701.990000000005</v>
      </c>
      <c r="N1253" s="30" t="s">
        <v>7</v>
      </c>
      <c r="O1253" s="28" t="s">
        <v>8</v>
      </c>
      <c r="P1253"/>
    </row>
    <row r="1254" spans="1:16" x14ac:dyDescent="0.35">
      <c r="A1254" s="4">
        <v>1251</v>
      </c>
      <c r="B1254" s="17">
        <v>46054.159722222219</v>
      </c>
      <c r="C1254" s="1">
        <v>78824.23</v>
      </c>
      <c r="D1254" s="20">
        <v>78830.320000000007</v>
      </c>
      <c r="E1254" s="20">
        <v>78811.62</v>
      </c>
      <c r="F1254" s="1">
        <v>78830.320000000007</v>
      </c>
      <c r="G1254" s="18">
        <v>151</v>
      </c>
      <c r="I1254" s="21">
        <v>46054.159722222219</v>
      </c>
      <c r="J1254" s="26"/>
      <c r="K1254" s="29"/>
      <c r="L1254" s="27">
        <v>78858.871109999993</v>
      </c>
      <c r="M1254" s="27">
        <v>78712.23</v>
      </c>
      <c r="N1254" s="30" t="s">
        <v>7</v>
      </c>
      <c r="O1254" s="28" t="s">
        <v>8</v>
      </c>
      <c r="P1254"/>
    </row>
    <row r="1255" spans="1:16" x14ac:dyDescent="0.35">
      <c r="A1255" s="4">
        <v>1252</v>
      </c>
      <c r="B1255" s="17">
        <v>46054.160416666666</v>
      </c>
      <c r="C1255" s="1">
        <v>78830.33</v>
      </c>
      <c r="D1255" s="20">
        <v>78859.22</v>
      </c>
      <c r="E1255" s="20">
        <v>78811.69</v>
      </c>
      <c r="F1255" s="1">
        <v>78854.22</v>
      </c>
      <c r="G1255" s="18">
        <v>156</v>
      </c>
      <c r="I1255" s="21">
        <v>46054.160416666666</v>
      </c>
      <c r="J1255" s="26"/>
      <c r="K1255" s="29"/>
      <c r="L1255" s="27">
        <v>78863.935559999998</v>
      </c>
      <c r="M1255" s="27">
        <v>78722.47</v>
      </c>
      <c r="N1255" s="30" t="s">
        <v>7</v>
      </c>
      <c r="O1255" s="28" t="s">
        <v>8</v>
      </c>
      <c r="P1255"/>
    </row>
    <row r="1256" spans="1:16" x14ac:dyDescent="0.35">
      <c r="A1256" s="4">
        <v>1253</v>
      </c>
      <c r="B1256" s="17">
        <v>46054.161111111112</v>
      </c>
      <c r="C1256" s="1">
        <v>78854.22</v>
      </c>
      <c r="D1256" s="20">
        <v>78869</v>
      </c>
      <c r="E1256" s="20">
        <v>78831.63</v>
      </c>
      <c r="F1256" s="1">
        <v>78852.179999999993</v>
      </c>
      <c r="G1256" s="18">
        <v>190</v>
      </c>
      <c r="I1256" s="21">
        <v>46054.161111111112</v>
      </c>
      <c r="J1256" s="26">
        <v>78869</v>
      </c>
      <c r="K1256" s="29"/>
      <c r="L1256" s="27">
        <v>78869</v>
      </c>
      <c r="M1256" s="27">
        <v>78732.710000000006</v>
      </c>
      <c r="N1256" s="30" t="s">
        <v>7</v>
      </c>
      <c r="O1256" s="28" t="s">
        <v>8</v>
      </c>
      <c r="P1256"/>
    </row>
    <row r="1257" spans="1:16" x14ac:dyDescent="0.35">
      <c r="A1257" s="4">
        <v>1254</v>
      </c>
      <c r="B1257" s="17">
        <v>46054.161805555559</v>
      </c>
      <c r="C1257" s="1">
        <v>78852.17</v>
      </c>
      <c r="D1257" s="20">
        <v>78852.23</v>
      </c>
      <c r="E1257" s="20">
        <v>78817.649999999994</v>
      </c>
      <c r="F1257" s="1">
        <v>78822.92</v>
      </c>
      <c r="G1257" s="18">
        <v>156</v>
      </c>
      <c r="I1257" s="21">
        <v>46054.161805555559</v>
      </c>
      <c r="J1257" s="26"/>
      <c r="K1257" s="29"/>
      <c r="L1257" s="27">
        <v>78865.756670000002</v>
      </c>
      <c r="M1257" s="27">
        <v>78742.95</v>
      </c>
      <c r="N1257" s="30" t="s">
        <v>6</v>
      </c>
      <c r="O1257" s="28" t="s">
        <v>8</v>
      </c>
      <c r="P1257"/>
    </row>
    <row r="1258" spans="1:16" x14ac:dyDescent="0.35">
      <c r="A1258" s="4">
        <v>1255</v>
      </c>
      <c r="B1258" s="17">
        <v>46054.162499999999</v>
      </c>
      <c r="C1258" s="1">
        <v>78822.880000000005</v>
      </c>
      <c r="D1258" s="20">
        <v>78832.600000000006</v>
      </c>
      <c r="E1258" s="20">
        <v>78766.509999999995</v>
      </c>
      <c r="F1258" s="1">
        <v>78816.73</v>
      </c>
      <c r="G1258" s="18">
        <v>171</v>
      </c>
      <c r="I1258" s="21">
        <v>46054.162499999999</v>
      </c>
      <c r="J1258" s="26"/>
      <c r="K1258" s="29"/>
      <c r="L1258" s="27">
        <v>78862.513330000002</v>
      </c>
      <c r="M1258" s="27">
        <v>78753.19</v>
      </c>
      <c r="N1258" s="30" t="s">
        <v>6</v>
      </c>
      <c r="O1258" s="28" t="s">
        <v>8</v>
      </c>
      <c r="P1258"/>
    </row>
    <row r="1259" spans="1:16" x14ac:dyDescent="0.35">
      <c r="A1259" s="4">
        <v>1256</v>
      </c>
      <c r="B1259" s="17">
        <v>46054.163194444445</v>
      </c>
      <c r="C1259" s="1">
        <v>78816.800000000003</v>
      </c>
      <c r="D1259" s="20">
        <v>78838.34</v>
      </c>
      <c r="E1259" s="20">
        <v>78763.429999999993</v>
      </c>
      <c r="F1259" s="1">
        <v>78780.399999999994</v>
      </c>
      <c r="G1259" s="18">
        <v>199</v>
      </c>
      <c r="I1259" s="21">
        <v>46054.163194444445</v>
      </c>
      <c r="J1259" s="26"/>
      <c r="K1259" s="29">
        <v>78763.429999999993</v>
      </c>
      <c r="L1259" s="27">
        <v>78859.27</v>
      </c>
      <c r="M1259" s="27">
        <v>78763.429999999993</v>
      </c>
      <c r="N1259" s="30" t="s">
        <v>6</v>
      </c>
      <c r="O1259" s="28" t="s">
        <v>8</v>
      </c>
      <c r="P1259"/>
    </row>
    <row r="1260" spans="1:16" x14ac:dyDescent="0.35">
      <c r="A1260" s="4">
        <v>1257</v>
      </c>
      <c r="B1260" s="17">
        <v>46054.163888888892</v>
      </c>
      <c r="C1260" s="1">
        <v>78780.39</v>
      </c>
      <c r="D1260" s="20">
        <v>78800.539999999994</v>
      </c>
      <c r="E1260" s="20">
        <v>78780.39</v>
      </c>
      <c r="F1260" s="1">
        <v>78800.27</v>
      </c>
      <c r="G1260" s="18">
        <v>133</v>
      </c>
      <c r="I1260" s="21">
        <v>46054.163888888892</v>
      </c>
      <c r="J1260" s="26"/>
      <c r="K1260" s="29"/>
      <c r="L1260" s="27">
        <v>78856.026670000007</v>
      </c>
      <c r="M1260" s="27">
        <v>78753.997000000003</v>
      </c>
      <c r="N1260" s="30" t="s">
        <v>6</v>
      </c>
      <c r="O1260" s="28" t="s">
        <v>13</v>
      </c>
      <c r="P1260"/>
    </row>
    <row r="1261" spans="1:16" x14ac:dyDescent="0.35">
      <c r="A1261" s="4">
        <v>1258</v>
      </c>
      <c r="B1261" s="17">
        <v>46054.164583333331</v>
      </c>
      <c r="C1261" s="1">
        <v>78800.23</v>
      </c>
      <c r="D1261" s="20">
        <v>78832.73</v>
      </c>
      <c r="E1261" s="20">
        <v>78800.23</v>
      </c>
      <c r="F1261" s="1">
        <v>78825.820000000007</v>
      </c>
      <c r="G1261" s="18">
        <v>177</v>
      </c>
      <c r="I1261" s="21">
        <v>46054.164583333331</v>
      </c>
      <c r="J1261" s="26"/>
      <c r="K1261" s="29"/>
      <c r="L1261" s="27">
        <v>78852.783330000006</v>
      </c>
      <c r="M1261" s="27">
        <v>78744.563999999998</v>
      </c>
      <c r="N1261" s="30" t="s">
        <v>6</v>
      </c>
      <c r="O1261" s="28" t="s">
        <v>13</v>
      </c>
      <c r="P1261"/>
    </row>
    <row r="1262" spans="1:16" x14ac:dyDescent="0.35">
      <c r="A1262" s="4">
        <v>1259</v>
      </c>
      <c r="B1262" s="17">
        <v>46054.165277777778</v>
      </c>
      <c r="C1262" s="1">
        <v>78825.83</v>
      </c>
      <c r="D1262" s="20">
        <v>78849.539999999994</v>
      </c>
      <c r="E1262" s="20">
        <v>78792.84</v>
      </c>
      <c r="F1262" s="1">
        <v>78836.37</v>
      </c>
      <c r="G1262" s="18">
        <v>159</v>
      </c>
      <c r="I1262" s="21">
        <v>46054.165277777778</v>
      </c>
      <c r="J1262" s="26">
        <v>78849.539999999994</v>
      </c>
      <c r="K1262" s="29"/>
      <c r="L1262" s="27">
        <v>78849.539999999994</v>
      </c>
      <c r="M1262" s="27">
        <v>78735.130999999994</v>
      </c>
      <c r="N1262" s="30" t="s">
        <v>6</v>
      </c>
      <c r="O1262" s="28" t="s">
        <v>13</v>
      </c>
      <c r="P1262"/>
    </row>
    <row r="1263" spans="1:16" x14ac:dyDescent="0.35">
      <c r="A1263" s="4">
        <v>1260</v>
      </c>
      <c r="B1263" s="17">
        <v>46054.165972222225</v>
      </c>
      <c r="C1263" s="1">
        <v>78836.37</v>
      </c>
      <c r="D1263" s="20">
        <v>78836.710000000006</v>
      </c>
      <c r="E1263" s="20">
        <v>78808.070000000007</v>
      </c>
      <c r="F1263" s="1">
        <v>78814.36</v>
      </c>
      <c r="G1263" s="18">
        <v>188</v>
      </c>
      <c r="I1263" s="21">
        <v>46054.165972222225</v>
      </c>
      <c r="J1263" s="26"/>
      <c r="K1263" s="29"/>
      <c r="L1263" s="27">
        <v>78857.453569999998</v>
      </c>
      <c r="M1263" s="27">
        <v>78725.698000000004</v>
      </c>
      <c r="N1263" s="30" t="s">
        <v>7</v>
      </c>
      <c r="O1263" s="28" t="s">
        <v>13</v>
      </c>
      <c r="P1263"/>
    </row>
    <row r="1264" spans="1:16" x14ac:dyDescent="0.35">
      <c r="A1264" s="4">
        <v>1261</v>
      </c>
      <c r="B1264" s="17">
        <v>46054.166666666664</v>
      </c>
      <c r="C1264" s="1">
        <v>78814.31</v>
      </c>
      <c r="D1264" s="20">
        <v>78822.210000000006</v>
      </c>
      <c r="E1264" s="20">
        <v>78790.75</v>
      </c>
      <c r="F1264" s="1">
        <v>78799.259999999995</v>
      </c>
      <c r="G1264" s="18">
        <v>182</v>
      </c>
      <c r="I1264" s="21">
        <v>46054.166666666664</v>
      </c>
      <c r="J1264" s="26"/>
      <c r="K1264" s="29"/>
      <c r="L1264" s="27">
        <v>78865.367140000002</v>
      </c>
      <c r="M1264" s="27">
        <v>78716.264999999999</v>
      </c>
      <c r="N1264" s="30" t="s">
        <v>7</v>
      </c>
      <c r="O1264" s="28" t="s">
        <v>13</v>
      </c>
      <c r="P1264"/>
    </row>
    <row r="1265" spans="1:16" x14ac:dyDescent="0.35">
      <c r="A1265" s="4">
        <v>1262</v>
      </c>
      <c r="B1265" s="17">
        <v>46054.167361111111</v>
      </c>
      <c r="C1265" s="1">
        <v>78796.5</v>
      </c>
      <c r="D1265" s="20">
        <v>78799.09</v>
      </c>
      <c r="E1265" s="20">
        <v>78776.460000000006</v>
      </c>
      <c r="F1265" s="1">
        <v>78788.88</v>
      </c>
      <c r="G1265" s="18">
        <v>192</v>
      </c>
      <c r="I1265" s="21">
        <v>46054.167361111111</v>
      </c>
      <c r="J1265" s="26"/>
      <c r="K1265" s="29"/>
      <c r="L1265" s="27">
        <v>78873.280710000006</v>
      </c>
      <c r="M1265" s="27">
        <v>78706.831999999995</v>
      </c>
      <c r="N1265" s="30" t="s">
        <v>7</v>
      </c>
      <c r="O1265" s="28" t="s">
        <v>13</v>
      </c>
      <c r="P1265"/>
    </row>
    <row r="1266" spans="1:16" x14ac:dyDescent="0.35">
      <c r="A1266" s="4">
        <v>1263</v>
      </c>
      <c r="B1266" s="17">
        <v>46054.168055555558</v>
      </c>
      <c r="C1266" s="1">
        <v>78789.259999999995</v>
      </c>
      <c r="D1266" s="20">
        <v>78813.539999999994</v>
      </c>
      <c r="E1266" s="20">
        <v>78748.7</v>
      </c>
      <c r="F1266" s="1">
        <v>78749.919999999998</v>
      </c>
      <c r="G1266" s="18">
        <v>178</v>
      </c>
      <c r="I1266" s="21">
        <v>46054.168055555558</v>
      </c>
      <c r="J1266" s="26"/>
      <c r="K1266" s="29"/>
      <c r="L1266" s="27">
        <v>78881.194289999999</v>
      </c>
      <c r="M1266" s="27">
        <v>78697.399000000005</v>
      </c>
      <c r="N1266" s="30" t="s">
        <v>7</v>
      </c>
      <c r="O1266" s="28" t="s">
        <v>13</v>
      </c>
      <c r="P1266"/>
    </row>
    <row r="1267" spans="1:16" x14ac:dyDescent="0.35">
      <c r="A1267" s="4">
        <v>1264</v>
      </c>
      <c r="B1267" s="17">
        <v>46054.168749999997</v>
      </c>
      <c r="C1267" s="1">
        <v>78748.92</v>
      </c>
      <c r="D1267" s="20">
        <v>78773.34</v>
      </c>
      <c r="E1267" s="20">
        <v>78747.87</v>
      </c>
      <c r="F1267" s="1">
        <v>78759.490000000005</v>
      </c>
      <c r="G1267" s="18">
        <v>192</v>
      </c>
      <c r="I1267" s="21">
        <v>46054.168749999997</v>
      </c>
      <c r="J1267" s="26"/>
      <c r="K1267" s="29"/>
      <c r="L1267" s="27">
        <v>78889.107860000004</v>
      </c>
      <c r="M1267" s="27">
        <v>78687.966</v>
      </c>
      <c r="N1267" s="30" t="s">
        <v>7</v>
      </c>
      <c r="O1267" s="28" t="s">
        <v>13</v>
      </c>
      <c r="P1267"/>
    </row>
    <row r="1268" spans="1:16" x14ac:dyDescent="0.35">
      <c r="A1268" s="4">
        <v>1265</v>
      </c>
      <c r="B1268" s="17">
        <v>46054.169444444444</v>
      </c>
      <c r="C1268" s="1">
        <v>78759.490000000005</v>
      </c>
      <c r="D1268" s="20">
        <v>78764.320000000007</v>
      </c>
      <c r="E1268" s="20">
        <v>78722.31</v>
      </c>
      <c r="F1268" s="1">
        <v>78722.31</v>
      </c>
      <c r="G1268" s="18">
        <v>148</v>
      </c>
      <c r="I1268" s="21">
        <v>46054.169444444444</v>
      </c>
      <c r="J1268" s="26"/>
      <c r="K1268" s="29"/>
      <c r="L1268" s="27">
        <v>78897.021429999993</v>
      </c>
      <c r="M1268" s="27">
        <v>78678.532999999996</v>
      </c>
      <c r="N1268" s="30" t="s">
        <v>7</v>
      </c>
      <c r="O1268" s="28" t="s">
        <v>13</v>
      </c>
      <c r="P1268"/>
    </row>
    <row r="1269" spans="1:16" x14ac:dyDescent="0.35">
      <c r="A1269" s="4">
        <v>1266</v>
      </c>
      <c r="B1269" s="17">
        <v>46054.170138888891</v>
      </c>
      <c r="C1269" s="1">
        <v>78722.31</v>
      </c>
      <c r="D1269" s="20">
        <v>78730.03</v>
      </c>
      <c r="E1269" s="20">
        <v>78669.100000000006</v>
      </c>
      <c r="F1269" s="1">
        <v>78677.34</v>
      </c>
      <c r="G1269" s="18">
        <v>209</v>
      </c>
      <c r="I1269" s="21">
        <v>46054.170138888891</v>
      </c>
      <c r="J1269" s="26"/>
      <c r="K1269" s="29">
        <v>78669.100000000006</v>
      </c>
      <c r="L1269" s="27">
        <v>78904.934999999998</v>
      </c>
      <c r="M1269" s="27">
        <v>78669.100000000006</v>
      </c>
      <c r="N1269" s="30" t="s">
        <v>7</v>
      </c>
      <c r="O1269" s="28" t="s">
        <v>13</v>
      </c>
      <c r="P1269"/>
    </row>
    <row r="1270" spans="1:16" x14ac:dyDescent="0.35">
      <c r="A1270" s="4">
        <v>1267</v>
      </c>
      <c r="B1270" s="17">
        <v>46054.17083333333</v>
      </c>
      <c r="C1270" s="1">
        <v>78677.320000000007</v>
      </c>
      <c r="D1270" s="20">
        <v>78739.63</v>
      </c>
      <c r="E1270" s="20">
        <v>78670.78</v>
      </c>
      <c r="F1270" s="1">
        <v>78739.63</v>
      </c>
      <c r="G1270" s="18">
        <v>166</v>
      </c>
      <c r="I1270" s="21">
        <v>46054.17083333333</v>
      </c>
      <c r="J1270" s="26"/>
      <c r="K1270" s="29"/>
      <c r="L1270" s="27">
        <v>78912.848570000002</v>
      </c>
      <c r="M1270" s="27">
        <v>78689.168179999993</v>
      </c>
      <c r="N1270" s="30" t="s">
        <v>7</v>
      </c>
      <c r="O1270" s="28" t="s">
        <v>8</v>
      </c>
      <c r="P1270"/>
    </row>
    <row r="1271" spans="1:16" x14ac:dyDescent="0.35">
      <c r="A1271" s="4">
        <v>1268</v>
      </c>
      <c r="B1271" s="17">
        <v>46054.171527777777</v>
      </c>
      <c r="C1271" s="1">
        <v>78739.63</v>
      </c>
      <c r="D1271" s="20">
        <v>78739.63</v>
      </c>
      <c r="E1271" s="20">
        <v>78680.61</v>
      </c>
      <c r="F1271" s="1">
        <v>78691.41</v>
      </c>
      <c r="G1271" s="18">
        <v>211</v>
      </c>
      <c r="I1271" s="21">
        <v>46054.171527777777</v>
      </c>
      <c r="J1271" s="26"/>
      <c r="K1271" s="29"/>
      <c r="L1271" s="27">
        <v>78920.762140000006</v>
      </c>
      <c r="M1271" s="27">
        <v>78709.236359999995</v>
      </c>
      <c r="N1271" s="30" t="s">
        <v>7</v>
      </c>
      <c r="O1271" s="28" t="s">
        <v>8</v>
      </c>
      <c r="P1271"/>
    </row>
    <row r="1272" spans="1:16" x14ac:dyDescent="0.35">
      <c r="A1272" s="4">
        <v>1269</v>
      </c>
      <c r="B1272" s="17">
        <v>46054.172222222223</v>
      </c>
      <c r="C1272" s="1">
        <v>78691.41</v>
      </c>
      <c r="D1272" s="20">
        <v>78714.350000000006</v>
      </c>
      <c r="E1272" s="20">
        <v>78680.95</v>
      </c>
      <c r="F1272" s="1">
        <v>78696.92</v>
      </c>
      <c r="G1272" s="18">
        <v>168</v>
      </c>
      <c r="I1272" s="21">
        <v>46054.172222222223</v>
      </c>
      <c r="J1272" s="26"/>
      <c r="K1272" s="29"/>
      <c r="L1272" s="27">
        <v>78928.675709999996</v>
      </c>
      <c r="M1272" s="27">
        <v>78729.304550000001</v>
      </c>
      <c r="N1272" s="30" t="s">
        <v>7</v>
      </c>
      <c r="O1272" s="28" t="s">
        <v>8</v>
      </c>
      <c r="P1272"/>
    </row>
    <row r="1273" spans="1:16" x14ac:dyDescent="0.35">
      <c r="A1273" s="4">
        <v>1270</v>
      </c>
      <c r="B1273" s="17">
        <v>46054.17291666667</v>
      </c>
      <c r="C1273" s="1">
        <v>78696.92</v>
      </c>
      <c r="D1273" s="20">
        <v>78765.070000000007</v>
      </c>
      <c r="E1273" s="20">
        <v>78696.92</v>
      </c>
      <c r="F1273" s="1">
        <v>78765.070000000007</v>
      </c>
      <c r="G1273" s="18">
        <v>167</v>
      </c>
      <c r="I1273" s="21">
        <v>46054.17291666667</v>
      </c>
      <c r="J1273" s="26"/>
      <c r="K1273" s="29"/>
      <c r="L1273" s="27">
        <v>78936.589290000004</v>
      </c>
      <c r="M1273" s="27">
        <v>78749.372730000003</v>
      </c>
      <c r="N1273" s="30" t="s">
        <v>7</v>
      </c>
      <c r="O1273" s="28" t="s">
        <v>8</v>
      </c>
      <c r="P1273"/>
    </row>
    <row r="1274" spans="1:16" x14ac:dyDescent="0.35">
      <c r="A1274" s="4">
        <v>1271</v>
      </c>
      <c r="B1274" s="17">
        <v>46054.173611111109</v>
      </c>
      <c r="C1274" s="1">
        <v>78765.31</v>
      </c>
      <c r="D1274" s="20">
        <v>78821.11</v>
      </c>
      <c r="E1274" s="20">
        <v>78765.31</v>
      </c>
      <c r="F1274" s="1">
        <v>78801.66</v>
      </c>
      <c r="G1274" s="18">
        <v>188</v>
      </c>
      <c r="I1274" s="21">
        <v>46054.173611111109</v>
      </c>
      <c r="J1274" s="26"/>
      <c r="K1274" s="29"/>
      <c r="L1274" s="27">
        <v>78944.502859999993</v>
      </c>
      <c r="M1274" s="27">
        <v>78769.440910000005</v>
      </c>
      <c r="N1274" s="30" t="s">
        <v>7</v>
      </c>
      <c r="O1274" s="28" t="s">
        <v>8</v>
      </c>
      <c r="P1274"/>
    </row>
    <row r="1275" spans="1:16" x14ac:dyDescent="0.35">
      <c r="A1275" s="4">
        <v>1272</v>
      </c>
      <c r="B1275" s="17">
        <v>46054.174305555556</v>
      </c>
      <c r="C1275" s="1">
        <v>78801.67</v>
      </c>
      <c r="D1275" s="20">
        <v>78857.97</v>
      </c>
      <c r="E1275" s="20">
        <v>78795.25</v>
      </c>
      <c r="F1275" s="1">
        <v>78852.58</v>
      </c>
      <c r="G1275" s="18">
        <v>210</v>
      </c>
      <c r="I1275" s="21">
        <v>46054.174305555556</v>
      </c>
      <c r="J1275" s="26"/>
      <c r="K1275" s="29"/>
      <c r="L1275" s="27">
        <v>78952.416429999997</v>
      </c>
      <c r="M1275" s="27">
        <v>78789.509090000007</v>
      </c>
      <c r="N1275" s="30" t="s">
        <v>7</v>
      </c>
      <c r="O1275" s="28" t="s">
        <v>8</v>
      </c>
      <c r="P1275"/>
    </row>
    <row r="1276" spans="1:16" x14ac:dyDescent="0.35">
      <c r="A1276" s="4">
        <v>1273</v>
      </c>
      <c r="B1276" s="17">
        <v>46054.175000000003</v>
      </c>
      <c r="C1276" s="1">
        <v>78852.36</v>
      </c>
      <c r="D1276" s="20">
        <v>78960.33</v>
      </c>
      <c r="E1276" s="20">
        <v>78841.820000000007</v>
      </c>
      <c r="F1276" s="1">
        <v>78952.149999999994</v>
      </c>
      <c r="G1276" s="18">
        <v>243</v>
      </c>
      <c r="I1276" s="21">
        <v>46054.175000000003</v>
      </c>
      <c r="J1276" s="26">
        <v>78960.33</v>
      </c>
      <c r="K1276" s="29"/>
      <c r="L1276" s="27">
        <v>78960.33</v>
      </c>
      <c r="M1276" s="27">
        <v>78809.577269999994</v>
      </c>
      <c r="N1276" s="30" t="s">
        <v>7</v>
      </c>
      <c r="O1276" s="28" t="s">
        <v>8</v>
      </c>
      <c r="P1276"/>
    </row>
    <row r="1277" spans="1:16" x14ac:dyDescent="0.35">
      <c r="A1277" s="4">
        <v>1274</v>
      </c>
      <c r="B1277" s="17">
        <v>46054.175694444442</v>
      </c>
      <c r="C1277" s="1">
        <v>78952.149999999994</v>
      </c>
      <c r="D1277" s="20">
        <v>78952.31</v>
      </c>
      <c r="E1277" s="20">
        <v>78926.59</v>
      </c>
      <c r="F1277" s="1">
        <v>78929.2</v>
      </c>
      <c r="G1277" s="18">
        <v>192</v>
      </c>
      <c r="I1277" s="21">
        <v>46054.175694444442</v>
      </c>
      <c r="J1277" s="26"/>
      <c r="K1277" s="29"/>
      <c r="L1277" s="27">
        <v>78973.929999999993</v>
      </c>
      <c r="M1277" s="27">
        <v>78829.645449999996</v>
      </c>
      <c r="N1277" s="30" t="s">
        <v>7</v>
      </c>
      <c r="O1277" s="28" t="s">
        <v>8</v>
      </c>
      <c r="P1277"/>
    </row>
    <row r="1278" spans="1:16" x14ac:dyDescent="0.35">
      <c r="A1278" s="4">
        <v>1275</v>
      </c>
      <c r="B1278" s="17">
        <v>46054.176388888889</v>
      </c>
      <c r="C1278" s="1">
        <v>78929.19</v>
      </c>
      <c r="D1278" s="20">
        <v>78929.19</v>
      </c>
      <c r="E1278" s="20">
        <v>78890.570000000007</v>
      </c>
      <c r="F1278" s="1">
        <v>78915.69</v>
      </c>
      <c r="G1278" s="18">
        <v>200</v>
      </c>
      <c r="I1278" s="21">
        <v>46054.176388888889</v>
      </c>
      <c r="J1278" s="26"/>
      <c r="K1278" s="29"/>
      <c r="L1278" s="27">
        <v>78987.53</v>
      </c>
      <c r="M1278" s="27">
        <v>78849.713640000002</v>
      </c>
      <c r="N1278" s="30" t="s">
        <v>7</v>
      </c>
      <c r="O1278" s="28" t="s">
        <v>8</v>
      </c>
      <c r="P1278"/>
    </row>
    <row r="1279" spans="1:16" x14ac:dyDescent="0.35">
      <c r="A1279" s="4">
        <v>1276</v>
      </c>
      <c r="B1279" s="17">
        <v>46054.177083333336</v>
      </c>
      <c r="C1279" s="1">
        <v>78915.69</v>
      </c>
      <c r="D1279" s="20">
        <v>78926.429999999993</v>
      </c>
      <c r="E1279" s="20">
        <v>78903</v>
      </c>
      <c r="F1279" s="1">
        <v>78926.429999999993</v>
      </c>
      <c r="G1279" s="18">
        <v>184</v>
      </c>
      <c r="I1279" s="21">
        <v>46054.177083333336</v>
      </c>
      <c r="J1279" s="26"/>
      <c r="K1279" s="29"/>
      <c r="L1279" s="27">
        <v>79001.13</v>
      </c>
      <c r="M1279" s="27">
        <v>78869.781820000004</v>
      </c>
      <c r="N1279" s="30" t="s">
        <v>7</v>
      </c>
      <c r="O1279" s="28" t="s">
        <v>8</v>
      </c>
      <c r="P1279"/>
    </row>
    <row r="1280" spans="1:16" x14ac:dyDescent="0.35">
      <c r="A1280" s="4">
        <v>1277</v>
      </c>
      <c r="B1280" s="17">
        <v>46054.177777777775</v>
      </c>
      <c r="C1280" s="1">
        <v>78926.429999999993</v>
      </c>
      <c r="D1280" s="20">
        <v>78936</v>
      </c>
      <c r="E1280" s="20">
        <v>78889.850000000006</v>
      </c>
      <c r="F1280" s="1">
        <v>78935.360000000001</v>
      </c>
      <c r="G1280" s="18">
        <v>204</v>
      </c>
      <c r="I1280" s="21">
        <v>46054.177777777775</v>
      </c>
      <c r="J1280" s="26"/>
      <c r="K1280" s="29">
        <v>78889.850000000006</v>
      </c>
      <c r="L1280" s="27">
        <v>79014.73</v>
      </c>
      <c r="M1280" s="27">
        <v>78889.850000000006</v>
      </c>
      <c r="N1280" s="30" t="s">
        <v>7</v>
      </c>
      <c r="O1280" s="28" t="s">
        <v>8</v>
      </c>
      <c r="P1280"/>
    </row>
    <row r="1281" spans="1:16" x14ac:dyDescent="0.35">
      <c r="A1281" s="4">
        <v>1278</v>
      </c>
      <c r="B1281" s="17">
        <v>46054.178472222222</v>
      </c>
      <c r="C1281" s="1">
        <v>78935.360000000001</v>
      </c>
      <c r="D1281" s="20">
        <v>79044.850000000006</v>
      </c>
      <c r="E1281" s="20">
        <v>78935.360000000001</v>
      </c>
      <c r="F1281" s="1">
        <v>78999.31</v>
      </c>
      <c r="G1281" s="18">
        <v>203</v>
      </c>
      <c r="I1281" s="21">
        <v>46054.178472222222</v>
      </c>
      <c r="J1281" s="26"/>
      <c r="K1281" s="29"/>
      <c r="L1281" s="27">
        <v>79028.33</v>
      </c>
      <c r="M1281" s="27">
        <v>78886.570999999996</v>
      </c>
      <c r="N1281" s="30" t="s">
        <v>7</v>
      </c>
      <c r="O1281" s="28" t="s">
        <v>13</v>
      </c>
      <c r="P1281"/>
    </row>
    <row r="1282" spans="1:16" x14ac:dyDescent="0.35">
      <c r="A1282" s="4">
        <v>1279</v>
      </c>
      <c r="B1282" s="17">
        <v>46054.179166666669</v>
      </c>
      <c r="C1282" s="1">
        <v>79001.600000000006</v>
      </c>
      <c r="D1282" s="20">
        <v>79011.100000000006</v>
      </c>
      <c r="E1282" s="20">
        <v>78960</v>
      </c>
      <c r="F1282" s="1">
        <v>78966.009999999995</v>
      </c>
      <c r="G1282" s="18">
        <v>202</v>
      </c>
      <c r="I1282" s="21">
        <v>46054.179166666669</v>
      </c>
      <c r="J1282" s="26"/>
      <c r="K1282" s="29"/>
      <c r="L1282" s="27">
        <v>79041.929999999993</v>
      </c>
      <c r="M1282" s="27">
        <v>78883.292000000001</v>
      </c>
      <c r="N1282" s="30" t="s">
        <v>7</v>
      </c>
      <c r="O1282" s="28" t="s">
        <v>13</v>
      </c>
      <c r="P1282"/>
    </row>
    <row r="1283" spans="1:16" x14ac:dyDescent="0.35">
      <c r="A1283" s="4">
        <v>1280</v>
      </c>
      <c r="B1283" s="17">
        <v>46054.179861111108</v>
      </c>
      <c r="C1283" s="1">
        <v>78966.14</v>
      </c>
      <c r="D1283" s="20">
        <v>79053.7</v>
      </c>
      <c r="E1283" s="20">
        <v>78952.87</v>
      </c>
      <c r="F1283" s="1">
        <v>79049.84</v>
      </c>
      <c r="G1283" s="18">
        <v>207</v>
      </c>
      <c r="I1283" s="21">
        <v>46054.179861111108</v>
      </c>
      <c r="J1283" s="26"/>
      <c r="K1283" s="29"/>
      <c r="L1283" s="27">
        <v>79055.53</v>
      </c>
      <c r="M1283" s="27">
        <v>78880.013000000006</v>
      </c>
      <c r="N1283" s="30" t="s">
        <v>7</v>
      </c>
      <c r="O1283" s="28" t="s">
        <v>13</v>
      </c>
      <c r="P1283"/>
    </row>
    <row r="1284" spans="1:16" x14ac:dyDescent="0.35">
      <c r="A1284" s="4">
        <v>1281</v>
      </c>
      <c r="B1284" s="17">
        <v>46054.180555555555</v>
      </c>
      <c r="C1284" s="1">
        <v>79049.84</v>
      </c>
      <c r="D1284" s="20">
        <v>79069.13</v>
      </c>
      <c r="E1284" s="20">
        <v>78986.37</v>
      </c>
      <c r="F1284" s="1">
        <v>79001.22</v>
      </c>
      <c r="G1284" s="18">
        <v>255</v>
      </c>
      <c r="I1284" s="21">
        <v>46054.180555555555</v>
      </c>
      <c r="J1284" s="26">
        <v>79069.13</v>
      </c>
      <c r="K1284" s="29"/>
      <c r="L1284" s="27">
        <v>79069.13</v>
      </c>
      <c r="M1284" s="27">
        <v>78876.733999999997</v>
      </c>
      <c r="N1284" s="30" t="s">
        <v>7</v>
      </c>
      <c r="O1284" s="28" t="s">
        <v>13</v>
      </c>
      <c r="P1284"/>
    </row>
    <row r="1285" spans="1:16" x14ac:dyDescent="0.35">
      <c r="A1285" s="4">
        <v>1282</v>
      </c>
      <c r="B1285" s="17">
        <v>46054.181250000001</v>
      </c>
      <c r="C1285" s="1">
        <v>79001.22</v>
      </c>
      <c r="D1285" s="20">
        <v>79001.22</v>
      </c>
      <c r="E1285" s="20">
        <v>78942.31</v>
      </c>
      <c r="F1285" s="1">
        <v>78946.92</v>
      </c>
      <c r="G1285" s="18">
        <v>199</v>
      </c>
      <c r="I1285" s="21">
        <v>46054.181250000001</v>
      </c>
      <c r="J1285" s="26"/>
      <c r="K1285" s="29"/>
      <c r="L1285" s="27">
        <v>79060.570000000007</v>
      </c>
      <c r="M1285" s="27">
        <v>78873.455000000002</v>
      </c>
      <c r="N1285" s="30" t="s">
        <v>6</v>
      </c>
      <c r="O1285" s="28" t="s">
        <v>13</v>
      </c>
      <c r="P1285"/>
    </row>
    <row r="1286" spans="1:16" x14ac:dyDescent="0.35">
      <c r="A1286" s="4">
        <v>1283</v>
      </c>
      <c r="B1286" s="17">
        <v>46054.181944444441</v>
      </c>
      <c r="C1286" s="1">
        <v>78948.899999999994</v>
      </c>
      <c r="D1286" s="20">
        <v>78971.34</v>
      </c>
      <c r="E1286" s="20">
        <v>78932.570000000007</v>
      </c>
      <c r="F1286" s="1">
        <v>78932.83</v>
      </c>
      <c r="G1286" s="18">
        <v>182</v>
      </c>
      <c r="I1286" s="21">
        <v>46054.181944444441</v>
      </c>
      <c r="J1286" s="26"/>
      <c r="K1286" s="29"/>
      <c r="L1286" s="27">
        <v>79052.009999999995</v>
      </c>
      <c r="M1286" s="27">
        <v>78870.176000000007</v>
      </c>
      <c r="N1286" s="30" t="s">
        <v>6</v>
      </c>
      <c r="O1286" s="28" t="s">
        <v>13</v>
      </c>
      <c r="P1286"/>
    </row>
    <row r="1287" spans="1:16" x14ac:dyDescent="0.35">
      <c r="A1287" s="4">
        <v>1284</v>
      </c>
      <c r="B1287" s="17">
        <v>46054.182638888888</v>
      </c>
      <c r="C1287" s="1">
        <v>78933.039999999994</v>
      </c>
      <c r="D1287" s="20">
        <v>78990.05</v>
      </c>
      <c r="E1287" s="20">
        <v>78923.72</v>
      </c>
      <c r="F1287" s="1">
        <v>78979.95</v>
      </c>
      <c r="G1287" s="18">
        <v>137</v>
      </c>
      <c r="I1287" s="21">
        <v>46054.182638888888</v>
      </c>
      <c r="J1287" s="26"/>
      <c r="K1287" s="29"/>
      <c r="L1287" s="27">
        <v>79043.45</v>
      </c>
      <c r="M1287" s="27">
        <v>78866.896999999997</v>
      </c>
      <c r="N1287" s="30" t="s">
        <v>6</v>
      </c>
      <c r="O1287" s="28" t="s">
        <v>13</v>
      </c>
      <c r="P1287"/>
    </row>
    <row r="1288" spans="1:16" x14ac:dyDescent="0.35">
      <c r="A1288" s="4">
        <v>1285</v>
      </c>
      <c r="B1288" s="17">
        <v>46054.183333333334</v>
      </c>
      <c r="C1288" s="1">
        <v>78979.95</v>
      </c>
      <c r="D1288" s="20">
        <v>78979.95</v>
      </c>
      <c r="E1288" s="20">
        <v>78941.740000000005</v>
      </c>
      <c r="F1288" s="1">
        <v>78947.009999999995</v>
      </c>
      <c r="G1288" s="18">
        <v>127</v>
      </c>
      <c r="I1288" s="21">
        <v>46054.183333333334</v>
      </c>
      <c r="J1288" s="26"/>
      <c r="K1288" s="29"/>
      <c r="L1288" s="27">
        <v>79034.89</v>
      </c>
      <c r="M1288" s="27">
        <v>78863.618000000002</v>
      </c>
      <c r="N1288" s="30" t="s">
        <v>6</v>
      </c>
      <c r="O1288" s="28" t="s">
        <v>13</v>
      </c>
      <c r="P1288"/>
    </row>
    <row r="1289" spans="1:16" x14ac:dyDescent="0.35">
      <c r="A1289" s="4">
        <v>1286</v>
      </c>
      <c r="B1289" s="17">
        <v>46054.184027777781</v>
      </c>
      <c r="C1289" s="1">
        <v>78946.03</v>
      </c>
      <c r="D1289" s="20">
        <v>78946.05</v>
      </c>
      <c r="E1289" s="20">
        <v>78858.34</v>
      </c>
      <c r="F1289" s="1">
        <v>78868.38</v>
      </c>
      <c r="G1289" s="18">
        <v>209</v>
      </c>
      <c r="I1289" s="21">
        <v>46054.184027777781</v>
      </c>
      <c r="J1289" s="26"/>
      <c r="K1289" s="29"/>
      <c r="L1289" s="27">
        <v>79026.33</v>
      </c>
      <c r="M1289" s="27">
        <v>78860.339000000007</v>
      </c>
      <c r="N1289" s="30" t="s">
        <v>6</v>
      </c>
      <c r="O1289" s="28" t="s">
        <v>13</v>
      </c>
      <c r="P1289"/>
    </row>
    <row r="1290" spans="1:16" x14ac:dyDescent="0.35">
      <c r="A1290" s="4">
        <v>1287</v>
      </c>
      <c r="B1290" s="17">
        <v>46054.18472222222</v>
      </c>
      <c r="C1290" s="1">
        <v>78868.25</v>
      </c>
      <c r="D1290" s="20">
        <v>78907.39</v>
      </c>
      <c r="E1290" s="20">
        <v>78857.06</v>
      </c>
      <c r="F1290" s="1">
        <v>78887.81</v>
      </c>
      <c r="G1290" s="18">
        <v>188</v>
      </c>
      <c r="I1290" s="21">
        <v>46054.18472222222</v>
      </c>
      <c r="J1290" s="26"/>
      <c r="K1290" s="29">
        <v>78857.06</v>
      </c>
      <c r="L1290" s="27">
        <v>79017.77</v>
      </c>
      <c r="M1290" s="27">
        <v>78857.06</v>
      </c>
      <c r="N1290" s="30" t="s">
        <v>6</v>
      </c>
      <c r="O1290" s="28" t="s">
        <v>13</v>
      </c>
      <c r="P1290"/>
    </row>
    <row r="1291" spans="1:16" x14ac:dyDescent="0.35">
      <c r="A1291" s="4">
        <v>1288</v>
      </c>
      <c r="B1291" s="17">
        <v>46054.185416666667</v>
      </c>
      <c r="C1291" s="1">
        <v>78887.88</v>
      </c>
      <c r="D1291" s="20">
        <v>78898.86</v>
      </c>
      <c r="E1291" s="20">
        <v>78874.78</v>
      </c>
      <c r="F1291" s="1">
        <v>78875.89</v>
      </c>
      <c r="G1291" s="18">
        <v>125</v>
      </c>
      <c r="I1291" s="21">
        <v>46054.185416666667</v>
      </c>
      <c r="J1291" s="26"/>
      <c r="K1291" s="29"/>
      <c r="L1291" s="27">
        <v>79009.210000000006</v>
      </c>
      <c r="M1291" s="27">
        <v>78854.039999999994</v>
      </c>
      <c r="N1291" s="30" t="s">
        <v>6</v>
      </c>
      <c r="O1291" s="28" t="s">
        <v>13</v>
      </c>
      <c r="P1291"/>
    </row>
    <row r="1292" spans="1:16" x14ac:dyDescent="0.35">
      <c r="A1292" s="4">
        <v>1289</v>
      </c>
      <c r="B1292" s="17">
        <v>46054.186111111114</v>
      </c>
      <c r="C1292" s="1">
        <v>78875.88</v>
      </c>
      <c r="D1292" s="20">
        <v>78884.639999999999</v>
      </c>
      <c r="E1292" s="20">
        <v>78863.8</v>
      </c>
      <c r="F1292" s="1">
        <v>78865.31</v>
      </c>
      <c r="G1292" s="18">
        <v>128</v>
      </c>
      <c r="I1292" s="21">
        <v>46054.186111111114</v>
      </c>
      <c r="J1292" s="26"/>
      <c r="K1292" s="29"/>
      <c r="L1292" s="27">
        <v>79000.649999999994</v>
      </c>
      <c r="M1292" s="27">
        <v>78851.02</v>
      </c>
      <c r="N1292" s="30" t="s">
        <v>6</v>
      </c>
      <c r="O1292" s="28" t="s">
        <v>13</v>
      </c>
      <c r="P1292"/>
    </row>
    <row r="1293" spans="1:16" x14ac:dyDescent="0.35">
      <c r="A1293" s="4">
        <v>1290</v>
      </c>
      <c r="B1293" s="17">
        <v>46054.186805555553</v>
      </c>
      <c r="C1293" s="1">
        <v>78865.31</v>
      </c>
      <c r="D1293" s="20">
        <v>78882.720000000001</v>
      </c>
      <c r="E1293" s="20">
        <v>78848</v>
      </c>
      <c r="F1293" s="1">
        <v>78882.720000000001</v>
      </c>
      <c r="G1293" s="18">
        <v>162</v>
      </c>
      <c r="I1293" s="21">
        <v>46054.186805555553</v>
      </c>
      <c r="J1293" s="26"/>
      <c r="K1293" s="29">
        <v>78848</v>
      </c>
      <c r="L1293" s="27">
        <v>78992.09</v>
      </c>
      <c r="M1293" s="27">
        <v>78848</v>
      </c>
      <c r="N1293" s="30" t="s">
        <v>6</v>
      </c>
      <c r="O1293" s="28" t="s">
        <v>13</v>
      </c>
      <c r="P1293"/>
    </row>
    <row r="1294" spans="1:16" x14ac:dyDescent="0.35">
      <c r="A1294" s="4">
        <v>1291</v>
      </c>
      <c r="B1294" s="17">
        <v>46054.1875</v>
      </c>
      <c r="C1294" s="1">
        <v>78882.720000000001</v>
      </c>
      <c r="D1294" s="20">
        <v>78940.33</v>
      </c>
      <c r="E1294" s="20">
        <v>78882.62</v>
      </c>
      <c r="F1294" s="1">
        <v>78903.41</v>
      </c>
      <c r="G1294" s="18">
        <v>200</v>
      </c>
      <c r="I1294" s="21">
        <v>46054.1875</v>
      </c>
      <c r="J1294" s="26"/>
      <c r="K1294" s="29"/>
      <c r="L1294" s="27">
        <v>78983.53</v>
      </c>
      <c r="M1294" s="27">
        <v>78850.990000000005</v>
      </c>
      <c r="N1294" s="30" t="s">
        <v>6</v>
      </c>
      <c r="O1294" s="28" t="s">
        <v>8</v>
      </c>
      <c r="P1294"/>
    </row>
    <row r="1295" spans="1:16" x14ac:dyDescent="0.35">
      <c r="A1295" s="4">
        <v>1292</v>
      </c>
      <c r="B1295" s="17">
        <v>46054.188194444447</v>
      </c>
      <c r="C1295" s="1">
        <v>78902.13</v>
      </c>
      <c r="D1295" s="20">
        <v>78930.09</v>
      </c>
      <c r="E1295" s="20">
        <v>78863.23</v>
      </c>
      <c r="F1295" s="1">
        <v>78870.429999999993</v>
      </c>
      <c r="G1295" s="18">
        <v>187</v>
      </c>
      <c r="I1295" s="21">
        <v>46054.188194444447</v>
      </c>
      <c r="J1295" s="26"/>
      <c r="K1295" s="29"/>
      <c r="L1295" s="27">
        <v>78974.97</v>
      </c>
      <c r="M1295" s="27">
        <v>78853.98</v>
      </c>
      <c r="N1295" s="30" t="s">
        <v>6</v>
      </c>
      <c r="O1295" s="28" t="s">
        <v>8</v>
      </c>
      <c r="P1295"/>
    </row>
    <row r="1296" spans="1:16" x14ac:dyDescent="0.35">
      <c r="A1296" s="4">
        <v>1293</v>
      </c>
      <c r="B1296" s="17">
        <v>46054.188888888886</v>
      </c>
      <c r="C1296" s="1">
        <v>78865.440000000002</v>
      </c>
      <c r="D1296" s="20">
        <v>78966.41</v>
      </c>
      <c r="E1296" s="20">
        <v>78864.81</v>
      </c>
      <c r="F1296" s="1">
        <v>78954.240000000005</v>
      </c>
      <c r="G1296" s="18">
        <v>194</v>
      </c>
      <c r="I1296" s="21">
        <v>46054.188888888886</v>
      </c>
      <c r="J1296" s="26">
        <v>78966.41</v>
      </c>
      <c r="K1296" s="29"/>
      <c r="L1296" s="27">
        <v>78966.41</v>
      </c>
      <c r="M1296" s="27">
        <v>78856.97</v>
      </c>
      <c r="N1296" s="30" t="s">
        <v>6</v>
      </c>
      <c r="O1296" s="28" t="s">
        <v>8</v>
      </c>
      <c r="P1296"/>
    </row>
    <row r="1297" spans="1:16" x14ac:dyDescent="0.35">
      <c r="A1297" s="4">
        <v>1294</v>
      </c>
      <c r="B1297" s="17">
        <v>46054.189583333333</v>
      </c>
      <c r="C1297" s="1">
        <v>78954.240000000005</v>
      </c>
      <c r="D1297" s="20">
        <v>78954.509999999995</v>
      </c>
      <c r="E1297" s="20">
        <v>78871.740000000005</v>
      </c>
      <c r="F1297" s="1">
        <v>78871.740000000005</v>
      </c>
      <c r="G1297" s="18">
        <v>204</v>
      </c>
      <c r="I1297" s="21">
        <v>46054.189583333333</v>
      </c>
      <c r="J1297" s="26"/>
      <c r="K1297" s="29"/>
      <c r="L1297" s="27">
        <v>78966.478570000007</v>
      </c>
      <c r="M1297" s="27">
        <v>78859.960000000006</v>
      </c>
      <c r="N1297" s="30" t="s">
        <v>7</v>
      </c>
      <c r="O1297" s="28" t="s">
        <v>8</v>
      </c>
      <c r="P1297"/>
    </row>
    <row r="1298" spans="1:16" x14ac:dyDescent="0.35">
      <c r="A1298" s="4">
        <v>1295</v>
      </c>
      <c r="B1298" s="17">
        <v>46054.19027777778</v>
      </c>
      <c r="C1298" s="1">
        <v>78868.789999999994</v>
      </c>
      <c r="D1298" s="20">
        <v>78917.210000000006</v>
      </c>
      <c r="E1298" s="20">
        <v>78862.95</v>
      </c>
      <c r="F1298" s="1">
        <v>78905.38</v>
      </c>
      <c r="G1298" s="18">
        <v>202</v>
      </c>
      <c r="I1298" s="21">
        <v>46054.19027777778</v>
      </c>
      <c r="J1298" s="26"/>
      <c r="K1298" s="29">
        <v>78862.95</v>
      </c>
      <c r="L1298" s="27">
        <v>78966.547139999995</v>
      </c>
      <c r="M1298" s="27">
        <v>78862.95</v>
      </c>
      <c r="N1298" s="30" t="s">
        <v>7</v>
      </c>
      <c r="O1298" s="28" t="s">
        <v>8</v>
      </c>
      <c r="P1298"/>
    </row>
    <row r="1299" spans="1:16" x14ac:dyDescent="0.35">
      <c r="A1299" s="4">
        <v>1296</v>
      </c>
      <c r="B1299" s="17">
        <v>46054.190972222219</v>
      </c>
      <c r="C1299" s="1">
        <v>78905.38</v>
      </c>
      <c r="D1299" s="20">
        <v>78949.62</v>
      </c>
      <c r="E1299" s="20">
        <v>78895.509999999995</v>
      </c>
      <c r="F1299" s="1">
        <v>78905.31</v>
      </c>
      <c r="G1299" s="18">
        <v>180</v>
      </c>
      <c r="I1299" s="21">
        <v>46054.190972222219</v>
      </c>
      <c r="J1299" s="26"/>
      <c r="K1299" s="29"/>
      <c r="L1299" s="27">
        <v>78966.615709999998</v>
      </c>
      <c r="M1299" s="27">
        <v>78862.960000000006</v>
      </c>
      <c r="N1299" s="30" t="s">
        <v>7</v>
      </c>
      <c r="O1299" s="28" t="s">
        <v>8</v>
      </c>
      <c r="P1299"/>
    </row>
    <row r="1300" spans="1:16" x14ac:dyDescent="0.35">
      <c r="A1300" s="4">
        <v>1297</v>
      </c>
      <c r="B1300" s="17">
        <v>46054.191666666666</v>
      </c>
      <c r="C1300" s="1">
        <v>78905.31</v>
      </c>
      <c r="D1300" s="20">
        <v>78905.31</v>
      </c>
      <c r="E1300" s="20">
        <v>78876.289999999994</v>
      </c>
      <c r="F1300" s="1">
        <v>78889.850000000006</v>
      </c>
      <c r="G1300" s="18">
        <v>145</v>
      </c>
      <c r="I1300" s="21">
        <v>46054.191666666666</v>
      </c>
      <c r="J1300" s="26"/>
      <c r="K1300" s="29"/>
      <c r="L1300" s="27">
        <v>78966.684290000005</v>
      </c>
      <c r="M1300" s="27">
        <v>78862.97</v>
      </c>
      <c r="N1300" s="30" t="s">
        <v>7</v>
      </c>
      <c r="O1300" s="28" t="s">
        <v>8</v>
      </c>
      <c r="P1300"/>
    </row>
    <row r="1301" spans="1:16" x14ac:dyDescent="0.35">
      <c r="A1301" s="4">
        <v>1298</v>
      </c>
      <c r="B1301" s="17">
        <v>46054.192361111112</v>
      </c>
      <c r="C1301" s="1">
        <v>78894.7</v>
      </c>
      <c r="D1301" s="20">
        <v>78897.490000000005</v>
      </c>
      <c r="E1301" s="20">
        <v>78862.98</v>
      </c>
      <c r="F1301" s="1">
        <v>78864.02</v>
      </c>
      <c r="G1301" s="18">
        <v>153</v>
      </c>
      <c r="I1301" s="21">
        <v>46054.192361111112</v>
      </c>
      <c r="J1301" s="26"/>
      <c r="K1301" s="29">
        <v>78862.98</v>
      </c>
      <c r="L1301" s="27">
        <v>78966.752859999993</v>
      </c>
      <c r="M1301" s="27">
        <v>78862.98</v>
      </c>
      <c r="N1301" s="30" t="s">
        <v>7</v>
      </c>
      <c r="O1301" s="28" t="s">
        <v>8</v>
      </c>
      <c r="P1301"/>
    </row>
    <row r="1302" spans="1:16" x14ac:dyDescent="0.35">
      <c r="A1302" s="4">
        <v>1299</v>
      </c>
      <c r="B1302" s="17">
        <v>46054.193055555559</v>
      </c>
      <c r="C1302" s="1">
        <v>78864.02</v>
      </c>
      <c r="D1302" s="20">
        <v>78925.100000000006</v>
      </c>
      <c r="E1302" s="20">
        <v>78864.02</v>
      </c>
      <c r="F1302" s="1">
        <v>78925.03</v>
      </c>
      <c r="G1302" s="18">
        <v>180</v>
      </c>
      <c r="I1302" s="21">
        <v>46054.193055555559</v>
      </c>
      <c r="J1302" s="26"/>
      <c r="K1302" s="29"/>
      <c r="L1302" s="27">
        <v>78966.821429999996</v>
      </c>
      <c r="M1302" s="27">
        <v>78867.739230000007</v>
      </c>
      <c r="N1302" s="30" t="s">
        <v>7</v>
      </c>
      <c r="O1302" s="28" t="s">
        <v>8</v>
      </c>
      <c r="P1302"/>
    </row>
    <row r="1303" spans="1:16" x14ac:dyDescent="0.35">
      <c r="A1303" s="4">
        <v>1300</v>
      </c>
      <c r="B1303" s="17">
        <v>46054.193749999999</v>
      </c>
      <c r="C1303" s="1">
        <v>78925.03</v>
      </c>
      <c r="D1303" s="20">
        <v>78966.89</v>
      </c>
      <c r="E1303" s="20">
        <v>78925.03</v>
      </c>
      <c r="F1303" s="1">
        <v>78935.11</v>
      </c>
      <c r="G1303" s="18">
        <v>170</v>
      </c>
      <c r="I1303" s="21">
        <v>46054.193749999999</v>
      </c>
      <c r="J1303" s="26">
        <v>78966.89</v>
      </c>
      <c r="K1303" s="29"/>
      <c r="L1303" s="27">
        <v>78966.89</v>
      </c>
      <c r="M1303" s="27">
        <v>78872.498460000003</v>
      </c>
      <c r="N1303" s="30" t="s">
        <v>7</v>
      </c>
      <c r="O1303" s="28" t="s">
        <v>8</v>
      </c>
      <c r="P1303"/>
    </row>
    <row r="1304" spans="1:16" x14ac:dyDescent="0.35">
      <c r="A1304" s="4">
        <v>1301</v>
      </c>
      <c r="B1304" s="17">
        <v>46054.194444444445</v>
      </c>
      <c r="C1304" s="1">
        <v>78935.11</v>
      </c>
      <c r="D1304" s="20">
        <v>78947.27</v>
      </c>
      <c r="E1304" s="20">
        <v>78913.7</v>
      </c>
      <c r="F1304" s="1">
        <v>78942.25</v>
      </c>
      <c r="G1304" s="18">
        <v>172</v>
      </c>
      <c r="I1304" s="21">
        <v>46054.194444444445</v>
      </c>
      <c r="J1304" s="26"/>
      <c r="K1304" s="29"/>
      <c r="L1304" s="27">
        <v>78972.216249999998</v>
      </c>
      <c r="M1304" s="27">
        <v>78877.257689999999</v>
      </c>
      <c r="N1304" s="30" t="s">
        <v>7</v>
      </c>
      <c r="O1304" s="28" t="s">
        <v>8</v>
      </c>
      <c r="P1304"/>
    </row>
    <row r="1305" spans="1:16" x14ac:dyDescent="0.35">
      <c r="A1305" s="4">
        <v>1302</v>
      </c>
      <c r="B1305" s="17">
        <v>46054.195138888892</v>
      </c>
      <c r="C1305" s="1">
        <v>78943.16</v>
      </c>
      <c r="D1305" s="20">
        <v>78960.22</v>
      </c>
      <c r="E1305" s="20">
        <v>78924.86</v>
      </c>
      <c r="F1305" s="1">
        <v>78925.63</v>
      </c>
      <c r="G1305" s="18">
        <v>176</v>
      </c>
      <c r="I1305" s="21">
        <v>46054.195138888892</v>
      </c>
      <c r="J1305" s="26"/>
      <c r="K1305" s="29"/>
      <c r="L1305" s="27">
        <v>78977.542499999996</v>
      </c>
      <c r="M1305" s="27">
        <v>78882.016919999995</v>
      </c>
      <c r="N1305" s="30" t="s">
        <v>7</v>
      </c>
      <c r="O1305" s="28" t="s">
        <v>8</v>
      </c>
      <c r="P1305"/>
    </row>
    <row r="1306" spans="1:16" x14ac:dyDescent="0.35">
      <c r="A1306" s="4">
        <v>1303</v>
      </c>
      <c r="B1306" s="17">
        <v>46054.195833333331</v>
      </c>
      <c r="C1306" s="1">
        <v>78925.63</v>
      </c>
      <c r="D1306" s="20">
        <v>78948.320000000007</v>
      </c>
      <c r="E1306" s="20">
        <v>78917.67</v>
      </c>
      <c r="F1306" s="1">
        <v>78944.19</v>
      </c>
      <c r="G1306" s="18">
        <v>148</v>
      </c>
      <c r="I1306" s="21">
        <v>46054.195833333331</v>
      </c>
      <c r="J1306" s="26"/>
      <c r="K1306" s="29"/>
      <c r="L1306" s="27">
        <v>78982.868749999994</v>
      </c>
      <c r="M1306" s="27">
        <v>78886.776150000005</v>
      </c>
      <c r="N1306" s="30" t="s">
        <v>7</v>
      </c>
      <c r="O1306" s="28" t="s">
        <v>8</v>
      </c>
      <c r="P1306"/>
    </row>
    <row r="1307" spans="1:16" x14ac:dyDescent="0.35">
      <c r="A1307" s="4">
        <v>1304</v>
      </c>
      <c r="B1307" s="17">
        <v>46054.196527777778</v>
      </c>
      <c r="C1307" s="1">
        <v>78944.31</v>
      </c>
      <c r="D1307" s="20">
        <v>78944.31</v>
      </c>
      <c r="E1307" s="20">
        <v>78920.259999999995</v>
      </c>
      <c r="F1307" s="1">
        <v>78933.710000000006</v>
      </c>
      <c r="G1307" s="18">
        <v>169</v>
      </c>
      <c r="I1307" s="21">
        <v>46054.196527777778</v>
      </c>
      <c r="J1307" s="26"/>
      <c r="K1307" s="29"/>
      <c r="L1307" s="27">
        <v>78988.195000000007</v>
      </c>
      <c r="M1307" s="27">
        <v>78891.535380000001</v>
      </c>
      <c r="N1307" s="30" t="s">
        <v>7</v>
      </c>
      <c r="O1307" s="28" t="s">
        <v>8</v>
      </c>
      <c r="P1307"/>
    </row>
    <row r="1308" spans="1:16" x14ac:dyDescent="0.35">
      <c r="A1308" s="4">
        <v>1305</v>
      </c>
      <c r="B1308" s="17">
        <v>46054.197222222225</v>
      </c>
      <c r="C1308" s="1">
        <v>78933.710000000006</v>
      </c>
      <c r="D1308" s="20">
        <v>78970.320000000007</v>
      </c>
      <c r="E1308" s="20">
        <v>78927.289999999994</v>
      </c>
      <c r="F1308" s="1">
        <v>78958.320000000007</v>
      </c>
      <c r="G1308" s="18">
        <v>160</v>
      </c>
      <c r="I1308" s="21">
        <v>46054.197222222225</v>
      </c>
      <c r="J1308" s="26"/>
      <c r="K1308" s="29"/>
      <c r="L1308" s="27">
        <v>78993.521250000005</v>
      </c>
      <c r="M1308" s="27">
        <v>78896.294620000001</v>
      </c>
      <c r="N1308" s="30" t="s">
        <v>7</v>
      </c>
      <c r="O1308" s="28" t="s">
        <v>8</v>
      </c>
      <c r="P1308"/>
    </row>
    <row r="1309" spans="1:16" x14ac:dyDescent="0.35">
      <c r="A1309" s="4">
        <v>1306</v>
      </c>
      <c r="B1309" s="17">
        <v>46054.197916666664</v>
      </c>
      <c r="C1309" s="1">
        <v>78964.08</v>
      </c>
      <c r="D1309" s="20">
        <v>78986.039999999994</v>
      </c>
      <c r="E1309" s="20">
        <v>78944.58</v>
      </c>
      <c r="F1309" s="1">
        <v>78952.11</v>
      </c>
      <c r="G1309" s="18">
        <v>201</v>
      </c>
      <c r="I1309" s="21">
        <v>46054.197916666664</v>
      </c>
      <c r="J1309" s="26"/>
      <c r="K1309" s="29"/>
      <c r="L1309" s="27">
        <v>78998.847500000003</v>
      </c>
      <c r="M1309" s="27">
        <v>78901.053849999997</v>
      </c>
      <c r="N1309" s="30" t="s">
        <v>7</v>
      </c>
      <c r="O1309" s="28" t="s">
        <v>8</v>
      </c>
      <c r="P1309"/>
    </row>
    <row r="1310" spans="1:16" x14ac:dyDescent="0.35">
      <c r="A1310" s="4">
        <v>1307</v>
      </c>
      <c r="B1310" s="17">
        <v>46054.198611111111</v>
      </c>
      <c r="C1310" s="1">
        <v>78952.39</v>
      </c>
      <c r="D1310" s="20">
        <v>78989.179999999993</v>
      </c>
      <c r="E1310" s="20">
        <v>78952.39</v>
      </c>
      <c r="F1310" s="1">
        <v>78989.14</v>
      </c>
      <c r="G1310" s="18">
        <v>166</v>
      </c>
      <c r="I1310" s="21">
        <v>46054.198611111111</v>
      </c>
      <c r="J1310" s="26"/>
      <c r="K1310" s="29"/>
      <c r="L1310" s="27">
        <v>79004.173750000002</v>
      </c>
      <c r="M1310" s="27">
        <v>78905.813080000007</v>
      </c>
      <c r="N1310" s="30" t="s">
        <v>7</v>
      </c>
      <c r="O1310" s="28" t="s">
        <v>8</v>
      </c>
      <c r="P1310"/>
    </row>
    <row r="1311" spans="1:16" x14ac:dyDescent="0.35">
      <c r="A1311" s="4">
        <v>1308</v>
      </c>
      <c r="B1311" s="17">
        <v>46054.199305555558</v>
      </c>
      <c r="C1311" s="1">
        <v>78990.31</v>
      </c>
      <c r="D1311" s="20">
        <v>79009.5</v>
      </c>
      <c r="E1311" s="20">
        <v>78989.5</v>
      </c>
      <c r="F1311" s="1">
        <v>78992.45</v>
      </c>
      <c r="G1311" s="18">
        <v>158</v>
      </c>
      <c r="I1311" s="21">
        <v>46054.199305555558</v>
      </c>
      <c r="J1311" s="26">
        <v>79009.5</v>
      </c>
      <c r="K1311" s="29"/>
      <c r="L1311" s="27">
        <v>79009.5</v>
      </c>
      <c r="M1311" s="27">
        <v>78910.572310000003</v>
      </c>
      <c r="N1311" s="30" t="s">
        <v>7</v>
      </c>
      <c r="O1311" s="28" t="s">
        <v>8</v>
      </c>
      <c r="P1311"/>
    </row>
    <row r="1312" spans="1:16" x14ac:dyDescent="0.35">
      <c r="A1312" s="4">
        <v>1309</v>
      </c>
      <c r="B1312" s="17">
        <v>46054.2</v>
      </c>
      <c r="C1312" s="1">
        <v>78989.5</v>
      </c>
      <c r="D1312" s="20">
        <v>79007.070000000007</v>
      </c>
      <c r="E1312" s="20">
        <v>78928.479999999996</v>
      </c>
      <c r="F1312" s="1">
        <v>78939.53</v>
      </c>
      <c r="G1312" s="18">
        <v>153</v>
      </c>
      <c r="I1312" s="21">
        <v>46054.2</v>
      </c>
      <c r="J1312" s="26"/>
      <c r="K1312" s="29"/>
      <c r="L1312" s="27">
        <v>79006.30833</v>
      </c>
      <c r="M1312" s="27">
        <v>78915.331539999999</v>
      </c>
      <c r="N1312" s="30" t="s">
        <v>6</v>
      </c>
      <c r="O1312" s="28" t="s">
        <v>8</v>
      </c>
      <c r="P1312"/>
    </row>
    <row r="1313" spans="1:16" x14ac:dyDescent="0.35">
      <c r="A1313" s="4">
        <v>1310</v>
      </c>
      <c r="B1313" s="17">
        <v>46054.200694444444</v>
      </c>
      <c r="C1313" s="1">
        <v>78939.53</v>
      </c>
      <c r="D1313" s="20">
        <v>78976.740000000005</v>
      </c>
      <c r="E1313" s="20">
        <v>78939.53</v>
      </c>
      <c r="F1313" s="1">
        <v>78958.55</v>
      </c>
      <c r="G1313" s="18">
        <v>180</v>
      </c>
      <c r="I1313" s="21">
        <v>46054.200694444444</v>
      </c>
      <c r="J1313" s="26"/>
      <c r="K1313" s="29"/>
      <c r="L1313" s="27">
        <v>79003.116670000003</v>
      </c>
      <c r="M1313" s="27">
        <v>78920.090769999995</v>
      </c>
      <c r="N1313" s="30" t="s">
        <v>6</v>
      </c>
      <c r="O1313" s="28" t="s">
        <v>8</v>
      </c>
      <c r="P1313"/>
    </row>
    <row r="1314" spans="1:16" x14ac:dyDescent="0.35">
      <c r="A1314" s="4">
        <v>1311</v>
      </c>
      <c r="B1314" s="17">
        <v>46054.201388888891</v>
      </c>
      <c r="C1314" s="1">
        <v>78956.11</v>
      </c>
      <c r="D1314" s="20">
        <v>78957.88</v>
      </c>
      <c r="E1314" s="20">
        <v>78924.850000000006</v>
      </c>
      <c r="F1314" s="1">
        <v>78935.31</v>
      </c>
      <c r="G1314" s="18">
        <v>147</v>
      </c>
      <c r="I1314" s="21">
        <v>46054.201388888891</v>
      </c>
      <c r="J1314" s="26"/>
      <c r="K1314" s="29">
        <v>78924.850000000006</v>
      </c>
      <c r="L1314" s="27">
        <v>78999.925000000003</v>
      </c>
      <c r="M1314" s="27">
        <v>78924.850000000006</v>
      </c>
      <c r="N1314" s="30" t="s">
        <v>6</v>
      </c>
      <c r="O1314" s="28" t="s">
        <v>8</v>
      </c>
      <c r="P1314"/>
    </row>
    <row r="1315" spans="1:16" x14ac:dyDescent="0.35">
      <c r="A1315" s="4">
        <v>1312</v>
      </c>
      <c r="B1315" s="17">
        <v>46054.20208333333</v>
      </c>
      <c r="C1315" s="1">
        <v>78935.31</v>
      </c>
      <c r="D1315" s="20">
        <v>78990.34</v>
      </c>
      <c r="E1315" s="20">
        <v>78935.31</v>
      </c>
      <c r="F1315" s="1">
        <v>78949.88</v>
      </c>
      <c r="G1315" s="18">
        <v>192</v>
      </c>
      <c r="I1315" s="21">
        <v>46054.20208333333</v>
      </c>
      <c r="J1315" s="26"/>
      <c r="K1315" s="29"/>
      <c r="L1315" s="27">
        <v>78996.733330000003</v>
      </c>
      <c r="M1315" s="27">
        <v>78909.895380000002</v>
      </c>
      <c r="N1315" s="30" t="s">
        <v>6</v>
      </c>
      <c r="O1315" s="28" t="s">
        <v>13</v>
      </c>
      <c r="P1315"/>
    </row>
    <row r="1316" spans="1:16" x14ac:dyDescent="0.35">
      <c r="A1316" s="4">
        <v>1313</v>
      </c>
      <c r="B1316" s="17">
        <v>46054.202777777777</v>
      </c>
      <c r="C1316" s="1">
        <v>78949.89</v>
      </c>
      <c r="D1316" s="20">
        <v>78990.34</v>
      </c>
      <c r="E1316" s="20">
        <v>78949.13</v>
      </c>
      <c r="F1316" s="1">
        <v>78972.55</v>
      </c>
      <c r="G1316" s="18">
        <v>178</v>
      </c>
      <c r="I1316" s="21">
        <v>46054.202777777777</v>
      </c>
      <c r="J1316" s="26"/>
      <c r="K1316" s="29"/>
      <c r="L1316" s="27">
        <v>78993.541670000006</v>
      </c>
      <c r="M1316" s="27">
        <v>78894.940770000001</v>
      </c>
      <c r="N1316" s="30" t="s">
        <v>6</v>
      </c>
      <c r="O1316" s="28" t="s">
        <v>13</v>
      </c>
      <c r="P1316"/>
    </row>
    <row r="1317" spans="1:16" x14ac:dyDescent="0.35">
      <c r="A1317" s="4">
        <v>1314</v>
      </c>
      <c r="B1317" s="17">
        <v>46054.203472222223</v>
      </c>
      <c r="C1317" s="1">
        <v>78973</v>
      </c>
      <c r="D1317" s="20">
        <v>78990.350000000006</v>
      </c>
      <c r="E1317" s="20">
        <v>78962.58</v>
      </c>
      <c r="F1317" s="1">
        <v>78967.55</v>
      </c>
      <c r="G1317" s="18">
        <v>183</v>
      </c>
      <c r="I1317" s="21">
        <v>46054.203472222223</v>
      </c>
      <c r="J1317" s="26">
        <v>78990.350000000006</v>
      </c>
      <c r="K1317" s="29"/>
      <c r="L1317" s="27">
        <v>78990.350000000006</v>
      </c>
      <c r="M1317" s="27">
        <v>78879.986149999997</v>
      </c>
      <c r="N1317" s="30" t="s">
        <v>6</v>
      </c>
      <c r="O1317" s="28" t="s">
        <v>13</v>
      </c>
      <c r="P1317"/>
    </row>
    <row r="1318" spans="1:16" x14ac:dyDescent="0.35">
      <c r="A1318" s="4">
        <v>1315</v>
      </c>
      <c r="B1318" s="17">
        <v>46054.20416666667</v>
      </c>
      <c r="C1318" s="1">
        <v>78967.539999999994</v>
      </c>
      <c r="D1318" s="20">
        <v>78984.800000000003</v>
      </c>
      <c r="E1318" s="20">
        <v>78962.63</v>
      </c>
      <c r="F1318" s="1">
        <v>78984.75</v>
      </c>
      <c r="G1318" s="18">
        <v>150</v>
      </c>
      <c r="I1318" s="21">
        <v>46054.20416666667</v>
      </c>
      <c r="J1318" s="26"/>
      <c r="K1318" s="29"/>
      <c r="L1318" s="27">
        <v>78990.352499999994</v>
      </c>
      <c r="M1318" s="27">
        <v>78865.031539999996</v>
      </c>
      <c r="N1318" s="30" t="s">
        <v>7</v>
      </c>
      <c r="O1318" s="28" t="s">
        <v>13</v>
      </c>
      <c r="P1318"/>
    </row>
    <row r="1319" spans="1:16" x14ac:dyDescent="0.35">
      <c r="A1319" s="4">
        <v>1316</v>
      </c>
      <c r="B1319" s="17">
        <v>46054.204861111109</v>
      </c>
      <c r="C1319" s="1">
        <v>78984.75</v>
      </c>
      <c r="D1319" s="20">
        <v>78989.759999999995</v>
      </c>
      <c r="E1319" s="20">
        <v>78980.81</v>
      </c>
      <c r="F1319" s="1">
        <v>78983.42</v>
      </c>
      <c r="G1319" s="18">
        <v>132</v>
      </c>
      <c r="I1319" s="21">
        <v>46054.204861111109</v>
      </c>
      <c r="J1319" s="26"/>
      <c r="K1319" s="29"/>
      <c r="L1319" s="27">
        <v>78990.354999999996</v>
      </c>
      <c r="M1319" s="27">
        <v>78850.076920000007</v>
      </c>
      <c r="N1319" s="30" t="s">
        <v>7</v>
      </c>
      <c r="O1319" s="28" t="s">
        <v>13</v>
      </c>
      <c r="P1319"/>
    </row>
    <row r="1320" spans="1:16" x14ac:dyDescent="0.35">
      <c r="A1320" s="4">
        <v>1317</v>
      </c>
      <c r="B1320" s="17">
        <v>46054.205555555556</v>
      </c>
      <c r="C1320" s="1">
        <v>78983.399999999994</v>
      </c>
      <c r="D1320" s="20">
        <v>78990.350000000006</v>
      </c>
      <c r="E1320" s="20">
        <v>78970</v>
      </c>
      <c r="F1320" s="1">
        <v>78976.63</v>
      </c>
      <c r="G1320" s="18">
        <v>142</v>
      </c>
      <c r="I1320" s="21">
        <v>46054.205555555556</v>
      </c>
      <c r="J1320" s="26"/>
      <c r="K1320" s="29"/>
      <c r="L1320" s="27">
        <v>78990.357499999998</v>
      </c>
      <c r="M1320" s="27">
        <v>78835.122310000006</v>
      </c>
      <c r="N1320" s="30" t="s">
        <v>7</v>
      </c>
      <c r="O1320" s="28" t="s">
        <v>13</v>
      </c>
      <c r="P1320"/>
    </row>
    <row r="1321" spans="1:16" x14ac:dyDescent="0.35">
      <c r="A1321" s="4">
        <v>1318</v>
      </c>
      <c r="B1321" s="17">
        <v>46054.206250000003</v>
      </c>
      <c r="C1321" s="1">
        <v>78976.679999999993</v>
      </c>
      <c r="D1321" s="20">
        <v>78990.36</v>
      </c>
      <c r="E1321" s="20">
        <v>78976.679999999993</v>
      </c>
      <c r="F1321" s="1">
        <v>78982.320000000007</v>
      </c>
      <c r="G1321" s="18">
        <v>162</v>
      </c>
      <c r="I1321" s="21">
        <v>46054.206250000003</v>
      </c>
      <c r="J1321" s="26">
        <v>78990.36</v>
      </c>
      <c r="K1321" s="29"/>
      <c r="L1321" s="27">
        <v>78990.36</v>
      </c>
      <c r="M1321" s="27">
        <v>78820.167690000002</v>
      </c>
      <c r="N1321" s="30" t="s">
        <v>7</v>
      </c>
      <c r="O1321" s="28" t="s">
        <v>13</v>
      </c>
      <c r="P1321"/>
    </row>
    <row r="1322" spans="1:16" x14ac:dyDescent="0.35">
      <c r="A1322" s="4">
        <v>1319</v>
      </c>
      <c r="B1322" s="17">
        <v>46054.206944444442</v>
      </c>
      <c r="C1322" s="1">
        <v>78982.320000000007</v>
      </c>
      <c r="D1322" s="20">
        <v>78987.789999999994</v>
      </c>
      <c r="E1322" s="20">
        <v>78982.27</v>
      </c>
      <c r="F1322" s="1">
        <v>78982.27</v>
      </c>
      <c r="G1322" s="18">
        <v>129</v>
      </c>
      <c r="I1322" s="21">
        <v>46054.206944444442</v>
      </c>
      <c r="J1322" s="26"/>
      <c r="K1322" s="29"/>
      <c r="L1322" s="27">
        <v>78970.365000000005</v>
      </c>
      <c r="M1322" s="27">
        <v>78805.213080000001</v>
      </c>
      <c r="N1322" s="30" t="s">
        <v>6</v>
      </c>
      <c r="O1322" s="28" t="s">
        <v>13</v>
      </c>
      <c r="P1322"/>
    </row>
    <row r="1323" spans="1:16" x14ac:dyDescent="0.35">
      <c r="A1323" s="4">
        <v>1320</v>
      </c>
      <c r="B1323" s="17">
        <v>46054.207638888889</v>
      </c>
      <c r="C1323" s="1">
        <v>78982.3</v>
      </c>
      <c r="D1323" s="20">
        <v>78982.31</v>
      </c>
      <c r="E1323" s="20">
        <v>78922.080000000002</v>
      </c>
      <c r="F1323" s="1">
        <v>78922.350000000006</v>
      </c>
      <c r="G1323" s="18">
        <v>135</v>
      </c>
      <c r="I1323" s="21">
        <v>46054.207638888889</v>
      </c>
      <c r="J1323" s="26"/>
      <c r="K1323" s="29"/>
      <c r="L1323" s="27">
        <v>78950.37</v>
      </c>
      <c r="M1323" s="27">
        <v>78790.258459999997</v>
      </c>
      <c r="N1323" s="30" t="s">
        <v>6</v>
      </c>
      <c r="O1323" s="28" t="s">
        <v>13</v>
      </c>
      <c r="P1323"/>
    </row>
    <row r="1324" spans="1:16" x14ac:dyDescent="0.35">
      <c r="A1324" s="4">
        <v>1321</v>
      </c>
      <c r="B1324" s="17">
        <v>46054.208333333336</v>
      </c>
      <c r="C1324" s="1">
        <v>78928.3</v>
      </c>
      <c r="D1324" s="20">
        <v>78958.2</v>
      </c>
      <c r="E1324" s="20">
        <v>78928.3</v>
      </c>
      <c r="F1324" s="1">
        <v>78942.570000000007</v>
      </c>
      <c r="G1324" s="18">
        <v>165</v>
      </c>
      <c r="I1324" s="21">
        <v>46054.208333333336</v>
      </c>
      <c r="J1324" s="26"/>
      <c r="K1324" s="29"/>
      <c r="L1324" s="27">
        <v>78930.375</v>
      </c>
      <c r="M1324" s="27">
        <v>78775.303849999997</v>
      </c>
      <c r="N1324" s="30" t="s">
        <v>6</v>
      </c>
      <c r="O1324" s="28" t="s">
        <v>13</v>
      </c>
      <c r="P1324"/>
    </row>
    <row r="1325" spans="1:16" x14ac:dyDescent="0.35">
      <c r="A1325" s="4">
        <v>1322</v>
      </c>
      <c r="B1325" s="17">
        <v>46054.209027777775</v>
      </c>
      <c r="C1325" s="1">
        <v>78942.570000000007</v>
      </c>
      <c r="D1325" s="20">
        <v>78960.28</v>
      </c>
      <c r="E1325" s="20">
        <v>78867.75</v>
      </c>
      <c r="F1325" s="1">
        <v>78868.86</v>
      </c>
      <c r="G1325" s="18">
        <v>180</v>
      </c>
      <c r="I1325" s="21">
        <v>46054.209027777775</v>
      </c>
      <c r="J1325" s="26"/>
      <c r="K1325" s="29"/>
      <c r="L1325" s="27">
        <v>78910.38</v>
      </c>
      <c r="M1325" s="27">
        <v>78760.349230000007</v>
      </c>
      <c r="N1325" s="30" t="s">
        <v>6</v>
      </c>
      <c r="O1325" s="28" t="s">
        <v>13</v>
      </c>
      <c r="P1325"/>
    </row>
    <row r="1326" spans="1:16" x14ac:dyDescent="0.35">
      <c r="A1326" s="4">
        <v>1323</v>
      </c>
      <c r="B1326" s="17">
        <v>46054.209722222222</v>
      </c>
      <c r="C1326" s="1">
        <v>78869.7</v>
      </c>
      <c r="D1326" s="20">
        <v>78869.7</v>
      </c>
      <c r="E1326" s="20">
        <v>78736.100000000006</v>
      </c>
      <c r="F1326" s="1">
        <v>78736.100000000006</v>
      </c>
      <c r="G1326" s="18">
        <v>244</v>
      </c>
      <c r="I1326" s="21">
        <v>46054.209722222222</v>
      </c>
      <c r="J1326" s="26"/>
      <c r="K1326" s="29"/>
      <c r="L1326" s="27">
        <v>78890.384999999995</v>
      </c>
      <c r="M1326" s="27">
        <v>78745.394620000006</v>
      </c>
      <c r="N1326" s="30" t="s">
        <v>6</v>
      </c>
      <c r="O1326" s="28" t="s">
        <v>13</v>
      </c>
      <c r="P1326"/>
    </row>
    <row r="1327" spans="1:16" x14ac:dyDescent="0.35">
      <c r="A1327" s="4">
        <v>1324</v>
      </c>
      <c r="B1327" s="17">
        <v>46054.210416666669</v>
      </c>
      <c r="C1327" s="1">
        <v>78736.100000000006</v>
      </c>
      <c r="D1327" s="20">
        <v>78781.100000000006</v>
      </c>
      <c r="E1327" s="20">
        <v>78730.44</v>
      </c>
      <c r="F1327" s="1">
        <v>78781.100000000006</v>
      </c>
      <c r="G1327" s="18">
        <v>226</v>
      </c>
      <c r="I1327" s="21">
        <v>46054.210416666669</v>
      </c>
      <c r="J1327" s="26"/>
      <c r="K1327" s="29">
        <v>78730.44</v>
      </c>
      <c r="L1327" s="27">
        <v>78870.39</v>
      </c>
      <c r="M1327" s="27">
        <v>78730.44</v>
      </c>
      <c r="N1327" s="30" t="s">
        <v>6</v>
      </c>
      <c r="O1327" s="28" t="s">
        <v>13</v>
      </c>
      <c r="P1327"/>
    </row>
    <row r="1328" spans="1:16" x14ac:dyDescent="0.35">
      <c r="A1328" s="4">
        <v>1325</v>
      </c>
      <c r="B1328" s="17">
        <v>46054.211111111108</v>
      </c>
      <c r="C1328" s="1">
        <v>78781.02</v>
      </c>
      <c r="D1328" s="20">
        <v>78817.7</v>
      </c>
      <c r="E1328" s="20">
        <v>78757.899999999994</v>
      </c>
      <c r="F1328" s="1">
        <v>78757.899999999994</v>
      </c>
      <c r="G1328" s="18">
        <v>198</v>
      </c>
      <c r="I1328" s="21">
        <v>46054.211111111108</v>
      </c>
      <c r="J1328" s="26"/>
      <c r="K1328" s="29"/>
      <c r="L1328" s="27">
        <v>78850.395000000004</v>
      </c>
      <c r="M1328" s="27">
        <v>78722.534</v>
      </c>
      <c r="N1328" s="30" t="s">
        <v>6</v>
      </c>
      <c r="O1328" s="28" t="s">
        <v>13</v>
      </c>
      <c r="P1328"/>
    </row>
    <row r="1329" spans="1:16" x14ac:dyDescent="0.35">
      <c r="A1329" s="4">
        <v>1326</v>
      </c>
      <c r="B1329" s="17">
        <v>46054.211805555555</v>
      </c>
      <c r="C1329" s="1">
        <v>78757.63</v>
      </c>
      <c r="D1329" s="20">
        <v>78830.399999999994</v>
      </c>
      <c r="E1329" s="20">
        <v>78757.05</v>
      </c>
      <c r="F1329" s="1">
        <v>78830.33</v>
      </c>
      <c r="G1329" s="18">
        <v>172</v>
      </c>
      <c r="I1329" s="21">
        <v>46054.211805555555</v>
      </c>
      <c r="J1329" s="26">
        <v>78830.399999999994</v>
      </c>
      <c r="K1329" s="29"/>
      <c r="L1329" s="27">
        <v>78830.399999999994</v>
      </c>
      <c r="M1329" s="27">
        <v>78714.627999999997</v>
      </c>
      <c r="N1329" s="30" t="s">
        <v>6</v>
      </c>
      <c r="O1329" s="28" t="s">
        <v>13</v>
      </c>
      <c r="P1329"/>
    </row>
    <row r="1330" spans="1:16" x14ac:dyDescent="0.35">
      <c r="A1330" s="4">
        <v>1327</v>
      </c>
      <c r="B1330" s="17">
        <v>46054.212500000001</v>
      </c>
      <c r="C1330" s="1">
        <v>78830.34</v>
      </c>
      <c r="D1330" s="20">
        <v>78830.34</v>
      </c>
      <c r="E1330" s="20">
        <v>78730.45</v>
      </c>
      <c r="F1330" s="1">
        <v>78734.02</v>
      </c>
      <c r="G1330" s="18">
        <v>192</v>
      </c>
      <c r="I1330" s="21">
        <v>46054.212500000001</v>
      </c>
      <c r="J1330" s="26"/>
      <c r="K1330" s="29"/>
      <c r="L1330" s="27">
        <v>78834.216669999994</v>
      </c>
      <c r="M1330" s="27">
        <v>78706.721999999994</v>
      </c>
      <c r="N1330" s="30" t="s">
        <v>7</v>
      </c>
      <c r="O1330" s="28" t="s">
        <v>13</v>
      </c>
      <c r="P1330"/>
    </row>
    <row r="1331" spans="1:16" x14ac:dyDescent="0.35">
      <c r="A1331" s="4">
        <v>1328</v>
      </c>
      <c r="B1331" s="17">
        <v>46054.213194444441</v>
      </c>
      <c r="C1331" s="1">
        <v>78734.53</v>
      </c>
      <c r="D1331" s="20">
        <v>78739.899999999994</v>
      </c>
      <c r="E1331" s="20">
        <v>78714.009999999995</v>
      </c>
      <c r="F1331" s="1">
        <v>78716.61</v>
      </c>
      <c r="G1331" s="18">
        <v>171</v>
      </c>
      <c r="I1331" s="21">
        <v>46054.213194444441</v>
      </c>
      <c r="J1331" s="26"/>
      <c r="K1331" s="29"/>
      <c r="L1331" s="27">
        <v>78838.033330000006</v>
      </c>
      <c r="M1331" s="27">
        <v>78698.816000000006</v>
      </c>
      <c r="N1331" s="30" t="s">
        <v>7</v>
      </c>
      <c r="O1331" s="28" t="s">
        <v>13</v>
      </c>
      <c r="P1331"/>
    </row>
    <row r="1332" spans="1:16" x14ac:dyDescent="0.35">
      <c r="A1332" s="4">
        <v>1329</v>
      </c>
      <c r="B1332" s="17">
        <v>46054.213888888888</v>
      </c>
      <c r="C1332" s="1">
        <v>78716.61</v>
      </c>
      <c r="D1332" s="20">
        <v>78727.67</v>
      </c>
      <c r="E1332" s="20">
        <v>78690.91</v>
      </c>
      <c r="F1332" s="1">
        <v>78717.850000000006</v>
      </c>
      <c r="G1332" s="18">
        <v>167</v>
      </c>
      <c r="I1332" s="21">
        <v>46054.213888888888</v>
      </c>
      <c r="J1332" s="26"/>
      <c r="K1332" s="29">
        <v>78690.91</v>
      </c>
      <c r="L1332" s="27">
        <v>78841.850000000006</v>
      </c>
      <c r="M1332" s="27">
        <v>78690.91</v>
      </c>
      <c r="N1332" s="30" t="s">
        <v>7</v>
      </c>
      <c r="O1332" s="28" t="s">
        <v>13</v>
      </c>
      <c r="P1332"/>
    </row>
    <row r="1333" spans="1:16" x14ac:dyDescent="0.35">
      <c r="A1333" s="4">
        <v>1330</v>
      </c>
      <c r="B1333" s="17">
        <v>46054.214583333334</v>
      </c>
      <c r="C1333" s="1">
        <v>78717.88</v>
      </c>
      <c r="D1333" s="20">
        <v>78718.12</v>
      </c>
      <c r="E1333" s="20">
        <v>78694.61</v>
      </c>
      <c r="F1333" s="1">
        <v>78709.990000000005</v>
      </c>
      <c r="G1333" s="18">
        <v>179</v>
      </c>
      <c r="I1333" s="21">
        <v>46054.214583333334</v>
      </c>
      <c r="J1333" s="26"/>
      <c r="K1333" s="29"/>
      <c r="L1333" s="27">
        <v>78845.666670000006</v>
      </c>
      <c r="M1333" s="27">
        <v>78690.746669999993</v>
      </c>
      <c r="N1333" s="30" t="s">
        <v>7</v>
      </c>
      <c r="O1333" s="28" t="s">
        <v>13</v>
      </c>
      <c r="P1333"/>
    </row>
    <row r="1334" spans="1:16" x14ac:dyDescent="0.35">
      <c r="A1334" s="4">
        <v>1331</v>
      </c>
      <c r="B1334" s="17">
        <v>46054.215277777781</v>
      </c>
      <c r="C1334" s="1">
        <v>78709.84</v>
      </c>
      <c r="D1334" s="20">
        <v>78739.990000000005</v>
      </c>
      <c r="E1334" s="20">
        <v>78709.84</v>
      </c>
      <c r="F1334" s="1">
        <v>78739.850000000006</v>
      </c>
      <c r="G1334" s="18">
        <v>161</v>
      </c>
      <c r="I1334" s="21">
        <v>46054.215277777781</v>
      </c>
      <c r="J1334" s="26"/>
      <c r="K1334" s="29"/>
      <c r="L1334" s="27">
        <v>78849.483330000003</v>
      </c>
      <c r="M1334" s="27">
        <v>78690.583329999994</v>
      </c>
      <c r="N1334" s="30" t="s">
        <v>7</v>
      </c>
      <c r="O1334" s="28" t="s">
        <v>13</v>
      </c>
      <c r="P1334"/>
    </row>
    <row r="1335" spans="1:16" x14ac:dyDescent="0.35">
      <c r="A1335" s="4">
        <v>1332</v>
      </c>
      <c r="B1335" s="17">
        <v>46054.21597222222</v>
      </c>
      <c r="C1335" s="1">
        <v>78743.8</v>
      </c>
      <c r="D1335" s="20">
        <v>78853.3</v>
      </c>
      <c r="E1335" s="20">
        <v>78690.42</v>
      </c>
      <c r="F1335" s="1">
        <v>78711.12</v>
      </c>
      <c r="G1335" s="18">
        <v>199</v>
      </c>
      <c r="I1335" s="21">
        <v>46054.21597222222</v>
      </c>
      <c r="J1335" s="26">
        <v>78853.3</v>
      </c>
      <c r="K1335" s="29">
        <v>78690.42</v>
      </c>
      <c r="L1335" s="27">
        <v>78853.3</v>
      </c>
      <c r="M1335" s="27">
        <v>78690.42</v>
      </c>
      <c r="N1335" s="30" t="s">
        <v>7</v>
      </c>
      <c r="O1335" s="28" t="s">
        <v>13</v>
      </c>
      <c r="P1335"/>
    </row>
    <row r="1336" spans="1:16" x14ac:dyDescent="0.35">
      <c r="A1336" s="4">
        <v>1333</v>
      </c>
      <c r="B1336" s="17">
        <v>46054.216666666667</v>
      </c>
      <c r="C1336" s="1">
        <v>78711.08</v>
      </c>
      <c r="D1336" s="20">
        <v>78735.7</v>
      </c>
      <c r="E1336" s="20">
        <v>78710.820000000007</v>
      </c>
      <c r="F1336" s="1">
        <v>78735.61</v>
      </c>
      <c r="G1336" s="18">
        <v>157</v>
      </c>
      <c r="I1336" s="21">
        <v>46054.216666666667</v>
      </c>
      <c r="J1336" s="26"/>
      <c r="K1336" s="29"/>
      <c r="L1336" s="27">
        <v>78859.574999999997</v>
      </c>
      <c r="M1336" s="27">
        <v>78695.493329999998</v>
      </c>
      <c r="N1336" s="30" t="s">
        <v>7</v>
      </c>
      <c r="O1336" s="28" t="s">
        <v>8</v>
      </c>
      <c r="P1336"/>
    </row>
    <row r="1337" spans="1:16" x14ac:dyDescent="0.35">
      <c r="A1337" s="4">
        <v>1334</v>
      </c>
      <c r="B1337" s="17">
        <v>46054.217361111114</v>
      </c>
      <c r="C1337" s="1">
        <v>78735.61</v>
      </c>
      <c r="D1337" s="20">
        <v>78752.08</v>
      </c>
      <c r="E1337" s="20">
        <v>78726.19</v>
      </c>
      <c r="F1337" s="1">
        <v>78727.53</v>
      </c>
      <c r="G1337" s="18">
        <v>161</v>
      </c>
      <c r="I1337" s="21">
        <v>46054.217361111114</v>
      </c>
      <c r="J1337" s="26"/>
      <c r="K1337" s="29"/>
      <c r="L1337" s="27">
        <v>78865.850000000006</v>
      </c>
      <c r="M1337" s="27">
        <v>78700.56667</v>
      </c>
      <c r="N1337" s="30" t="s">
        <v>7</v>
      </c>
      <c r="O1337" s="28" t="s">
        <v>8</v>
      </c>
      <c r="P1337"/>
    </row>
    <row r="1338" spans="1:16" x14ac:dyDescent="0.35">
      <c r="A1338" s="4">
        <v>1335</v>
      </c>
      <c r="B1338" s="17">
        <v>46054.218055555553</v>
      </c>
      <c r="C1338" s="1">
        <v>78714.34</v>
      </c>
      <c r="D1338" s="20">
        <v>78798.3</v>
      </c>
      <c r="E1338" s="20">
        <v>78705.64</v>
      </c>
      <c r="F1338" s="1">
        <v>78798.3</v>
      </c>
      <c r="G1338" s="18">
        <v>141</v>
      </c>
      <c r="I1338" s="21">
        <v>46054.218055555553</v>
      </c>
      <c r="J1338" s="26"/>
      <c r="K1338" s="29">
        <v>78705.64</v>
      </c>
      <c r="L1338" s="27">
        <v>78872.125</v>
      </c>
      <c r="M1338" s="27">
        <v>78705.64</v>
      </c>
      <c r="N1338" s="30" t="s">
        <v>7</v>
      </c>
      <c r="O1338" s="28" t="s">
        <v>8</v>
      </c>
      <c r="P1338"/>
    </row>
    <row r="1339" spans="1:16" x14ac:dyDescent="0.35">
      <c r="A1339" s="4">
        <v>1336</v>
      </c>
      <c r="B1339" s="17">
        <v>46054.21875</v>
      </c>
      <c r="C1339" s="1">
        <v>78798.3</v>
      </c>
      <c r="D1339" s="20">
        <v>78878.399999999994</v>
      </c>
      <c r="E1339" s="20">
        <v>78783.19</v>
      </c>
      <c r="F1339" s="1">
        <v>78807.62</v>
      </c>
      <c r="G1339" s="18">
        <v>140</v>
      </c>
      <c r="I1339" s="21">
        <v>46054.21875</v>
      </c>
      <c r="J1339" s="26">
        <v>78878.399999999994</v>
      </c>
      <c r="K1339" s="29"/>
      <c r="L1339" s="27">
        <v>78878.399999999994</v>
      </c>
      <c r="M1339" s="27">
        <v>78719.27</v>
      </c>
      <c r="N1339" s="30" t="s">
        <v>7</v>
      </c>
      <c r="O1339" s="28" t="s">
        <v>8</v>
      </c>
      <c r="P1339"/>
    </row>
    <row r="1340" spans="1:16" x14ac:dyDescent="0.35">
      <c r="A1340" s="4">
        <v>1337</v>
      </c>
      <c r="B1340" s="17">
        <v>46054.219444444447</v>
      </c>
      <c r="C1340" s="1">
        <v>78819</v>
      </c>
      <c r="D1340" s="20">
        <v>78819.23</v>
      </c>
      <c r="E1340" s="20">
        <v>78746.600000000006</v>
      </c>
      <c r="F1340" s="1">
        <v>78746.600000000006</v>
      </c>
      <c r="G1340" s="18">
        <v>146</v>
      </c>
      <c r="I1340" s="21">
        <v>46054.219444444447</v>
      </c>
      <c r="J1340" s="26"/>
      <c r="K1340" s="29"/>
      <c r="L1340" s="27">
        <v>78882.632140000002</v>
      </c>
      <c r="M1340" s="27">
        <v>78732.899999999994</v>
      </c>
      <c r="N1340" s="30" t="s">
        <v>7</v>
      </c>
      <c r="O1340" s="28" t="s">
        <v>8</v>
      </c>
      <c r="P1340"/>
    </row>
    <row r="1341" spans="1:16" x14ac:dyDescent="0.35">
      <c r="A1341" s="4">
        <v>1338</v>
      </c>
      <c r="B1341" s="17">
        <v>46054.220138888886</v>
      </c>
      <c r="C1341" s="1">
        <v>78746.600000000006</v>
      </c>
      <c r="D1341" s="20">
        <v>78761.64</v>
      </c>
      <c r="E1341" s="20">
        <v>78746.53</v>
      </c>
      <c r="F1341" s="1">
        <v>78748.55</v>
      </c>
      <c r="G1341" s="18">
        <v>109</v>
      </c>
      <c r="I1341" s="21">
        <v>46054.220138888886</v>
      </c>
      <c r="J1341" s="26"/>
      <c r="K1341" s="29">
        <v>78746.53</v>
      </c>
      <c r="L1341" s="27">
        <v>78886.864289999998</v>
      </c>
      <c r="M1341" s="27">
        <v>78746.53</v>
      </c>
      <c r="N1341" s="30" t="s">
        <v>7</v>
      </c>
      <c r="O1341" s="28" t="s">
        <v>8</v>
      </c>
      <c r="P1341"/>
    </row>
    <row r="1342" spans="1:16" x14ac:dyDescent="0.35">
      <c r="A1342" s="4">
        <v>1339</v>
      </c>
      <c r="B1342" s="17">
        <v>46054.220833333333</v>
      </c>
      <c r="C1342" s="1">
        <v>78748.56</v>
      </c>
      <c r="D1342" s="20">
        <v>78758.73</v>
      </c>
      <c r="E1342" s="20">
        <v>78748.52</v>
      </c>
      <c r="F1342" s="1">
        <v>78748.820000000007</v>
      </c>
      <c r="G1342" s="18">
        <v>158</v>
      </c>
      <c r="I1342" s="21">
        <v>46054.220833333333</v>
      </c>
      <c r="J1342" s="26"/>
      <c r="K1342" s="29"/>
      <c r="L1342" s="27">
        <v>78891.096430000005</v>
      </c>
      <c r="M1342" s="27">
        <v>78729.287500000006</v>
      </c>
      <c r="N1342" s="30" t="s">
        <v>7</v>
      </c>
      <c r="O1342" s="28" t="s">
        <v>13</v>
      </c>
      <c r="P1342"/>
    </row>
    <row r="1343" spans="1:16" x14ac:dyDescent="0.35">
      <c r="A1343" s="4">
        <v>1340</v>
      </c>
      <c r="B1343" s="17">
        <v>46054.22152777778</v>
      </c>
      <c r="C1343" s="1">
        <v>78748.820000000007</v>
      </c>
      <c r="D1343" s="20">
        <v>78755.320000000007</v>
      </c>
      <c r="E1343" s="20">
        <v>78746.600000000006</v>
      </c>
      <c r="F1343" s="1">
        <v>78749.350000000006</v>
      </c>
      <c r="G1343" s="18">
        <v>141</v>
      </c>
      <c r="I1343" s="21">
        <v>46054.22152777778</v>
      </c>
      <c r="J1343" s="26"/>
      <c r="K1343" s="29"/>
      <c r="L1343" s="27">
        <v>78895.328569999998</v>
      </c>
      <c r="M1343" s="27">
        <v>78712.044999999998</v>
      </c>
      <c r="N1343" s="30" t="s">
        <v>7</v>
      </c>
      <c r="O1343" s="28" t="s">
        <v>13</v>
      </c>
      <c r="P1343"/>
    </row>
    <row r="1344" spans="1:16" x14ac:dyDescent="0.35">
      <c r="A1344" s="4">
        <v>1341</v>
      </c>
      <c r="B1344" s="17">
        <v>46054.222222222219</v>
      </c>
      <c r="C1344" s="1">
        <v>78749.34</v>
      </c>
      <c r="D1344" s="20">
        <v>78751.03</v>
      </c>
      <c r="E1344" s="20">
        <v>78686.600000000006</v>
      </c>
      <c r="F1344" s="1">
        <v>78688.97</v>
      </c>
      <c r="G1344" s="18">
        <v>97</v>
      </c>
      <c r="I1344" s="21">
        <v>46054.222222222219</v>
      </c>
      <c r="J1344" s="26"/>
      <c r="K1344" s="29"/>
      <c r="L1344" s="27">
        <v>78899.560710000005</v>
      </c>
      <c r="M1344" s="27">
        <v>78694.802500000005</v>
      </c>
      <c r="N1344" s="30" t="s">
        <v>7</v>
      </c>
      <c r="O1344" s="28" t="s">
        <v>13</v>
      </c>
      <c r="P1344"/>
    </row>
    <row r="1345" spans="1:16" x14ac:dyDescent="0.35">
      <c r="A1345" s="4">
        <v>1342</v>
      </c>
      <c r="B1345" s="17">
        <v>46054.222916666666</v>
      </c>
      <c r="C1345" s="1">
        <v>78689.02</v>
      </c>
      <c r="D1345" s="20">
        <v>78724.42</v>
      </c>
      <c r="E1345" s="20">
        <v>78677.56</v>
      </c>
      <c r="F1345" s="1">
        <v>78688.72</v>
      </c>
      <c r="G1345" s="18">
        <v>155</v>
      </c>
      <c r="I1345" s="21">
        <v>46054.222916666666</v>
      </c>
      <c r="J1345" s="26"/>
      <c r="K1345" s="29">
        <v>78677.56</v>
      </c>
      <c r="L1345" s="27">
        <v>78903.792860000001</v>
      </c>
      <c r="M1345" s="27">
        <v>78677.56</v>
      </c>
      <c r="N1345" s="30" t="s">
        <v>7</v>
      </c>
      <c r="O1345" s="28" t="s">
        <v>13</v>
      </c>
      <c r="P1345"/>
    </row>
    <row r="1346" spans="1:16" x14ac:dyDescent="0.35">
      <c r="A1346" s="4">
        <v>1343</v>
      </c>
      <c r="B1346" s="17">
        <v>46054.223611111112</v>
      </c>
      <c r="C1346" s="1">
        <v>78688.710000000006</v>
      </c>
      <c r="D1346" s="20">
        <v>78722.34</v>
      </c>
      <c r="E1346" s="20">
        <v>78688.710000000006</v>
      </c>
      <c r="F1346" s="1">
        <v>78720.820000000007</v>
      </c>
      <c r="G1346" s="18">
        <v>204</v>
      </c>
      <c r="I1346" s="21">
        <v>46054.223611111112</v>
      </c>
      <c r="J1346" s="26"/>
      <c r="K1346" s="29"/>
      <c r="L1346" s="27">
        <v>78908.024999999994</v>
      </c>
      <c r="M1346" s="27">
        <v>78703.482000000004</v>
      </c>
      <c r="N1346" s="30" t="s">
        <v>7</v>
      </c>
      <c r="O1346" s="28" t="s">
        <v>8</v>
      </c>
      <c r="P1346"/>
    </row>
    <row r="1347" spans="1:16" x14ac:dyDescent="0.35">
      <c r="A1347" s="4">
        <v>1344</v>
      </c>
      <c r="B1347" s="17">
        <v>46054.224305555559</v>
      </c>
      <c r="C1347" s="1">
        <v>78720.83</v>
      </c>
      <c r="D1347" s="20">
        <v>78829.39</v>
      </c>
      <c r="E1347" s="20">
        <v>78720.83</v>
      </c>
      <c r="F1347" s="1">
        <v>78829.39</v>
      </c>
      <c r="G1347" s="18">
        <v>175</v>
      </c>
      <c r="I1347" s="21">
        <v>46054.224305555559</v>
      </c>
      <c r="J1347" s="26"/>
      <c r="K1347" s="29"/>
      <c r="L1347" s="27">
        <v>78912.257140000002</v>
      </c>
      <c r="M1347" s="27">
        <v>78729.403999999995</v>
      </c>
      <c r="N1347" s="30" t="s">
        <v>7</v>
      </c>
      <c r="O1347" s="28" t="s">
        <v>8</v>
      </c>
      <c r="P1347"/>
    </row>
    <row r="1348" spans="1:16" x14ac:dyDescent="0.35">
      <c r="A1348" s="4">
        <v>1345</v>
      </c>
      <c r="B1348" s="17">
        <v>46054.224999999999</v>
      </c>
      <c r="C1348" s="1">
        <v>78829.42</v>
      </c>
      <c r="D1348" s="20">
        <v>78864.7</v>
      </c>
      <c r="E1348" s="20">
        <v>78829.09</v>
      </c>
      <c r="F1348" s="1">
        <v>78852.83</v>
      </c>
      <c r="G1348" s="18">
        <v>172</v>
      </c>
      <c r="I1348" s="21">
        <v>46054.224999999999</v>
      </c>
      <c r="J1348" s="26"/>
      <c r="K1348" s="29"/>
      <c r="L1348" s="27">
        <v>78916.489289999998</v>
      </c>
      <c r="M1348" s="27">
        <v>78755.326000000001</v>
      </c>
      <c r="N1348" s="30" t="s">
        <v>7</v>
      </c>
      <c r="O1348" s="28" t="s">
        <v>8</v>
      </c>
      <c r="P1348"/>
    </row>
    <row r="1349" spans="1:16" x14ac:dyDescent="0.35">
      <c r="A1349" s="4">
        <v>1346</v>
      </c>
      <c r="B1349" s="17">
        <v>46054.225694444445</v>
      </c>
      <c r="C1349" s="1">
        <v>78852.83</v>
      </c>
      <c r="D1349" s="20">
        <v>78870.399999999994</v>
      </c>
      <c r="E1349" s="20">
        <v>78808.56</v>
      </c>
      <c r="F1349" s="1">
        <v>78808.59</v>
      </c>
      <c r="G1349" s="18">
        <v>149</v>
      </c>
      <c r="I1349" s="21">
        <v>46054.225694444445</v>
      </c>
      <c r="J1349" s="26"/>
      <c r="K1349" s="29"/>
      <c r="L1349" s="27">
        <v>78920.721430000005</v>
      </c>
      <c r="M1349" s="27">
        <v>78781.248000000007</v>
      </c>
      <c r="N1349" s="30" t="s">
        <v>7</v>
      </c>
      <c r="O1349" s="28" t="s">
        <v>8</v>
      </c>
      <c r="P1349"/>
    </row>
    <row r="1350" spans="1:16" x14ac:dyDescent="0.35">
      <c r="A1350" s="4">
        <v>1347</v>
      </c>
      <c r="B1350" s="17">
        <v>46054.226388888892</v>
      </c>
      <c r="C1350" s="1">
        <v>78808.37</v>
      </c>
      <c r="D1350" s="20">
        <v>78878.31</v>
      </c>
      <c r="E1350" s="20">
        <v>78807.17</v>
      </c>
      <c r="F1350" s="1">
        <v>78878.3</v>
      </c>
      <c r="G1350" s="18">
        <v>118</v>
      </c>
      <c r="I1350" s="21">
        <v>46054.226388888892</v>
      </c>
      <c r="J1350" s="26"/>
      <c r="K1350" s="29">
        <v>78807.17</v>
      </c>
      <c r="L1350" s="27">
        <v>78924.953569999998</v>
      </c>
      <c r="M1350" s="27">
        <v>78807.17</v>
      </c>
      <c r="N1350" s="30" t="s">
        <v>7</v>
      </c>
      <c r="O1350" s="28" t="s">
        <v>8</v>
      </c>
      <c r="P1350"/>
    </row>
    <row r="1351" spans="1:16" x14ac:dyDescent="0.35">
      <c r="A1351" s="4">
        <v>1348</v>
      </c>
      <c r="B1351" s="17">
        <v>46054.227083333331</v>
      </c>
      <c r="C1351" s="1">
        <v>78878.3</v>
      </c>
      <c r="D1351" s="20">
        <v>78908.5</v>
      </c>
      <c r="E1351" s="20">
        <v>78878.3</v>
      </c>
      <c r="F1351" s="1">
        <v>78901.3</v>
      </c>
      <c r="G1351" s="18">
        <v>72</v>
      </c>
      <c r="I1351" s="21">
        <v>46054.227083333331</v>
      </c>
      <c r="J1351" s="26"/>
      <c r="K1351" s="29"/>
      <c r="L1351" s="27">
        <v>78929.185710000005</v>
      </c>
      <c r="M1351" s="27">
        <v>78804.991670000003</v>
      </c>
      <c r="N1351" s="30" t="s">
        <v>7</v>
      </c>
      <c r="O1351" s="28" t="s">
        <v>13</v>
      </c>
      <c r="P1351"/>
    </row>
    <row r="1352" spans="1:16" x14ac:dyDescent="0.35">
      <c r="A1352" s="4">
        <v>1349</v>
      </c>
      <c r="B1352" s="17">
        <v>46054.227777777778</v>
      </c>
      <c r="C1352" s="1">
        <v>78901.3</v>
      </c>
      <c r="D1352" s="20">
        <v>78928.63</v>
      </c>
      <c r="E1352" s="20">
        <v>78886.11</v>
      </c>
      <c r="F1352" s="1">
        <v>78921.55</v>
      </c>
      <c r="G1352" s="18">
        <v>100</v>
      </c>
      <c r="I1352" s="21">
        <v>46054.227777777778</v>
      </c>
      <c r="J1352" s="26"/>
      <c r="K1352" s="29"/>
      <c r="L1352" s="27">
        <v>78933.417860000001</v>
      </c>
      <c r="M1352" s="27">
        <v>78802.813330000004</v>
      </c>
      <c r="N1352" s="30" t="s">
        <v>7</v>
      </c>
      <c r="O1352" s="28" t="s">
        <v>13</v>
      </c>
      <c r="P1352"/>
    </row>
    <row r="1353" spans="1:16" x14ac:dyDescent="0.35">
      <c r="A1353" s="4">
        <v>1350</v>
      </c>
      <c r="B1353" s="17">
        <v>46054.228472222225</v>
      </c>
      <c r="C1353" s="1">
        <v>78921.539999999994</v>
      </c>
      <c r="D1353" s="20">
        <v>78937.649999999994</v>
      </c>
      <c r="E1353" s="20">
        <v>78889.36</v>
      </c>
      <c r="F1353" s="1">
        <v>78895.600000000006</v>
      </c>
      <c r="G1353" s="18">
        <v>140</v>
      </c>
      <c r="I1353" s="21">
        <v>46054.228472222225</v>
      </c>
      <c r="J1353" s="26">
        <v>78937.649999999994</v>
      </c>
      <c r="K1353" s="29"/>
      <c r="L1353" s="27">
        <v>78937.649999999994</v>
      </c>
      <c r="M1353" s="27">
        <v>78800.634999999995</v>
      </c>
      <c r="N1353" s="30" t="s">
        <v>7</v>
      </c>
      <c r="O1353" s="28" t="s">
        <v>13</v>
      </c>
      <c r="P1353"/>
    </row>
    <row r="1354" spans="1:16" x14ac:dyDescent="0.35">
      <c r="A1354" s="4">
        <v>1351</v>
      </c>
      <c r="B1354" s="17">
        <v>46054.229166666664</v>
      </c>
      <c r="C1354" s="1">
        <v>78895.59</v>
      </c>
      <c r="D1354" s="20">
        <v>78900.600000000006</v>
      </c>
      <c r="E1354" s="20">
        <v>78861.08</v>
      </c>
      <c r="F1354" s="1">
        <v>78862.3</v>
      </c>
      <c r="G1354" s="18">
        <v>97</v>
      </c>
      <c r="I1354" s="21">
        <v>46054.229166666664</v>
      </c>
      <c r="J1354" s="26"/>
      <c r="K1354" s="29"/>
      <c r="L1354" s="27">
        <v>78922.976089999996</v>
      </c>
      <c r="M1354" s="27">
        <v>78798.45667</v>
      </c>
      <c r="N1354" s="30" t="s">
        <v>6</v>
      </c>
      <c r="O1354" s="28" t="s">
        <v>13</v>
      </c>
      <c r="P1354"/>
    </row>
    <row r="1355" spans="1:16" x14ac:dyDescent="0.35">
      <c r="A1355" s="4">
        <v>1352</v>
      </c>
      <c r="B1355" s="17">
        <v>46054.229861111111</v>
      </c>
      <c r="C1355" s="1">
        <v>78862.3</v>
      </c>
      <c r="D1355" s="20">
        <v>78868.84</v>
      </c>
      <c r="E1355" s="20">
        <v>78845.11</v>
      </c>
      <c r="F1355" s="1">
        <v>78846.5</v>
      </c>
      <c r="G1355" s="18">
        <v>48</v>
      </c>
      <c r="I1355" s="21">
        <v>46054.229861111111</v>
      </c>
      <c r="J1355" s="26"/>
      <c r="K1355" s="29"/>
      <c r="L1355" s="27">
        <v>78908.302169999995</v>
      </c>
      <c r="M1355" s="27">
        <v>78796.278330000001</v>
      </c>
      <c r="N1355" s="30" t="s">
        <v>6</v>
      </c>
      <c r="O1355" s="28" t="s">
        <v>13</v>
      </c>
      <c r="P1355"/>
    </row>
    <row r="1356" spans="1:16" x14ac:dyDescent="0.35">
      <c r="A1356" s="4">
        <v>1353</v>
      </c>
      <c r="B1356" s="17">
        <v>46054.230555555558</v>
      </c>
      <c r="C1356" s="1">
        <v>78837.009999999995</v>
      </c>
      <c r="D1356" s="20">
        <v>78837.210000000006</v>
      </c>
      <c r="E1356" s="20">
        <v>78794.100000000006</v>
      </c>
      <c r="F1356" s="1">
        <v>78794.2</v>
      </c>
      <c r="G1356" s="18">
        <v>72</v>
      </c>
      <c r="I1356" s="21">
        <v>46054.230555555558</v>
      </c>
      <c r="J1356" s="26"/>
      <c r="K1356" s="29">
        <v>78794.100000000006</v>
      </c>
      <c r="L1356" s="27">
        <v>78893.628259999998</v>
      </c>
      <c r="M1356" s="27">
        <v>78794.100000000006</v>
      </c>
      <c r="N1356" s="30" t="s">
        <v>6</v>
      </c>
      <c r="O1356" s="28" t="s">
        <v>13</v>
      </c>
      <c r="P1356"/>
    </row>
    <row r="1357" spans="1:16" x14ac:dyDescent="0.35">
      <c r="A1357" s="4">
        <v>1354</v>
      </c>
      <c r="B1357" s="17">
        <v>46054.231249999997</v>
      </c>
      <c r="C1357" s="1">
        <v>78794.2</v>
      </c>
      <c r="D1357" s="20">
        <v>78828.91</v>
      </c>
      <c r="E1357" s="20">
        <v>78794.2</v>
      </c>
      <c r="F1357" s="1">
        <v>78801.53</v>
      </c>
      <c r="G1357" s="18">
        <v>105</v>
      </c>
      <c r="I1357" s="21">
        <v>46054.231249999997</v>
      </c>
      <c r="J1357" s="26"/>
      <c r="K1357" s="29"/>
      <c r="L1357" s="27">
        <v>78878.95435</v>
      </c>
      <c r="M1357" s="27">
        <v>78769.66</v>
      </c>
      <c r="N1357" s="30" t="s">
        <v>6</v>
      </c>
      <c r="O1357" s="28" t="s">
        <v>13</v>
      </c>
      <c r="P1357"/>
    </row>
    <row r="1358" spans="1:16" x14ac:dyDescent="0.35">
      <c r="A1358" s="4">
        <v>1355</v>
      </c>
      <c r="B1358" s="17">
        <v>46054.231944444444</v>
      </c>
      <c r="C1358" s="1">
        <v>78801.53</v>
      </c>
      <c r="D1358" s="20">
        <v>78825.3</v>
      </c>
      <c r="E1358" s="20">
        <v>78801.53</v>
      </c>
      <c r="F1358" s="1">
        <v>78805.53</v>
      </c>
      <c r="G1358" s="18">
        <v>121</v>
      </c>
      <c r="I1358" s="21">
        <v>46054.231944444444</v>
      </c>
      <c r="J1358" s="26"/>
      <c r="K1358" s="29"/>
      <c r="L1358" s="27">
        <v>78864.280429999999</v>
      </c>
      <c r="M1358" s="27">
        <v>78745.22</v>
      </c>
      <c r="N1358" s="30" t="s">
        <v>6</v>
      </c>
      <c r="O1358" s="28" t="s">
        <v>13</v>
      </c>
      <c r="P1358"/>
    </row>
    <row r="1359" spans="1:16" x14ac:dyDescent="0.35">
      <c r="A1359" s="4">
        <v>1356</v>
      </c>
      <c r="B1359" s="17">
        <v>46054.232638888891</v>
      </c>
      <c r="C1359" s="1">
        <v>78805.53</v>
      </c>
      <c r="D1359" s="20">
        <v>78828</v>
      </c>
      <c r="E1359" s="20">
        <v>78789.37</v>
      </c>
      <c r="F1359" s="1">
        <v>78790.5</v>
      </c>
      <c r="G1359" s="18">
        <v>116</v>
      </c>
      <c r="I1359" s="21">
        <v>46054.232638888891</v>
      </c>
      <c r="J1359" s="26"/>
      <c r="K1359" s="29"/>
      <c r="L1359" s="27">
        <v>78849.606520000001</v>
      </c>
      <c r="M1359" s="27">
        <v>78720.78</v>
      </c>
      <c r="N1359" s="30" t="s">
        <v>6</v>
      </c>
      <c r="O1359" s="28" t="s">
        <v>13</v>
      </c>
      <c r="P1359"/>
    </row>
    <row r="1360" spans="1:16" x14ac:dyDescent="0.35">
      <c r="A1360" s="4">
        <v>1357</v>
      </c>
      <c r="B1360" s="17">
        <v>46054.23333333333</v>
      </c>
      <c r="C1360" s="1">
        <v>78790.5</v>
      </c>
      <c r="D1360" s="20">
        <v>78791.7</v>
      </c>
      <c r="E1360" s="20">
        <v>78721.039999999994</v>
      </c>
      <c r="F1360" s="1">
        <v>78722</v>
      </c>
      <c r="G1360" s="18">
        <v>126</v>
      </c>
      <c r="I1360" s="21">
        <v>46054.23333333333</v>
      </c>
      <c r="J1360" s="26"/>
      <c r="K1360" s="29"/>
      <c r="L1360" s="27">
        <v>78834.932610000003</v>
      </c>
      <c r="M1360" s="27">
        <v>78696.34</v>
      </c>
      <c r="N1360" s="30" t="s">
        <v>6</v>
      </c>
      <c r="O1360" s="28" t="s">
        <v>13</v>
      </c>
      <c r="P1360"/>
    </row>
    <row r="1361" spans="1:16" x14ac:dyDescent="0.35">
      <c r="A1361" s="4">
        <v>1358</v>
      </c>
      <c r="B1361" s="17">
        <v>46054.234027777777</v>
      </c>
      <c r="C1361" s="1">
        <v>78722</v>
      </c>
      <c r="D1361" s="20">
        <v>78744.100000000006</v>
      </c>
      <c r="E1361" s="20">
        <v>78710.509999999995</v>
      </c>
      <c r="F1361" s="1">
        <v>78711.600000000006</v>
      </c>
      <c r="G1361" s="18">
        <v>99</v>
      </c>
      <c r="I1361" s="21">
        <v>46054.234027777777</v>
      </c>
      <c r="J1361" s="26"/>
      <c r="K1361" s="29"/>
      <c r="L1361" s="27">
        <v>78820.258700000006</v>
      </c>
      <c r="M1361" s="27">
        <v>78671.899999999994</v>
      </c>
      <c r="N1361" s="30" t="s">
        <v>6</v>
      </c>
      <c r="O1361" s="28" t="s">
        <v>13</v>
      </c>
      <c r="P1361"/>
    </row>
    <row r="1362" spans="1:16" x14ac:dyDescent="0.35">
      <c r="A1362" s="4">
        <v>1359</v>
      </c>
      <c r="B1362" s="17">
        <v>46054.234722222223</v>
      </c>
      <c r="C1362" s="1">
        <v>78711.600000000006</v>
      </c>
      <c r="D1362" s="20">
        <v>78721.3</v>
      </c>
      <c r="E1362" s="20">
        <v>78700.55</v>
      </c>
      <c r="F1362" s="1">
        <v>78701.5</v>
      </c>
      <c r="G1362" s="18">
        <v>88</v>
      </c>
      <c r="I1362" s="21">
        <v>46054.234722222223</v>
      </c>
      <c r="J1362" s="26"/>
      <c r="K1362" s="29"/>
      <c r="L1362" s="27">
        <v>78805.584780000005</v>
      </c>
      <c r="M1362" s="27">
        <v>78647.460000000006</v>
      </c>
      <c r="N1362" s="30" t="s">
        <v>6</v>
      </c>
      <c r="O1362" s="28" t="s">
        <v>13</v>
      </c>
      <c r="P1362"/>
    </row>
    <row r="1363" spans="1:16" x14ac:dyDescent="0.35">
      <c r="A1363" s="4">
        <v>1360</v>
      </c>
      <c r="B1363" s="17">
        <v>46054.23541666667</v>
      </c>
      <c r="C1363" s="1">
        <v>78688</v>
      </c>
      <c r="D1363" s="20">
        <v>78692.539999999994</v>
      </c>
      <c r="E1363" s="20">
        <v>78660.479999999996</v>
      </c>
      <c r="F1363" s="1">
        <v>78662.039999999994</v>
      </c>
      <c r="G1363" s="18">
        <v>105</v>
      </c>
      <c r="I1363" s="21">
        <v>46054.23541666667</v>
      </c>
      <c r="J1363" s="26"/>
      <c r="K1363" s="29"/>
      <c r="L1363" s="27">
        <v>78790.910870000007</v>
      </c>
      <c r="M1363" s="27">
        <v>78623.02</v>
      </c>
      <c r="N1363" s="30" t="s">
        <v>6</v>
      </c>
      <c r="O1363" s="28" t="s">
        <v>13</v>
      </c>
      <c r="P1363"/>
    </row>
    <row r="1364" spans="1:16" x14ac:dyDescent="0.35">
      <c r="A1364" s="4">
        <v>1361</v>
      </c>
      <c r="B1364" s="17">
        <v>46054.236111111109</v>
      </c>
      <c r="C1364" s="1">
        <v>78662.05</v>
      </c>
      <c r="D1364" s="20">
        <v>78679.72</v>
      </c>
      <c r="E1364" s="20">
        <v>78662.05</v>
      </c>
      <c r="F1364" s="1">
        <v>78673.210000000006</v>
      </c>
      <c r="G1364" s="18">
        <v>87</v>
      </c>
      <c r="I1364" s="21">
        <v>46054.236111111109</v>
      </c>
      <c r="J1364" s="26"/>
      <c r="K1364" s="29"/>
      <c r="L1364" s="27">
        <v>78776.236959999995</v>
      </c>
      <c r="M1364" s="27">
        <v>78598.58</v>
      </c>
      <c r="N1364" s="30" t="s">
        <v>6</v>
      </c>
      <c r="O1364" s="28" t="s">
        <v>13</v>
      </c>
      <c r="P1364"/>
    </row>
    <row r="1365" spans="1:16" x14ac:dyDescent="0.35">
      <c r="A1365" s="4">
        <v>1362</v>
      </c>
      <c r="B1365" s="17">
        <v>46054.236805555556</v>
      </c>
      <c r="C1365" s="1">
        <v>78673.210000000006</v>
      </c>
      <c r="D1365" s="20">
        <v>78675.199999999997</v>
      </c>
      <c r="E1365" s="20">
        <v>78653.02</v>
      </c>
      <c r="F1365" s="1">
        <v>78653.100000000006</v>
      </c>
      <c r="G1365" s="18">
        <v>131</v>
      </c>
      <c r="I1365" s="21">
        <v>46054.236805555556</v>
      </c>
      <c r="J1365" s="26"/>
      <c r="K1365" s="29"/>
      <c r="L1365" s="27">
        <v>78761.563039999994</v>
      </c>
      <c r="M1365" s="27">
        <v>78574.14</v>
      </c>
      <c r="N1365" s="30" t="s">
        <v>6</v>
      </c>
      <c r="O1365" s="28" t="s">
        <v>13</v>
      </c>
      <c r="P1365"/>
    </row>
    <row r="1366" spans="1:16" x14ac:dyDescent="0.35">
      <c r="A1366" s="4">
        <v>1363</v>
      </c>
      <c r="B1366" s="17">
        <v>46054.237500000003</v>
      </c>
      <c r="C1366" s="1">
        <v>78646.81</v>
      </c>
      <c r="D1366" s="20">
        <v>78653.350000000006</v>
      </c>
      <c r="E1366" s="20">
        <v>78646.5</v>
      </c>
      <c r="F1366" s="1">
        <v>78646.5</v>
      </c>
      <c r="G1366" s="18">
        <v>120</v>
      </c>
      <c r="I1366" s="21">
        <v>46054.237500000003</v>
      </c>
      <c r="J1366" s="26"/>
      <c r="K1366" s="29"/>
      <c r="L1366" s="27">
        <v>78746.889129999996</v>
      </c>
      <c r="M1366" s="27">
        <v>78549.7</v>
      </c>
      <c r="N1366" s="30" t="s">
        <v>6</v>
      </c>
      <c r="O1366" s="28" t="s">
        <v>13</v>
      </c>
      <c r="P1366"/>
    </row>
    <row r="1367" spans="1:16" x14ac:dyDescent="0.35">
      <c r="A1367" s="4">
        <v>1364</v>
      </c>
      <c r="B1367" s="17">
        <v>46054.238194444442</v>
      </c>
      <c r="C1367" s="1">
        <v>78646.5</v>
      </c>
      <c r="D1367" s="20">
        <v>78650.399999999994</v>
      </c>
      <c r="E1367" s="20">
        <v>78591</v>
      </c>
      <c r="F1367" s="1">
        <v>78620.36</v>
      </c>
      <c r="G1367" s="18">
        <v>116</v>
      </c>
      <c r="I1367" s="21">
        <v>46054.238194444442</v>
      </c>
      <c r="J1367" s="26"/>
      <c r="K1367" s="29"/>
      <c r="L1367" s="27">
        <v>78732.215219999998</v>
      </c>
      <c r="M1367" s="27">
        <v>78525.259999999995</v>
      </c>
      <c r="N1367" s="30" t="s">
        <v>6</v>
      </c>
      <c r="O1367" s="28" t="s">
        <v>13</v>
      </c>
      <c r="P1367"/>
    </row>
    <row r="1368" spans="1:16" x14ac:dyDescent="0.35">
      <c r="A1368" s="4">
        <v>1365</v>
      </c>
      <c r="B1368" s="17">
        <v>46054.238888888889</v>
      </c>
      <c r="C1368" s="1">
        <v>78620.320000000007</v>
      </c>
      <c r="D1368" s="20">
        <v>78628.960000000006</v>
      </c>
      <c r="E1368" s="20">
        <v>78500.820000000007</v>
      </c>
      <c r="F1368" s="1">
        <v>78532.94</v>
      </c>
      <c r="G1368" s="18">
        <v>217</v>
      </c>
      <c r="I1368" s="21">
        <v>46054.238888888889</v>
      </c>
      <c r="J1368" s="26"/>
      <c r="K1368" s="29">
        <v>78500.820000000007</v>
      </c>
      <c r="L1368" s="27">
        <v>78717.541299999997</v>
      </c>
      <c r="M1368" s="27">
        <v>78500.820000000007</v>
      </c>
      <c r="N1368" s="30" t="s">
        <v>6</v>
      </c>
      <c r="O1368" s="28" t="s">
        <v>13</v>
      </c>
      <c r="P1368"/>
    </row>
    <row r="1369" spans="1:16" x14ac:dyDescent="0.35">
      <c r="A1369" s="4">
        <v>1366</v>
      </c>
      <c r="B1369" s="17">
        <v>46054.239583333336</v>
      </c>
      <c r="C1369" s="1">
        <v>78541.5</v>
      </c>
      <c r="D1369" s="20">
        <v>78597.16</v>
      </c>
      <c r="E1369" s="20">
        <v>78541.5</v>
      </c>
      <c r="F1369" s="1">
        <v>78555.73</v>
      </c>
      <c r="G1369" s="18">
        <v>193</v>
      </c>
      <c r="I1369" s="21">
        <v>46054.239583333336</v>
      </c>
      <c r="J1369" s="26"/>
      <c r="K1369" s="29"/>
      <c r="L1369" s="27">
        <v>78702.867389999999</v>
      </c>
      <c r="M1369" s="27">
        <v>78497.571670000005</v>
      </c>
      <c r="N1369" s="30" t="s">
        <v>6</v>
      </c>
      <c r="O1369" s="28" t="s">
        <v>13</v>
      </c>
      <c r="P1369"/>
    </row>
    <row r="1370" spans="1:16" x14ac:dyDescent="0.35">
      <c r="A1370" s="4">
        <v>1367</v>
      </c>
      <c r="B1370" s="17">
        <v>46054.240277777775</v>
      </c>
      <c r="C1370" s="1">
        <v>78555.210000000006</v>
      </c>
      <c r="D1370" s="20">
        <v>78591.37</v>
      </c>
      <c r="E1370" s="20">
        <v>78551.210000000006</v>
      </c>
      <c r="F1370" s="1">
        <v>78591.37</v>
      </c>
      <c r="G1370" s="18">
        <v>166</v>
      </c>
      <c r="I1370" s="21">
        <v>46054.240277777775</v>
      </c>
      <c r="J1370" s="26"/>
      <c r="K1370" s="29"/>
      <c r="L1370" s="27">
        <v>78688.193480000002</v>
      </c>
      <c r="M1370" s="27">
        <v>78494.323329999999</v>
      </c>
      <c r="N1370" s="30" t="s">
        <v>6</v>
      </c>
      <c r="O1370" s="28" t="s">
        <v>13</v>
      </c>
      <c r="P1370"/>
    </row>
    <row r="1371" spans="1:16" x14ac:dyDescent="0.35">
      <c r="A1371" s="4">
        <v>1368</v>
      </c>
      <c r="B1371" s="17">
        <v>46054.240972222222</v>
      </c>
      <c r="C1371" s="1">
        <v>78591.37</v>
      </c>
      <c r="D1371" s="20">
        <v>78594.7</v>
      </c>
      <c r="E1371" s="20">
        <v>78578.820000000007</v>
      </c>
      <c r="F1371" s="1">
        <v>78587.11</v>
      </c>
      <c r="G1371" s="18">
        <v>140</v>
      </c>
      <c r="I1371" s="21">
        <v>46054.240972222222</v>
      </c>
      <c r="J1371" s="26"/>
      <c r="K1371" s="29"/>
      <c r="L1371" s="27">
        <v>78673.519570000004</v>
      </c>
      <c r="M1371" s="27">
        <v>78491.074999999997</v>
      </c>
      <c r="N1371" s="30" t="s">
        <v>6</v>
      </c>
      <c r="O1371" s="28" t="s">
        <v>13</v>
      </c>
      <c r="P1371"/>
    </row>
    <row r="1372" spans="1:16" x14ac:dyDescent="0.35">
      <c r="A1372" s="4">
        <v>1369</v>
      </c>
      <c r="B1372" s="17">
        <v>46054.241666666669</v>
      </c>
      <c r="C1372" s="1">
        <v>78587.23</v>
      </c>
      <c r="D1372" s="20">
        <v>78588.23</v>
      </c>
      <c r="E1372" s="20">
        <v>78557.919999999998</v>
      </c>
      <c r="F1372" s="1">
        <v>78558.240000000005</v>
      </c>
      <c r="G1372" s="18">
        <v>159</v>
      </c>
      <c r="I1372" s="21">
        <v>46054.241666666669</v>
      </c>
      <c r="J1372" s="26"/>
      <c r="K1372" s="29"/>
      <c r="L1372" s="27">
        <v>78658.845650000003</v>
      </c>
      <c r="M1372" s="27">
        <v>78487.826669999995</v>
      </c>
      <c r="N1372" s="30" t="s">
        <v>6</v>
      </c>
      <c r="O1372" s="28" t="s">
        <v>13</v>
      </c>
      <c r="P1372"/>
    </row>
    <row r="1373" spans="1:16" x14ac:dyDescent="0.35">
      <c r="A1373" s="4">
        <v>1370</v>
      </c>
      <c r="B1373" s="17">
        <v>46054.242361111108</v>
      </c>
      <c r="C1373" s="1">
        <v>78558.23</v>
      </c>
      <c r="D1373" s="20">
        <v>78568.820000000007</v>
      </c>
      <c r="E1373" s="20">
        <v>78486.8</v>
      </c>
      <c r="F1373" s="1">
        <v>78511.520000000004</v>
      </c>
      <c r="G1373" s="18">
        <v>177</v>
      </c>
      <c r="I1373" s="21">
        <v>46054.242361111108</v>
      </c>
      <c r="J1373" s="26"/>
      <c r="K1373" s="29"/>
      <c r="L1373" s="27">
        <v>78644.171740000005</v>
      </c>
      <c r="M1373" s="27">
        <v>78484.578330000004</v>
      </c>
      <c r="N1373" s="30" t="s">
        <v>6</v>
      </c>
      <c r="O1373" s="28" t="s">
        <v>13</v>
      </c>
      <c r="P1373"/>
    </row>
    <row r="1374" spans="1:16" x14ac:dyDescent="0.35">
      <c r="A1374" s="4">
        <v>1371</v>
      </c>
      <c r="B1374" s="17">
        <v>46054.243055555555</v>
      </c>
      <c r="C1374" s="1">
        <v>78511.53</v>
      </c>
      <c r="D1374" s="20">
        <v>78575.899999999994</v>
      </c>
      <c r="E1374" s="20">
        <v>78481.33</v>
      </c>
      <c r="F1374" s="1">
        <v>78575.850000000006</v>
      </c>
      <c r="G1374" s="18">
        <v>164</v>
      </c>
      <c r="I1374" s="21">
        <v>46054.243055555555</v>
      </c>
      <c r="J1374" s="26"/>
      <c r="K1374" s="29">
        <v>78481.33</v>
      </c>
      <c r="L1374" s="27">
        <v>78629.497829999993</v>
      </c>
      <c r="M1374" s="27">
        <v>78481.33</v>
      </c>
      <c r="N1374" s="30" t="s">
        <v>6</v>
      </c>
      <c r="O1374" s="28" t="s">
        <v>13</v>
      </c>
      <c r="P1374"/>
    </row>
    <row r="1375" spans="1:16" x14ac:dyDescent="0.35">
      <c r="A1375" s="4">
        <v>1372</v>
      </c>
      <c r="B1375" s="17">
        <v>46054.243750000001</v>
      </c>
      <c r="C1375" s="1">
        <v>78575.899999999994</v>
      </c>
      <c r="D1375" s="20">
        <v>78575.899999999994</v>
      </c>
      <c r="E1375" s="20">
        <v>78514.13</v>
      </c>
      <c r="F1375" s="1">
        <v>78541.09</v>
      </c>
      <c r="G1375" s="18">
        <v>142</v>
      </c>
      <c r="I1375" s="21">
        <v>46054.243750000001</v>
      </c>
      <c r="J1375" s="26"/>
      <c r="K1375" s="29"/>
      <c r="L1375" s="27">
        <v>78614.823910000006</v>
      </c>
      <c r="M1375" s="27">
        <v>78489.289999999994</v>
      </c>
      <c r="N1375" s="30" t="s">
        <v>6</v>
      </c>
      <c r="O1375" s="28" t="s">
        <v>8</v>
      </c>
      <c r="P1375"/>
    </row>
    <row r="1376" spans="1:16" x14ac:dyDescent="0.35">
      <c r="A1376" s="4">
        <v>1373</v>
      </c>
      <c r="B1376" s="17">
        <v>46054.244444444441</v>
      </c>
      <c r="C1376" s="1">
        <v>78541.09</v>
      </c>
      <c r="D1376" s="20">
        <v>78600.149999999994</v>
      </c>
      <c r="E1376" s="20">
        <v>78532.210000000006</v>
      </c>
      <c r="F1376" s="1">
        <v>78594.73</v>
      </c>
      <c r="G1376" s="18">
        <v>162</v>
      </c>
      <c r="I1376" s="21">
        <v>46054.244444444441</v>
      </c>
      <c r="J1376" s="26">
        <v>78600.149999999994</v>
      </c>
      <c r="K1376" s="29"/>
      <c r="L1376" s="27">
        <v>78600.149999999994</v>
      </c>
      <c r="M1376" s="27">
        <v>78497.25</v>
      </c>
      <c r="N1376" s="30" t="s">
        <v>6</v>
      </c>
      <c r="O1376" s="28" t="s">
        <v>8</v>
      </c>
      <c r="P1376"/>
    </row>
    <row r="1377" spans="1:16" x14ac:dyDescent="0.35">
      <c r="A1377" s="4">
        <v>1374</v>
      </c>
      <c r="B1377" s="17">
        <v>46054.245138888888</v>
      </c>
      <c r="C1377" s="1">
        <v>78594.720000000001</v>
      </c>
      <c r="D1377" s="20">
        <v>78594.740000000005</v>
      </c>
      <c r="E1377" s="20">
        <v>78517.14</v>
      </c>
      <c r="F1377" s="1">
        <v>78537.7</v>
      </c>
      <c r="G1377" s="18">
        <v>162</v>
      </c>
      <c r="I1377" s="21">
        <v>46054.245138888888</v>
      </c>
      <c r="J1377" s="26"/>
      <c r="K1377" s="29"/>
      <c r="L1377" s="27">
        <v>78598.051999999996</v>
      </c>
      <c r="M1377" s="27">
        <v>78505.210000000006</v>
      </c>
      <c r="N1377" s="30" t="s">
        <v>6</v>
      </c>
      <c r="O1377" s="28" t="s">
        <v>8</v>
      </c>
      <c r="P1377"/>
    </row>
    <row r="1378" spans="1:16" x14ac:dyDescent="0.35">
      <c r="A1378" s="4">
        <v>1375</v>
      </c>
      <c r="B1378" s="17">
        <v>46054.245833333334</v>
      </c>
      <c r="C1378" s="1">
        <v>78537.42</v>
      </c>
      <c r="D1378" s="20">
        <v>78561.899999999994</v>
      </c>
      <c r="E1378" s="20">
        <v>78520.929999999993</v>
      </c>
      <c r="F1378" s="1">
        <v>78523.350000000006</v>
      </c>
      <c r="G1378" s="18">
        <v>153</v>
      </c>
      <c r="I1378" s="21">
        <v>46054.245833333334</v>
      </c>
      <c r="J1378" s="26"/>
      <c r="K1378" s="29"/>
      <c r="L1378" s="27">
        <v>78595.953999999998</v>
      </c>
      <c r="M1378" s="27">
        <v>78513.17</v>
      </c>
      <c r="N1378" s="30" t="s">
        <v>6</v>
      </c>
      <c r="O1378" s="28" t="s">
        <v>8</v>
      </c>
      <c r="P1378"/>
    </row>
    <row r="1379" spans="1:16" x14ac:dyDescent="0.35">
      <c r="A1379" s="4">
        <v>1376</v>
      </c>
      <c r="B1379" s="17">
        <v>46054.246527777781</v>
      </c>
      <c r="C1379" s="1">
        <v>78523.37</v>
      </c>
      <c r="D1379" s="20">
        <v>78584.75</v>
      </c>
      <c r="E1379" s="20">
        <v>78523.37</v>
      </c>
      <c r="F1379" s="1">
        <v>78563.67</v>
      </c>
      <c r="G1379" s="18">
        <v>168</v>
      </c>
      <c r="I1379" s="21">
        <v>46054.246527777781</v>
      </c>
      <c r="J1379" s="26"/>
      <c r="K1379" s="29"/>
      <c r="L1379" s="27">
        <v>78593.856</v>
      </c>
      <c r="M1379" s="27">
        <v>78521.13</v>
      </c>
      <c r="N1379" s="30" t="s">
        <v>6</v>
      </c>
      <c r="O1379" s="28" t="s">
        <v>8</v>
      </c>
      <c r="P1379"/>
    </row>
    <row r="1380" spans="1:16" x14ac:dyDescent="0.35">
      <c r="A1380" s="4">
        <v>1377</v>
      </c>
      <c r="B1380" s="17">
        <v>46054.24722222222</v>
      </c>
      <c r="C1380" s="1">
        <v>78563.8</v>
      </c>
      <c r="D1380" s="20">
        <v>78570.320000000007</v>
      </c>
      <c r="E1380" s="20">
        <v>78545.350000000006</v>
      </c>
      <c r="F1380" s="1">
        <v>78547.460000000006</v>
      </c>
      <c r="G1380" s="18">
        <v>165</v>
      </c>
      <c r="I1380" s="21">
        <v>46054.24722222222</v>
      </c>
      <c r="J1380" s="26"/>
      <c r="K1380" s="29"/>
      <c r="L1380" s="27">
        <v>78591.758000000002</v>
      </c>
      <c r="M1380" s="27">
        <v>78529.09</v>
      </c>
      <c r="N1380" s="30" t="s">
        <v>6</v>
      </c>
      <c r="O1380" s="28" t="s">
        <v>8</v>
      </c>
      <c r="P1380"/>
    </row>
    <row r="1381" spans="1:16" x14ac:dyDescent="0.35">
      <c r="A1381" s="4">
        <v>1378</v>
      </c>
      <c r="B1381" s="17">
        <v>46054.247916666667</v>
      </c>
      <c r="C1381" s="1">
        <v>78548.12</v>
      </c>
      <c r="D1381" s="20">
        <v>78589.66</v>
      </c>
      <c r="E1381" s="20">
        <v>78546.7</v>
      </c>
      <c r="F1381" s="1">
        <v>78546.7</v>
      </c>
      <c r="G1381" s="18">
        <v>196</v>
      </c>
      <c r="I1381" s="21">
        <v>46054.247916666667</v>
      </c>
      <c r="J1381" s="26">
        <v>78589.66</v>
      </c>
      <c r="K1381" s="29"/>
      <c r="L1381" s="27">
        <v>78589.66</v>
      </c>
      <c r="M1381" s="27">
        <v>78537.05</v>
      </c>
      <c r="N1381" s="30" t="s">
        <v>6</v>
      </c>
      <c r="O1381" s="28" t="s">
        <v>8</v>
      </c>
      <c r="P1381"/>
    </row>
    <row r="1382" spans="1:16" x14ac:dyDescent="0.35">
      <c r="A1382" s="4">
        <v>1379</v>
      </c>
      <c r="B1382" s="17">
        <v>46054.248611111114</v>
      </c>
      <c r="C1382" s="1">
        <v>78546.45</v>
      </c>
      <c r="D1382" s="20">
        <v>78576.87</v>
      </c>
      <c r="E1382" s="20">
        <v>78545.009999999995</v>
      </c>
      <c r="F1382" s="1">
        <v>78545.05</v>
      </c>
      <c r="G1382" s="18">
        <v>136</v>
      </c>
      <c r="I1382" s="21">
        <v>46054.248611111114</v>
      </c>
      <c r="J1382" s="26"/>
      <c r="K1382" s="29">
        <v>78545.009999999995</v>
      </c>
      <c r="L1382" s="27">
        <v>78602.345000000001</v>
      </c>
      <c r="M1382" s="27">
        <v>78545.009999999995</v>
      </c>
      <c r="N1382" s="30" t="s">
        <v>7</v>
      </c>
      <c r="O1382" s="28" t="s">
        <v>8</v>
      </c>
      <c r="P1382"/>
    </row>
    <row r="1383" spans="1:16" x14ac:dyDescent="0.35">
      <c r="A1383" s="4">
        <v>1380</v>
      </c>
      <c r="B1383" s="17">
        <v>46054.249305555553</v>
      </c>
      <c r="C1383" s="1">
        <v>78545.2</v>
      </c>
      <c r="D1383" s="20">
        <v>78580.62</v>
      </c>
      <c r="E1383" s="20">
        <v>78545.2</v>
      </c>
      <c r="F1383" s="1">
        <v>78573.789999999994</v>
      </c>
      <c r="G1383" s="18">
        <v>157</v>
      </c>
      <c r="I1383" s="21">
        <v>46054.249305555553</v>
      </c>
      <c r="J1383" s="26"/>
      <c r="K1383" s="29"/>
      <c r="L1383" s="27">
        <v>78615.03</v>
      </c>
      <c r="M1383" s="27">
        <v>78546.971669999999</v>
      </c>
      <c r="N1383" s="30" t="s">
        <v>7</v>
      </c>
      <c r="O1383" s="28" t="s">
        <v>8</v>
      </c>
      <c r="P1383"/>
    </row>
    <row r="1384" spans="1:16" x14ac:dyDescent="0.35">
      <c r="A1384" s="4">
        <v>1381</v>
      </c>
      <c r="B1384" s="17">
        <v>46054.25</v>
      </c>
      <c r="C1384" s="1">
        <v>78573.86</v>
      </c>
      <c r="D1384" s="20">
        <v>78631.34</v>
      </c>
      <c r="E1384" s="20">
        <v>78573.86</v>
      </c>
      <c r="F1384" s="1">
        <v>78626.02</v>
      </c>
      <c r="G1384" s="18">
        <v>161</v>
      </c>
      <c r="I1384" s="21">
        <v>46054.25</v>
      </c>
      <c r="J1384" s="26"/>
      <c r="K1384" s="29"/>
      <c r="L1384" s="27">
        <v>78627.714999999997</v>
      </c>
      <c r="M1384" s="27">
        <v>78548.93333</v>
      </c>
      <c r="N1384" s="30" t="s">
        <v>7</v>
      </c>
      <c r="O1384" s="28" t="s">
        <v>8</v>
      </c>
      <c r="P1384"/>
    </row>
    <row r="1385" spans="1:16" x14ac:dyDescent="0.35">
      <c r="A1385" s="4">
        <v>1382</v>
      </c>
      <c r="B1385" s="17">
        <v>46054.250694444447</v>
      </c>
      <c r="C1385" s="1">
        <v>78626.02</v>
      </c>
      <c r="D1385" s="20">
        <v>78640.399999999994</v>
      </c>
      <c r="E1385" s="20">
        <v>78591.820000000007</v>
      </c>
      <c r="F1385" s="1">
        <v>78592.2</v>
      </c>
      <c r="G1385" s="18">
        <v>188</v>
      </c>
      <c r="I1385" s="21">
        <v>46054.250694444447</v>
      </c>
      <c r="J1385" s="26">
        <v>78640.399999999994</v>
      </c>
      <c r="K1385" s="29"/>
      <c r="L1385" s="27">
        <v>78640.399999999994</v>
      </c>
      <c r="M1385" s="27">
        <v>78550.895000000004</v>
      </c>
      <c r="N1385" s="30" t="s">
        <v>7</v>
      </c>
      <c r="O1385" s="28" t="s">
        <v>8</v>
      </c>
      <c r="P1385"/>
    </row>
    <row r="1386" spans="1:16" x14ac:dyDescent="0.35">
      <c r="A1386" s="4">
        <v>1383</v>
      </c>
      <c r="B1386" s="17">
        <v>46054.251388888886</v>
      </c>
      <c r="C1386" s="1">
        <v>78592.34</v>
      </c>
      <c r="D1386" s="20">
        <v>78637.48</v>
      </c>
      <c r="E1386" s="20">
        <v>78592.34</v>
      </c>
      <c r="F1386" s="1">
        <v>78623.02</v>
      </c>
      <c r="G1386" s="18">
        <v>134</v>
      </c>
      <c r="I1386" s="21">
        <v>46054.251388888886</v>
      </c>
      <c r="J1386" s="26"/>
      <c r="K1386" s="29"/>
      <c r="L1386" s="27">
        <v>78639.847500000003</v>
      </c>
      <c r="M1386" s="27">
        <v>78552.856669999994</v>
      </c>
      <c r="N1386" s="30" t="s">
        <v>6</v>
      </c>
      <c r="O1386" s="28" t="s">
        <v>8</v>
      </c>
      <c r="P1386"/>
    </row>
    <row r="1387" spans="1:16" x14ac:dyDescent="0.35">
      <c r="A1387" s="4">
        <v>1384</v>
      </c>
      <c r="B1387" s="17">
        <v>46054.252083333333</v>
      </c>
      <c r="C1387" s="1">
        <v>78622.61</v>
      </c>
      <c r="D1387" s="20">
        <v>78623.02</v>
      </c>
      <c r="E1387" s="20">
        <v>78590.039999999994</v>
      </c>
      <c r="F1387" s="1">
        <v>78590.039999999994</v>
      </c>
      <c r="G1387" s="18">
        <v>109</v>
      </c>
      <c r="I1387" s="21">
        <v>46054.252083333333</v>
      </c>
      <c r="J1387" s="26"/>
      <c r="K1387" s="29"/>
      <c r="L1387" s="27">
        <v>78639.294999999998</v>
      </c>
      <c r="M1387" s="27">
        <v>78554.818329999995</v>
      </c>
      <c r="N1387" s="30" t="s">
        <v>6</v>
      </c>
      <c r="O1387" s="28" t="s">
        <v>8</v>
      </c>
      <c r="P1387"/>
    </row>
    <row r="1388" spans="1:16" x14ac:dyDescent="0.35">
      <c r="A1388" s="4">
        <v>1385</v>
      </c>
      <c r="B1388" s="17">
        <v>46054.25277777778</v>
      </c>
      <c r="C1388" s="1">
        <v>78583.53</v>
      </c>
      <c r="D1388" s="20">
        <v>78596.009999999995</v>
      </c>
      <c r="E1388" s="20">
        <v>78556.78</v>
      </c>
      <c r="F1388" s="1">
        <v>78572.91</v>
      </c>
      <c r="G1388" s="18">
        <v>138</v>
      </c>
      <c r="I1388" s="21">
        <v>46054.25277777778</v>
      </c>
      <c r="J1388" s="26"/>
      <c r="K1388" s="29">
        <v>78556.78</v>
      </c>
      <c r="L1388" s="27">
        <v>78638.742499999993</v>
      </c>
      <c r="M1388" s="27">
        <v>78556.78</v>
      </c>
      <c r="N1388" s="30" t="s">
        <v>6</v>
      </c>
      <c r="O1388" s="28" t="s">
        <v>8</v>
      </c>
      <c r="P1388"/>
    </row>
    <row r="1389" spans="1:16" x14ac:dyDescent="0.35">
      <c r="A1389" s="4">
        <v>1386</v>
      </c>
      <c r="B1389" s="17">
        <v>46054.253472222219</v>
      </c>
      <c r="C1389" s="1">
        <v>78572.92</v>
      </c>
      <c r="D1389" s="20">
        <v>78601.77</v>
      </c>
      <c r="E1389" s="20">
        <v>78564.02</v>
      </c>
      <c r="F1389" s="1">
        <v>78581.25</v>
      </c>
      <c r="G1389" s="18">
        <v>171</v>
      </c>
      <c r="I1389" s="21">
        <v>46054.253472222219</v>
      </c>
      <c r="J1389" s="26"/>
      <c r="K1389" s="29"/>
      <c r="L1389" s="27">
        <v>78638.19</v>
      </c>
      <c r="M1389" s="27">
        <v>78564.481539999993</v>
      </c>
      <c r="N1389" s="30" t="s">
        <v>6</v>
      </c>
      <c r="O1389" s="28" t="s">
        <v>8</v>
      </c>
      <c r="P1389"/>
    </row>
    <row r="1390" spans="1:16" x14ac:dyDescent="0.35">
      <c r="A1390" s="4">
        <v>1387</v>
      </c>
      <c r="B1390" s="17">
        <v>46054.254166666666</v>
      </c>
      <c r="C1390" s="1">
        <v>78581.25</v>
      </c>
      <c r="D1390" s="20">
        <v>78619.740000000005</v>
      </c>
      <c r="E1390" s="20">
        <v>78570.899999999994</v>
      </c>
      <c r="F1390" s="1">
        <v>78600.62</v>
      </c>
      <c r="G1390" s="18">
        <v>145</v>
      </c>
      <c r="I1390" s="21">
        <v>46054.254166666666</v>
      </c>
      <c r="J1390" s="26"/>
      <c r="K1390" s="29"/>
      <c r="L1390" s="27">
        <v>78637.637499999997</v>
      </c>
      <c r="M1390" s="27">
        <v>78572.183080000003</v>
      </c>
      <c r="N1390" s="30" t="s">
        <v>6</v>
      </c>
      <c r="O1390" s="28" t="s">
        <v>8</v>
      </c>
      <c r="P1390"/>
    </row>
    <row r="1391" spans="1:16" x14ac:dyDescent="0.35">
      <c r="A1391" s="4">
        <v>1388</v>
      </c>
      <c r="B1391" s="17">
        <v>46054.254861111112</v>
      </c>
      <c r="C1391" s="1">
        <v>78600.61</v>
      </c>
      <c r="D1391" s="20">
        <v>78628.14</v>
      </c>
      <c r="E1391" s="20">
        <v>78586.38</v>
      </c>
      <c r="F1391" s="1">
        <v>78587.8</v>
      </c>
      <c r="G1391" s="18">
        <v>154</v>
      </c>
      <c r="I1391" s="21">
        <v>46054.254861111112</v>
      </c>
      <c r="J1391" s="26"/>
      <c r="K1391" s="29"/>
      <c r="L1391" s="27">
        <v>78637.085000000006</v>
      </c>
      <c r="M1391" s="27">
        <v>78579.884619999997</v>
      </c>
      <c r="N1391" s="30" t="s">
        <v>6</v>
      </c>
      <c r="O1391" s="28" t="s">
        <v>8</v>
      </c>
      <c r="P1391"/>
    </row>
    <row r="1392" spans="1:16" x14ac:dyDescent="0.35">
      <c r="A1392" s="4">
        <v>1389</v>
      </c>
      <c r="B1392" s="17">
        <v>46054.255555555559</v>
      </c>
      <c r="C1392" s="1">
        <v>78588.02</v>
      </c>
      <c r="D1392" s="20">
        <v>78598.7</v>
      </c>
      <c r="E1392" s="20">
        <v>78577.53</v>
      </c>
      <c r="F1392" s="1">
        <v>78578.27</v>
      </c>
      <c r="G1392" s="18">
        <v>132</v>
      </c>
      <c r="I1392" s="21">
        <v>46054.255555555559</v>
      </c>
      <c r="J1392" s="26"/>
      <c r="K1392" s="29"/>
      <c r="L1392" s="27">
        <v>78636.532500000001</v>
      </c>
      <c r="M1392" s="27">
        <v>78587.586150000003</v>
      </c>
      <c r="N1392" s="30" t="s">
        <v>6</v>
      </c>
      <c r="O1392" s="28" t="s">
        <v>8</v>
      </c>
      <c r="P1392"/>
    </row>
    <row r="1393" spans="1:16" x14ac:dyDescent="0.35">
      <c r="A1393" s="4">
        <v>1390</v>
      </c>
      <c r="B1393" s="17">
        <v>46054.256249999999</v>
      </c>
      <c r="C1393" s="1">
        <v>78578.320000000007</v>
      </c>
      <c r="D1393" s="20">
        <v>78635.98</v>
      </c>
      <c r="E1393" s="20">
        <v>78578.31</v>
      </c>
      <c r="F1393" s="1">
        <v>78610.33</v>
      </c>
      <c r="G1393" s="18">
        <v>116</v>
      </c>
      <c r="I1393" s="21">
        <v>46054.256249999999</v>
      </c>
      <c r="J1393" s="26">
        <v>78635.98</v>
      </c>
      <c r="K1393" s="29"/>
      <c r="L1393" s="27">
        <v>78635.98</v>
      </c>
      <c r="M1393" s="27">
        <v>78595.287689999997</v>
      </c>
      <c r="N1393" s="30" t="s">
        <v>6</v>
      </c>
      <c r="O1393" s="28" t="s">
        <v>8</v>
      </c>
      <c r="P1393"/>
    </row>
    <row r="1394" spans="1:16" x14ac:dyDescent="0.35">
      <c r="A1394" s="4">
        <v>1391</v>
      </c>
      <c r="B1394" s="17">
        <v>46054.256944444445</v>
      </c>
      <c r="C1394" s="1">
        <v>78607.240000000005</v>
      </c>
      <c r="D1394" s="20">
        <v>78607.67</v>
      </c>
      <c r="E1394" s="20">
        <v>78588.19</v>
      </c>
      <c r="F1394" s="1">
        <v>78600.77</v>
      </c>
      <c r="G1394" s="18">
        <v>132</v>
      </c>
      <c r="I1394" s="21">
        <v>46054.256944444445</v>
      </c>
      <c r="J1394" s="26"/>
      <c r="K1394" s="29"/>
      <c r="L1394" s="27">
        <v>78646.377500000002</v>
      </c>
      <c r="M1394" s="27">
        <v>78602.989230000007</v>
      </c>
      <c r="N1394" s="30" t="s">
        <v>7</v>
      </c>
      <c r="O1394" s="28" t="s">
        <v>8</v>
      </c>
      <c r="P1394"/>
    </row>
    <row r="1395" spans="1:16" x14ac:dyDescent="0.35">
      <c r="A1395" s="4">
        <v>1392</v>
      </c>
      <c r="B1395" s="17">
        <v>46054.257638888892</v>
      </c>
      <c r="C1395" s="1">
        <v>78600.78</v>
      </c>
      <c r="D1395" s="20">
        <v>78617.2</v>
      </c>
      <c r="E1395" s="20">
        <v>78580.899999999994</v>
      </c>
      <c r="F1395" s="1">
        <v>78600.23</v>
      </c>
      <c r="G1395" s="18">
        <v>146</v>
      </c>
      <c r="I1395" s="21">
        <v>46054.257638888892</v>
      </c>
      <c r="J1395" s="26"/>
      <c r="K1395" s="29"/>
      <c r="L1395" s="27">
        <v>78656.774999999994</v>
      </c>
      <c r="M1395" s="27">
        <v>78610.690770000001</v>
      </c>
      <c r="N1395" s="30" t="s">
        <v>7</v>
      </c>
      <c r="O1395" s="28" t="s">
        <v>8</v>
      </c>
      <c r="P1395"/>
    </row>
    <row r="1396" spans="1:16" x14ac:dyDescent="0.35">
      <c r="A1396" s="4">
        <v>1393</v>
      </c>
      <c r="B1396" s="17">
        <v>46054.258333333331</v>
      </c>
      <c r="C1396" s="1">
        <v>78612</v>
      </c>
      <c r="D1396" s="20">
        <v>78637.2</v>
      </c>
      <c r="E1396" s="20">
        <v>78612</v>
      </c>
      <c r="F1396" s="1">
        <v>78636.990000000005</v>
      </c>
      <c r="G1396" s="18">
        <v>131</v>
      </c>
      <c r="I1396" s="21">
        <v>46054.258333333331</v>
      </c>
      <c r="J1396" s="26"/>
      <c r="K1396" s="29"/>
      <c r="L1396" s="27">
        <v>78667.172500000001</v>
      </c>
      <c r="M1396" s="27">
        <v>78618.392309999996</v>
      </c>
      <c r="N1396" s="30" t="s">
        <v>7</v>
      </c>
      <c r="O1396" s="28" t="s">
        <v>8</v>
      </c>
      <c r="P1396"/>
    </row>
    <row r="1397" spans="1:16" x14ac:dyDescent="0.35">
      <c r="A1397" s="4">
        <v>1394</v>
      </c>
      <c r="B1397" s="17">
        <v>46054.259027777778</v>
      </c>
      <c r="C1397" s="1">
        <v>78636.990000000005</v>
      </c>
      <c r="D1397" s="20">
        <v>78677.570000000007</v>
      </c>
      <c r="E1397" s="20">
        <v>78636.990000000005</v>
      </c>
      <c r="F1397" s="1">
        <v>78640.81</v>
      </c>
      <c r="G1397" s="18">
        <v>136</v>
      </c>
      <c r="I1397" s="21">
        <v>46054.259027777778</v>
      </c>
      <c r="J1397" s="26">
        <v>78677.570000000007</v>
      </c>
      <c r="K1397" s="29"/>
      <c r="L1397" s="27">
        <v>78677.570000000007</v>
      </c>
      <c r="M1397" s="27">
        <v>78626.093850000005</v>
      </c>
      <c r="N1397" s="30" t="s">
        <v>7</v>
      </c>
      <c r="O1397" s="28" t="s">
        <v>8</v>
      </c>
      <c r="P1397"/>
    </row>
    <row r="1398" spans="1:16" x14ac:dyDescent="0.35">
      <c r="A1398" s="4">
        <v>1395</v>
      </c>
      <c r="B1398" s="17">
        <v>46054.259722222225</v>
      </c>
      <c r="C1398" s="1">
        <v>78639.67</v>
      </c>
      <c r="D1398" s="20">
        <v>78668.7</v>
      </c>
      <c r="E1398" s="20">
        <v>78639.67</v>
      </c>
      <c r="F1398" s="1">
        <v>78668.56</v>
      </c>
      <c r="G1398" s="18">
        <v>145</v>
      </c>
      <c r="I1398" s="21">
        <v>46054.259722222225</v>
      </c>
      <c r="J1398" s="26"/>
      <c r="K1398" s="29"/>
      <c r="L1398" s="27">
        <v>78679.513330000002</v>
      </c>
      <c r="M1398" s="27">
        <v>78633.795379999996</v>
      </c>
      <c r="N1398" s="30" t="s">
        <v>7</v>
      </c>
      <c r="O1398" s="28" t="s">
        <v>8</v>
      </c>
      <c r="P1398"/>
    </row>
    <row r="1399" spans="1:16" x14ac:dyDescent="0.35">
      <c r="A1399" s="4">
        <v>1396</v>
      </c>
      <c r="B1399" s="17">
        <v>46054.260416666664</v>
      </c>
      <c r="C1399" s="1">
        <v>78668.17</v>
      </c>
      <c r="D1399" s="20">
        <v>78675.899999999994</v>
      </c>
      <c r="E1399" s="20">
        <v>78668.160000000003</v>
      </c>
      <c r="F1399" s="1">
        <v>78675.83</v>
      </c>
      <c r="G1399" s="18">
        <v>139</v>
      </c>
      <c r="I1399" s="21">
        <v>46054.260416666664</v>
      </c>
      <c r="J1399" s="26"/>
      <c r="K1399" s="29"/>
      <c r="L1399" s="27">
        <v>78681.45667</v>
      </c>
      <c r="M1399" s="27">
        <v>78641.496920000005</v>
      </c>
      <c r="N1399" s="30" t="s">
        <v>7</v>
      </c>
      <c r="O1399" s="28" t="s">
        <v>8</v>
      </c>
      <c r="P1399"/>
    </row>
    <row r="1400" spans="1:16" x14ac:dyDescent="0.35">
      <c r="A1400" s="4">
        <v>1397</v>
      </c>
      <c r="B1400" s="17">
        <v>46054.261111111111</v>
      </c>
      <c r="C1400" s="1">
        <v>78675.83</v>
      </c>
      <c r="D1400" s="20">
        <v>78683.399999999994</v>
      </c>
      <c r="E1400" s="20">
        <v>78668.539999999994</v>
      </c>
      <c r="F1400" s="1">
        <v>78668.62</v>
      </c>
      <c r="G1400" s="18">
        <v>105</v>
      </c>
      <c r="I1400" s="21">
        <v>46054.261111111111</v>
      </c>
      <c r="J1400" s="26">
        <v>78683.399999999994</v>
      </c>
      <c r="K1400" s="29"/>
      <c r="L1400" s="27">
        <v>78683.399999999994</v>
      </c>
      <c r="M1400" s="27">
        <v>78649.19846</v>
      </c>
      <c r="N1400" s="30" t="s">
        <v>7</v>
      </c>
      <c r="O1400" s="28" t="s">
        <v>8</v>
      </c>
      <c r="P1400"/>
    </row>
    <row r="1401" spans="1:16" x14ac:dyDescent="0.35">
      <c r="A1401" s="4">
        <v>1398</v>
      </c>
      <c r="B1401" s="17">
        <v>46054.261805555558</v>
      </c>
      <c r="C1401" s="1">
        <v>78668.62</v>
      </c>
      <c r="D1401" s="20">
        <v>78675.13</v>
      </c>
      <c r="E1401" s="20">
        <v>78656.899999999994</v>
      </c>
      <c r="F1401" s="1">
        <v>78675.13</v>
      </c>
      <c r="G1401" s="18">
        <v>91</v>
      </c>
      <c r="I1401" s="21">
        <v>46054.261805555558</v>
      </c>
      <c r="J1401" s="26"/>
      <c r="K1401" s="29">
        <v>78656.899999999994</v>
      </c>
      <c r="L1401" s="27">
        <v>78696.56667</v>
      </c>
      <c r="M1401" s="27">
        <v>78656.899999999994</v>
      </c>
      <c r="N1401" s="30" t="s">
        <v>7</v>
      </c>
      <c r="O1401" s="28" t="s">
        <v>8</v>
      </c>
      <c r="P1401"/>
    </row>
    <row r="1402" spans="1:16" x14ac:dyDescent="0.35">
      <c r="A1402" s="4">
        <v>1399</v>
      </c>
      <c r="B1402" s="17">
        <v>46054.262499999997</v>
      </c>
      <c r="C1402" s="1">
        <v>78675.13</v>
      </c>
      <c r="D1402" s="20">
        <v>78682.45</v>
      </c>
      <c r="E1402" s="20">
        <v>78657.2</v>
      </c>
      <c r="F1402" s="1">
        <v>78658.429999999993</v>
      </c>
      <c r="G1402" s="18">
        <v>94</v>
      </c>
      <c r="I1402" s="21">
        <v>46054.262499999997</v>
      </c>
      <c r="J1402" s="26"/>
      <c r="K1402" s="29"/>
      <c r="L1402" s="27">
        <v>78709.733330000003</v>
      </c>
      <c r="M1402" s="27">
        <v>78655.520910000007</v>
      </c>
      <c r="N1402" s="30" t="s">
        <v>7</v>
      </c>
      <c r="O1402" s="28" t="s">
        <v>13</v>
      </c>
      <c r="P1402"/>
    </row>
    <row r="1403" spans="1:16" x14ac:dyDescent="0.35">
      <c r="A1403" s="4">
        <v>1400</v>
      </c>
      <c r="B1403" s="17">
        <v>46054.263194444444</v>
      </c>
      <c r="C1403" s="1">
        <v>78658.429999999993</v>
      </c>
      <c r="D1403" s="20">
        <v>78680.320000000007</v>
      </c>
      <c r="E1403" s="20">
        <v>78658.36</v>
      </c>
      <c r="F1403" s="1">
        <v>78676.36</v>
      </c>
      <c r="G1403" s="18">
        <v>101</v>
      </c>
      <c r="I1403" s="21">
        <v>46054.263194444444</v>
      </c>
      <c r="J1403" s="26"/>
      <c r="K1403" s="29"/>
      <c r="L1403" s="27">
        <v>78722.899999999994</v>
      </c>
      <c r="M1403" s="27">
        <v>78654.141820000004</v>
      </c>
      <c r="N1403" s="30" t="s">
        <v>7</v>
      </c>
      <c r="O1403" s="28" t="s">
        <v>13</v>
      </c>
      <c r="P1403"/>
    </row>
    <row r="1404" spans="1:16" x14ac:dyDescent="0.35">
      <c r="A1404" s="4">
        <v>1401</v>
      </c>
      <c r="B1404" s="17">
        <v>46054.263888888891</v>
      </c>
      <c r="C1404" s="1">
        <v>78676.28</v>
      </c>
      <c r="D1404" s="20">
        <v>78688.34</v>
      </c>
      <c r="E1404" s="20">
        <v>78676.28</v>
      </c>
      <c r="F1404" s="1">
        <v>78688.31</v>
      </c>
      <c r="G1404" s="18">
        <v>64</v>
      </c>
      <c r="I1404" s="21">
        <v>46054.263888888891</v>
      </c>
      <c r="J1404" s="26"/>
      <c r="K1404" s="29"/>
      <c r="L1404" s="27">
        <v>78736.06667</v>
      </c>
      <c r="M1404" s="27">
        <v>78652.762730000002</v>
      </c>
      <c r="N1404" s="30" t="s">
        <v>7</v>
      </c>
      <c r="O1404" s="28" t="s">
        <v>13</v>
      </c>
      <c r="P1404"/>
    </row>
    <row r="1405" spans="1:16" x14ac:dyDescent="0.35">
      <c r="A1405" s="4">
        <v>1402</v>
      </c>
      <c r="B1405" s="17">
        <v>46054.26458333333</v>
      </c>
      <c r="C1405" s="1">
        <v>78688.03</v>
      </c>
      <c r="D1405" s="20">
        <v>78693.83</v>
      </c>
      <c r="E1405" s="20">
        <v>78672.41</v>
      </c>
      <c r="F1405" s="1">
        <v>78693.820000000007</v>
      </c>
      <c r="G1405" s="18">
        <v>123</v>
      </c>
      <c r="I1405" s="21">
        <v>46054.26458333333</v>
      </c>
      <c r="J1405" s="26"/>
      <c r="K1405" s="29"/>
      <c r="L1405" s="27">
        <v>78749.233330000003</v>
      </c>
      <c r="M1405" s="27">
        <v>78651.38364</v>
      </c>
      <c r="N1405" s="30" t="s">
        <v>7</v>
      </c>
      <c r="O1405" s="28" t="s">
        <v>13</v>
      </c>
      <c r="P1405"/>
    </row>
    <row r="1406" spans="1:16" x14ac:dyDescent="0.35">
      <c r="A1406" s="4">
        <v>1403</v>
      </c>
      <c r="B1406" s="17">
        <v>46054.265277777777</v>
      </c>
      <c r="C1406" s="1">
        <v>78693.83</v>
      </c>
      <c r="D1406" s="20">
        <v>78762.399999999994</v>
      </c>
      <c r="E1406" s="20">
        <v>78693.83</v>
      </c>
      <c r="F1406" s="1">
        <v>78694.13</v>
      </c>
      <c r="G1406" s="18">
        <v>167</v>
      </c>
      <c r="I1406" s="21">
        <v>46054.265277777777</v>
      </c>
      <c r="J1406" s="26">
        <v>78762.399999999994</v>
      </c>
      <c r="K1406" s="29"/>
      <c r="L1406" s="27">
        <v>78762.399999999994</v>
      </c>
      <c r="M1406" s="27">
        <v>78650.004549999998</v>
      </c>
      <c r="N1406" s="30" t="s">
        <v>7</v>
      </c>
      <c r="O1406" s="28" t="s">
        <v>13</v>
      </c>
      <c r="P1406"/>
    </row>
    <row r="1407" spans="1:16" x14ac:dyDescent="0.35">
      <c r="A1407" s="4">
        <v>1404</v>
      </c>
      <c r="B1407" s="17">
        <v>46054.265972222223</v>
      </c>
      <c r="C1407" s="1">
        <v>78694.12</v>
      </c>
      <c r="D1407" s="20">
        <v>78717.929999999993</v>
      </c>
      <c r="E1407" s="20">
        <v>78686.210000000006</v>
      </c>
      <c r="F1407" s="1">
        <v>78716.52</v>
      </c>
      <c r="G1407" s="18">
        <v>155</v>
      </c>
      <c r="I1407" s="21">
        <v>46054.265972222223</v>
      </c>
      <c r="J1407" s="26"/>
      <c r="K1407" s="29"/>
      <c r="L1407" s="27">
        <v>78765.134999999995</v>
      </c>
      <c r="M1407" s="27">
        <v>78648.625450000007</v>
      </c>
      <c r="N1407" s="30" t="s">
        <v>7</v>
      </c>
      <c r="O1407" s="28" t="s">
        <v>13</v>
      </c>
      <c r="P1407"/>
    </row>
    <row r="1408" spans="1:16" x14ac:dyDescent="0.35">
      <c r="A1408" s="4">
        <v>1405</v>
      </c>
      <c r="B1408" s="17">
        <v>46054.26666666667</v>
      </c>
      <c r="C1408" s="1">
        <v>78716.52</v>
      </c>
      <c r="D1408" s="20">
        <v>78755.41</v>
      </c>
      <c r="E1408" s="20">
        <v>78695.289999999994</v>
      </c>
      <c r="F1408" s="1">
        <v>78698.83</v>
      </c>
      <c r="G1408" s="18">
        <v>158</v>
      </c>
      <c r="I1408" s="21">
        <v>46054.26666666667</v>
      </c>
      <c r="J1408" s="26"/>
      <c r="K1408" s="29"/>
      <c r="L1408" s="27">
        <v>78767.87</v>
      </c>
      <c r="M1408" s="27">
        <v>78647.246360000005</v>
      </c>
      <c r="N1408" s="30" t="s">
        <v>7</v>
      </c>
      <c r="O1408" s="28" t="s">
        <v>13</v>
      </c>
      <c r="P1408"/>
    </row>
    <row r="1409" spans="1:16" x14ac:dyDescent="0.35">
      <c r="A1409" s="4">
        <v>1406</v>
      </c>
      <c r="B1409" s="17">
        <v>46054.267361111109</v>
      </c>
      <c r="C1409" s="1">
        <v>78698.83</v>
      </c>
      <c r="D1409" s="20">
        <v>78756.399999999994</v>
      </c>
      <c r="E1409" s="20">
        <v>78698.83</v>
      </c>
      <c r="F1409" s="1">
        <v>78756.33</v>
      </c>
      <c r="G1409" s="18">
        <v>143</v>
      </c>
      <c r="I1409" s="21">
        <v>46054.267361111109</v>
      </c>
      <c r="J1409" s="26"/>
      <c r="K1409" s="29"/>
      <c r="L1409" s="27">
        <v>78770.604999999996</v>
      </c>
      <c r="M1409" s="27">
        <v>78645.867270000002</v>
      </c>
      <c r="N1409" s="30" t="s">
        <v>7</v>
      </c>
      <c r="O1409" s="28" t="s">
        <v>13</v>
      </c>
      <c r="P1409"/>
    </row>
    <row r="1410" spans="1:16" x14ac:dyDescent="0.35">
      <c r="A1410" s="4">
        <v>1407</v>
      </c>
      <c r="B1410" s="17">
        <v>46054.268055555556</v>
      </c>
      <c r="C1410" s="1">
        <v>78756.33</v>
      </c>
      <c r="D1410" s="20">
        <v>78773.34</v>
      </c>
      <c r="E1410" s="20">
        <v>78700.149999999994</v>
      </c>
      <c r="F1410" s="1">
        <v>78700.23</v>
      </c>
      <c r="G1410" s="18">
        <v>144</v>
      </c>
      <c r="I1410" s="21">
        <v>46054.268055555556</v>
      </c>
      <c r="J1410" s="26">
        <v>78773.34</v>
      </c>
      <c r="K1410" s="29"/>
      <c r="L1410" s="27">
        <v>78773.34</v>
      </c>
      <c r="M1410" s="27">
        <v>78644.48818</v>
      </c>
      <c r="N1410" s="30" t="s">
        <v>7</v>
      </c>
      <c r="O1410" s="28" t="s">
        <v>13</v>
      </c>
      <c r="P1410"/>
    </row>
    <row r="1411" spans="1:16" x14ac:dyDescent="0.35">
      <c r="A1411" s="4">
        <v>1408</v>
      </c>
      <c r="B1411" s="17">
        <v>46054.268750000003</v>
      </c>
      <c r="C1411" s="1">
        <v>78700.28</v>
      </c>
      <c r="D1411" s="20">
        <v>78700.72</v>
      </c>
      <c r="E1411" s="20">
        <v>78668.899999999994</v>
      </c>
      <c r="F1411" s="1">
        <v>78689.399999999994</v>
      </c>
      <c r="G1411" s="18">
        <v>176</v>
      </c>
      <c r="I1411" s="21">
        <v>46054.268750000003</v>
      </c>
      <c r="J1411" s="26"/>
      <c r="K1411" s="29"/>
      <c r="L1411" s="27">
        <v>78769.767139999996</v>
      </c>
      <c r="M1411" s="27">
        <v>78643.109089999998</v>
      </c>
      <c r="N1411" s="30" t="s">
        <v>6</v>
      </c>
      <c r="O1411" s="28" t="s">
        <v>13</v>
      </c>
      <c r="P1411"/>
    </row>
    <row r="1412" spans="1:16" x14ac:dyDescent="0.35">
      <c r="A1412" s="4">
        <v>1409</v>
      </c>
      <c r="B1412" s="17">
        <v>46054.269444444442</v>
      </c>
      <c r="C1412" s="1">
        <v>78689.399999999994</v>
      </c>
      <c r="D1412" s="20">
        <v>78705.69</v>
      </c>
      <c r="E1412" s="20">
        <v>78641.73</v>
      </c>
      <c r="F1412" s="1">
        <v>78642.42</v>
      </c>
      <c r="G1412" s="18">
        <v>132</v>
      </c>
      <c r="I1412" s="21">
        <v>46054.269444444442</v>
      </c>
      <c r="J1412" s="26"/>
      <c r="K1412" s="29">
        <v>78641.73</v>
      </c>
      <c r="L1412" s="27">
        <v>78766.194289999999</v>
      </c>
      <c r="M1412" s="27">
        <v>78641.73</v>
      </c>
      <c r="N1412" s="30" t="s">
        <v>6</v>
      </c>
      <c r="O1412" s="28" t="s">
        <v>13</v>
      </c>
      <c r="P1412"/>
    </row>
    <row r="1413" spans="1:16" x14ac:dyDescent="0.35">
      <c r="A1413" s="4">
        <v>1410</v>
      </c>
      <c r="B1413" s="17">
        <v>46054.270138888889</v>
      </c>
      <c r="C1413" s="1">
        <v>78642.42</v>
      </c>
      <c r="D1413" s="20">
        <v>78694.77</v>
      </c>
      <c r="E1413" s="20">
        <v>78642.41</v>
      </c>
      <c r="F1413" s="1">
        <v>78670.13</v>
      </c>
      <c r="G1413" s="18">
        <v>102</v>
      </c>
      <c r="I1413" s="21">
        <v>46054.270138888889</v>
      </c>
      <c r="J1413" s="26"/>
      <c r="K1413" s="29"/>
      <c r="L1413" s="27">
        <v>78762.621429999999</v>
      </c>
      <c r="M1413" s="27">
        <v>78612.5</v>
      </c>
      <c r="N1413" s="30" t="s">
        <v>6</v>
      </c>
      <c r="O1413" s="28" t="s">
        <v>13</v>
      </c>
      <c r="P1413"/>
    </row>
    <row r="1414" spans="1:16" x14ac:dyDescent="0.35">
      <c r="A1414" s="4">
        <v>1411</v>
      </c>
      <c r="B1414" s="17">
        <v>46054.270833333336</v>
      </c>
      <c r="C1414" s="1">
        <v>78670.06</v>
      </c>
      <c r="D1414" s="20">
        <v>78734.5</v>
      </c>
      <c r="E1414" s="20">
        <v>78669.98</v>
      </c>
      <c r="F1414" s="1">
        <v>78726.36</v>
      </c>
      <c r="G1414" s="18">
        <v>118</v>
      </c>
      <c r="I1414" s="21">
        <v>46054.270833333336</v>
      </c>
      <c r="J1414" s="26"/>
      <c r="K1414" s="29"/>
      <c r="L1414" s="27">
        <v>78759.048569999999</v>
      </c>
      <c r="M1414" s="27">
        <v>78583.27</v>
      </c>
      <c r="N1414" s="30" t="s">
        <v>6</v>
      </c>
      <c r="O1414" s="28" t="s">
        <v>13</v>
      </c>
      <c r="P1414"/>
    </row>
    <row r="1415" spans="1:16" x14ac:dyDescent="0.35">
      <c r="A1415" s="4">
        <v>1412</v>
      </c>
      <c r="B1415" s="17">
        <v>46054.271527777775</v>
      </c>
      <c r="C1415" s="1">
        <v>78726.36</v>
      </c>
      <c r="D1415" s="20">
        <v>78744.36</v>
      </c>
      <c r="E1415" s="20">
        <v>78715.45</v>
      </c>
      <c r="F1415" s="1">
        <v>78729.63</v>
      </c>
      <c r="G1415" s="18">
        <v>115</v>
      </c>
      <c r="I1415" s="21">
        <v>46054.271527777775</v>
      </c>
      <c r="J1415" s="26"/>
      <c r="K1415" s="29"/>
      <c r="L1415" s="27">
        <v>78755.475709999999</v>
      </c>
      <c r="M1415" s="27">
        <v>78554.039999999994</v>
      </c>
      <c r="N1415" s="30" t="s">
        <v>6</v>
      </c>
      <c r="O1415" s="28" t="s">
        <v>13</v>
      </c>
      <c r="P1415"/>
    </row>
    <row r="1416" spans="1:16" x14ac:dyDescent="0.35">
      <c r="A1416" s="4">
        <v>1413</v>
      </c>
      <c r="B1416" s="17">
        <v>46054.272222222222</v>
      </c>
      <c r="C1416" s="1">
        <v>78729.63</v>
      </c>
      <c r="D1416" s="20">
        <v>78730.509999999995</v>
      </c>
      <c r="E1416" s="20">
        <v>78709.289999999994</v>
      </c>
      <c r="F1416" s="1">
        <v>78719.81</v>
      </c>
      <c r="G1416" s="18">
        <v>132</v>
      </c>
      <c r="I1416" s="21">
        <v>46054.272222222222</v>
      </c>
      <c r="J1416" s="26"/>
      <c r="K1416" s="29"/>
      <c r="L1416" s="27">
        <v>78751.902860000002</v>
      </c>
      <c r="M1416" s="27">
        <v>78524.81</v>
      </c>
      <c r="N1416" s="30" t="s">
        <v>6</v>
      </c>
      <c r="O1416" s="28" t="s">
        <v>13</v>
      </c>
      <c r="P1416"/>
    </row>
    <row r="1417" spans="1:16" x14ac:dyDescent="0.35">
      <c r="A1417" s="4">
        <v>1414</v>
      </c>
      <c r="B1417" s="17">
        <v>46054.272916666669</v>
      </c>
      <c r="C1417" s="1">
        <v>78719.81</v>
      </c>
      <c r="D1417" s="20">
        <v>78748.33</v>
      </c>
      <c r="E1417" s="20">
        <v>78680.83</v>
      </c>
      <c r="F1417" s="1">
        <v>78680.83</v>
      </c>
      <c r="G1417" s="18">
        <v>102</v>
      </c>
      <c r="I1417" s="21">
        <v>46054.272916666669</v>
      </c>
      <c r="J1417" s="26">
        <v>78748.33</v>
      </c>
      <c r="K1417" s="29"/>
      <c r="L1417" s="27">
        <v>78748.33</v>
      </c>
      <c r="M1417" s="27">
        <v>78495.58</v>
      </c>
      <c r="N1417" s="30" t="s">
        <v>6</v>
      </c>
      <c r="O1417" s="28" t="s">
        <v>13</v>
      </c>
      <c r="P1417"/>
    </row>
    <row r="1418" spans="1:16" x14ac:dyDescent="0.35">
      <c r="A1418" s="4">
        <v>1415</v>
      </c>
      <c r="B1418" s="17">
        <v>46054.273611111108</v>
      </c>
      <c r="C1418" s="1">
        <v>78680.95</v>
      </c>
      <c r="D1418" s="20">
        <v>78682.31</v>
      </c>
      <c r="E1418" s="20">
        <v>78646.720000000001</v>
      </c>
      <c r="F1418" s="1">
        <v>78654.960000000006</v>
      </c>
      <c r="G1418" s="18">
        <v>160</v>
      </c>
      <c r="I1418" s="21">
        <v>46054.273611111108</v>
      </c>
      <c r="J1418" s="26"/>
      <c r="K1418" s="29"/>
      <c r="L1418" s="27">
        <v>78720.86</v>
      </c>
      <c r="M1418" s="27">
        <v>78466.350000000006</v>
      </c>
      <c r="N1418" s="30" t="s">
        <v>6</v>
      </c>
      <c r="O1418" s="28" t="s">
        <v>13</v>
      </c>
      <c r="P1418"/>
    </row>
    <row r="1419" spans="1:16" x14ac:dyDescent="0.35">
      <c r="A1419" s="4">
        <v>1416</v>
      </c>
      <c r="B1419" s="17">
        <v>46054.274305555555</v>
      </c>
      <c r="C1419" s="1">
        <v>78654.97</v>
      </c>
      <c r="D1419" s="20">
        <v>78678.33</v>
      </c>
      <c r="E1419" s="20">
        <v>78653.100000000006</v>
      </c>
      <c r="F1419" s="1">
        <v>78653.100000000006</v>
      </c>
      <c r="G1419" s="18">
        <v>117</v>
      </c>
      <c r="I1419" s="21">
        <v>46054.274305555555</v>
      </c>
      <c r="J1419" s="26"/>
      <c r="K1419" s="29"/>
      <c r="L1419" s="27">
        <v>78693.39</v>
      </c>
      <c r="M1419" s="27">
        <v>78437.119999999995</v>
      </c>
      <c r="N1419" s="30" t="s">
        <v>6</v>
      </c>
      <c r="O1419" s="28" t="s">
        <v>13</v>
      </c>
      <c r="P1419"/>
    </row>
    <row r="1420" spans="1:16" x14ac:dyDescent="0.35">
      <c r="A1420" s="4">
        <v>1417</v>
      </c>
      <c r="B1420" s="17">
        <v>46054.275000000001</v>
      </c>
      <c r="C1420" s="1">
        <v>78653.06</v>
      </c>
      <c r="D1420" s="20">
        <v>78653.06</v>
      </c>
      <c r="E1420" s="20">
        <v>78551.48</v>
      </c>
      <c r="F1420" s="1">
        <v>78557.649999999994</v>
      </c>
      <c r="G1420" s="18">
        <v>170</v>
      </c>
      <c r="I1420" s="21">
        <v>46054.275000000001</v>
      </c>
      <c r="J1420" s="26"/>
      <c r="K1420" s="29"/>
      <c r="L1420" s="27">
        <v>78665.919999999998</v>
      </c>
      <c r="M1420" s="27">
        <v>78407.89</v>
      </c>
      <c r="N1420" s="30" t="s">
        <v>6</v>
      </c>
      <c r="O1420" s="28" t="s">
        <v>13</v>
      </c>
      <c r="P1420"/>
    </row>
    <row r="1421" spans="1:16" x14ac:dyDescent="0.35">
      <c r="A1421" s="4">
        <v>1418</v>
      </c>
      <c r="B1421" s="17">
        <v>46054.275694444441</v>
      </c>
      <c r="C1421" s="1">
        <v>78557.66</v>
      </c>
      <c r="D1421" s="20">
        <v>78572.33</v>
      </c>
      <c r="E1421" s="20">
        <v>78457.2</v>
      </c>
      <c r="F1421" s="1">
        <v>78458.740000000005</v>
      </c>
      <c r="G1421" s="18">
        <v>203</v>
      </c>
      <c r="I1421" s="21">
        <v>46054.275694444441</v>
      </c>
      <c r="J1421" s="26"/>
      <c r="K1421" s="29"/>
      <c r="L1421" s="27">
        <v>78638.45</v>
      </c>
      <c r="M1421" s="27">
        <v>78378.66</v>
      </c>
      <c r="N1421" s="30" t="s">
        <v>6</v>
      </c>
      <c r="O1421" s="28" t="s">
        <v>13</v>
      </c>
      <c r="P1421"/>
    </row>
    <row r="1422" spans="1:16" x14ac:dyDescent="0.35">
      <c r="A1422" s="4">
        <v>1419</v>
      </c>
      <c r="B1422" s="17">
        <v>46054.276388888888</v>
      </c>
      <c r="C1422" s="1">
        <v>78458.73</v>
      </c>
      <c r="D1422" s="20">
        <v>78467.7</v>
      </c>
      <c r="E1422" s="20">
        <v>78349.429999999993</v>
      </c>
      <c r="F1422" s="1">
        <v>78392.63</v>
      </c>
      <c r="G1422" s="18">
        <v>200</v>
      </c>
      <c r="I1422" s="21">
        <v>46054.276388888888</v>
      </c>
      <c r="J1422" s="26"/>
      <c r="K1422" s="29">
        <v>78349.429999999993</v>
      </c>
      <c r="L1422" s="27">
        <v>78610.98</v>
      </c>
      <c r="M1422" s="27">
        <v>78349.429999999993</v>
      </c>
      <c r="N1422" s="30" t="s">
        <v>6</v>
      </c>
      <c r="O1422" s="28" t="s">
        <v>13</v>
      </c>
      <c r="P1422"/>
    </row>
    <row r="1423" spans="1:16" x14ac:dyDescent="0.35">
      <c r="A1423" s="4">
        <v>1420</v>
      </c>
      <c r="B1423" s="17">
        <v>46054.277083333334</v>
      </c>
      <c r="C1423" s="1">
        <v>78390.740000000005</v>
      </c>
      <c r="D1423" s="20">
        <v>78474.61</v>
      </c>
      <c r="E1423" s="20">
        <v>78390.7</v>
      </c>
      <c r="F1423" s="1">
        <v>78474.61</v>
      </c>
      <c r="G1423" s="18">
        <v>193</v>
      </c>
      <c r="I1423" s="21">
        <v>46054.277083333334</v>
      </c>
      <c r="J1423" s="26"/>
      <c r="K1423" s="29"/>
      <c r="L1423" s="27">
        <v>78583.509999999995</v>
      </c>
      <c r="M1423" s="27"/>
      <c r="N1423" s="30" t="s">
        <v>6</v>
      </c>
      <c r="O1423" s="28"/>
      <c r="P1423"/>
    </row>
    <row r="1424" spans="1:16" x14ac:dyDescent="0.35">
      <c r="A1424" s="4">
        <v>1421</v>
      </c>
      <c r="B1424" s="17">
        <v>46054.277777777781</v>
      </c>
      <c r="C1424" s="1">
        <v>78474.61</v>
      </c>
      <c r="D1424" s="20">
        <v>78556.039999999994</v>
      </c>
      <c r="E1424" s="20">
        <v>78474.61</v>
      </c>
      <c r="F1424" s="1">
        <v>78493.45</v>
      </c>
      <c r="G1424" s="18">
        <v>206</v>
      </c>
      <c r="I1424" s="21">
        <v>46054.277777777781</v>
      </c>
      <c r="J1424" s="26">
        <v>78556.039999999994</v>
      </c>
      <c r="K1424" s="29"/>
      <c r="L1424" s="27">
        <v>78556.039999999994</v>
      </c>
      <c r="M1424" s="27"/>
      <c r="N1424" s="30" t="s">
        <v>6</v>
      </c>
      <c r="O1424" s="28"/>
      <c r="P1424"/>
    </row>
    <row r="1425" spans="1:16" x14ac:dyDescent="0.35">
      <c r="A1425" s="4">
        <v>1422</v>
      </c>
      <c r="B1425" s="17">
        <v>46054.27847222222</v>
      </c>
      <c r="C1425" s="1">
        <v>78499.11</v>
      </c>
      <c r="D1425" s="20">
        <v>78530.039999999994</v>
      </c>
      <c r="E1425" s="20">
        <v>78474.41</v>
      </c>
      <c r="F1425" s="1">
        <v>78484.820000000007</v>
      </c>
      <c r="G1425" s="18">
        <v>190</v>
      </c>
      <c r="I1425" s="21">
        <v>46054.27847222222</v>
      </c>
      <c r="J1425" s="26"/>
      <c r="K1425" s="29"/>
      <c r="L1425" s="27">
        <v>78553.502500000002</v>
      </c>
      <c r="M1425" s="27"/>
      <c r="N1425" s="30" t="s">
        <v>6</v>
      </c>
      <c r="O1425" s="28"/>
      <c r="P1425"/>
    </row>
    <row r="1426" spans="1:16" x14ac:dyDescent="0.35">
      <c r="A1426" s="4">
        <v>1423</v>
      </c>
      <c r="B1426" s="17">
        <v>46054.279166666667</v>
      </c>
      <c r="C1426" s="1">
        <v>78484.820000000007</v>
      </c>
      <c r="D1426" s="20">
        <v>78536</v>
      </c>
      <c r="E1426" s="20">
        <v>78484.03</v>
      </c>
      <c r="F1426" s="1">
        <v>78498.62</v>
      </c>
      <c r="G1426" s="18">
        <v>169</v>
      </c>
      <c r="I1426" s="21">
        <v>46054.279166666667</v>
      </c>
      <c r="J1426" s="26"/>
      <c r="K1426" s="29"/>
      <c r="L1426" s="27">
        <v>78550.964999999997</v>
      </c>
      <c r="M1426" s="27"/>
      <c r="N1426" s="30" t="s">
        <v>6</v>
      </c>
      <c r="O1426" s="28"/>
      <c r="P1426"/>
    </row>
    <row r="1427" spans="1:16" x14ac:dyDescent="0.35">
      <c r="A1427" s="4">
        <v>1424</v>
      </c>
      <c r="B1427" s="17">
        <v>46054.279861111114</v>
      </c>
      <c r="C1427" s="1">
        <v>78499.08</v>
      </c>
      <c r="D1427" s="20">
        <v>78535.72</v>
      </c>
      <c r="E1427" s="20">
        <v>78473.61</v>
      </c>
      <c r="F1427" s="1">
        <v>78531.520000000004</v>
      </c>
      <c r="G1427" s="18">
        <v>146</v>
      </c>
      <c r="I1427" s="21">
        <v>46054.279861111114</v>
      </c>
      <c r="J1427" s="26"/>
      <c r="K1427" s="29"/>
      <c r="L1427" s="27">
        <v>78548.427500000005</v>
      </c>
      <c r="M1427" s="27"/>
      <c r="N1427" s="30" t="s">
        <v>6</v>
      </c>
      <c r="O1427" s="28"/>
      <c r="P1427"/>
    </row>
    <row r="1428" spans="1:16" x14ac:dyDescent="0.35">
      <c r="A1428" s="4">
        <v>1425</v>
      </c>
      <c r="B1428" s="17">
        <v>46054.280555555553</v>
      </c>
      <c r="C1428" s="1">
        <v>78531.520000000004</v>
      </c>
      <c r="D1428" s="20">
        <v>78545.89</v>
      </c>
      <c r="E1428" s="20">
        <v>78475.34</v>
      </c>
      <c r="F1428" s="1">
        <v>78475.34</v>
      </c>
      <c r="G1428" s="18">
        <v>167</v>
      </c>
      <c r="I1428" s="21">
        <v>46054.280555555553</v>
      </c>
      <c r="J1428" s="26">
        <v>78545.89</v>
      </c>
      <c r="K1428" s="29"/>
      <c r="L1428" s="27">
        <v>78545.89</v>
      </c>
      <c r="M1428" s="27"/>
      <c r="N1428" s="30" t="s">
        <v>6</v>
      </c>
      <c r="O1428" s="28"/>
      <c r="P1428"/>
    </row>
    <row r="1429" spans="1:16" x14ac:dyDescent="0.35">
      <c r="A1429" s="4">
        <v>1426</v>
      </c>
      <c r="B1429" s="17">
        <v>46054.28125</v>
      </c>
      <c r="C1429" s="1">
        <v>78475.3</v>
      </c>
      <c r="D1429" s="20">
        <v>78475.3</v>
      </c>
      <c r="E1429" s="20">
        <v>78423.87</v>
      </c>
      <c r="F1429" s="1">
        <v>78437.539999999994</v>
      </c>
      <c r="G1429" s="18">
        <v>184</v>
      </c>
      <c r="I1429" s="21">
        <v>46054.28125</v>
      </c>
      <c r="J1429" s="26"/>
      <c r="K1429" s="29"/>
      <c r="L1429" s="27"/>
      <c r="M1429" s="27"/>
      <c r="N1429" s="30"/>
      <c r="O1429" s="28"/>
      <c r="P1429"/>
    </row>
    <row r="1430" spans="1:16" x14ac:dyDescent="0.35">
      <c r="A1430" s="4">
        <v>1427</v>
      </c>
      <c r="B1430" s="17">
        <v>46054.281944444447</v>
      </c>
      <c r="C1430" s="1">
        <v>78437.62</v>
      </c>
      <c r="D1430" s="20">
        <v>78477.52</v>
      </c>
      <c r="E1430" s="20">
        <v>78394.92</v>
      </c>
      <c r="F1430" s="1">
        <v>78420.350000000006</v>
      </c>
      <c r="G1430" s="18">
        <v>205</v>
      </c>
      <c r="I1430" s="21">
        <v>46054.281944444447</v>
      </c>
      <c r="J1430" s="26"/>
      <c r="K1430" s="29"/>
      <c r="L1430" s="27"/>
      <c r="M1430" s="27"/>
      <c r="N1430" s="30"/>
      <c r="O1430" s="28"/>
      <c r="P1430"/>
    </row>
    <row r="1431" spans="1:16" x14ac:dyDescent="0.35">
      <c r="A1431" s="4">
        <v>1428</v>
      </c>
      <c r="B1431" s="17">
        <v>46054.282638888886</v>
      </c>
      <c r="C1431" s="1">
        <v>78420.33</v>
      </c>
      <c r="D1431" s="20">
        <v>78420.33</v>
      </c>
      <c r="E1431" s="20">
        <v>78324.34</v>
      </c>
      <c r="F1431" s="1">
        <v>78333.81</v>
      </c>
      <c r="G1431" s="18">
        <v>167</v>
      </c>
      <c r="I1431" s="21">
        <v>46054.282638888886</v>
      </c>
      <c r="J1431" s="26"/>
      <c r="K1431" s="29"/>
      <c r="L1431" s="27"/>
      <c r="M1431" s="27"/>
      <c r="N1431" s="30"/>
      <c r="O1431" s="28"/>
      <c r="P1431"/>
    </row>
    <row r="1432" spans="1:16" x14ac:dyDescent="0.35">
      <c r="A1432" s="4">
        <v>1429</v>
      </c>
      <c r="B1432" s="17">
        <v>46054.283333333333</v>
      </c>
      <c r="C1432" s="1">
        <v>78315.14</v>
      </c>
      <c r="D1432" s="20">
        <v>78335.7</v>
      </c>
      <c r="E1432" s="20">
        <v>78270.429999999993</v>
      </c>
      <c r="F1432" s="1">
        <v>78335.7</v>
      </c>
      <c r="G1432" s="18">
        <v>56</v>
      </c>
      <c r="I1432" s="21">
        <v>46054.283333333333</v>
      </c>
      <c r="J1432" s="26"/>
      <c r="K1432" s="29"/>
      <c r="L1432" s="27"/>
      <c r="M1432" s="27"/>
      <c r="N1432" s="30"/>
      <c r="O1432" s="28"/>
      <c r="P1432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Pivots(4,4,20,HL)</vt:lpstr>
      <vt:lpstr>Issue1950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2020-09-14T00:08:07Z</dcterms:created>
  <dcterms:modified xsi:type="dcterms:W3CDTF">2026-02-01T21:35:17Z</dcterms:modified>
</cp:coreProperties>
</file>