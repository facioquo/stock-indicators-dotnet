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stock-indicators\tests\integration\indicators\WilliamsR\"/>
    </mc:Choice>
  </mc:AlternateContent>
  <xr:revisionPtr revIDLastSave="0" documentId="13_ncr:1_{A07CC73D-89DD-4754-AAD3-1DB0490A1D6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illiamsR(14)" sheetId="2" r:id="rId1"/>
  </sheets>
  <calcPr calcId="191029" iterate="1" iterateCount="5000" iterateDelta="1E-4"/>
</workbook>
</file>

<file path=xl/calcChain.xml><?xml version="1.0" encoding="utf-8"?>
<calcChain xmlns="http://schemas.openxmlformats.org/spreadsheetml/2006/main">
  <c r="J16" i="2" l="1"/>
  <c r="K16" i="2"/>
  <c r="L16" i="2"/>
  <c r="J17" i="2"/>
  <c r="K17" i="2"/>
  <c r="L17" i="2"/>
  <c r="J18" i="2"/>
  <c r="K18" i="2"/>
  <c r="L18" i="2"/>
  <c r="J19" i="2"/>
  <c r="K19" i="2"/>
  <c r="L19" i="2"/>
  <c r="J20" i="2"/>
  <c r="K20" i="2"/>
  <c r="L20" i="2"/>
  <c r="J21" i="2"/>
  <c r="K21" i="2"/>
  <c r="L21" i="2"/>
  <c r="J22" i="2"/>
  <c r="K22" i="2" s="1"/>
  <c r="L22" i="2" s="1"/>
  <c r="J23" i="2"/>
  <c r="K23" i="2"/>
  <c r="L23" i="2"/>
  <c r="J24" i="2"/>
  <c r="K24" i="2"/>
  <c r="L24" i="2"/>
  <c r="J25" i="2"/>
  <c r="K25" i="2"/>
  <c r="L25" i="2"/>
  <c r="J26" i="2"/>
  <c r="K26" i="2"/>
  <c r="L26" i="2"/>
  <c r="J27" i="2"/>
  <c r="K27" i="2"/>
  <c r="L27" i="2"/>
  <c r="J28" i="2"/>
  <c r="K28" i="2"/>
  <c r="L28" i="2"/>
  <c r="J29" i="2"/>
  <c r="K29" i="2" s="1"/>
  <c r="L29" i="2" s="1"/>
  <c r="J30" i="2"/>
  <c r="K30" i="2"/>
  <c r="L30" i="2"/>
  <c r="J31" i="2"/>
  <c r="K31" i="2"/>
  <c r="L31" i="2"/>
  <c r="J32" i="2"/>
  <c r="K32" i="2"/>
  <c r="L32" i="2"/>
  <c r="J33" i="2"/>
  <c r="K33" i="2"/>
  <c r="L33" i="2"/>
  <c r="J34" i="2"/>
  <c r="K34" i="2"/>
  <c r="L34" i="2"/>
  <c r="J35" i="2"/>
  <c r="K35" i="2"/>
  <c r="L35" i="2"/>
  <c r="J36" i="2"/>
  <c r="K36" i="2"/>
  <c r="L36" i="2"/>
  <c r="J37" i="2"/>
  <c r="K37" i="2"/>
  <c r="L37" i="2"/>
  <c r="J38" i="2"/>
  <c r="K38" i="2"/>
  <c r="L38" i="2"/>
  <c r="J39" i="2"/>
  <c r="K39" i="2"/>
  <c r="L39" i="2"/>
  <c r="J40" i="2"/>
  <c r="K40" i="2"/>
  <c r="L40" i="2"/>
  <c r="J41" i="2"/>
  <c r="K41" i="2"/>
  <c r="L41" i="2"/>
  <c r="J42" i="2"/>
  <c r="K42" i="2"/>
  <c r="L42" i="2" s="1"/>
  <c r="J43" i="2"/>
  <c r="K43" i="2"/>
  <c r="L43" i="2"/>
  <c r="J44" i="2"/>
  <c r="K44" i="2"/>
  <c r="L44" i="2"/>
  <c r="J45" i="2"/>
  <c r="K45" i="2"/>
  <c r="L45" i="2"/>
  <c r="J46" i="2"/>
  <c r="K46" i="2"/>
  <c r="L46" i="2"/>
  <c r="J47" i="2"/>
  <c r="K47" i="2"/>
  <c r="L47" i="2"/>
  <c r="J48" i="2"/>
  <c r="K48" i="2"/>
  <c r="L48" i="2"/>
  <c r="J49" i="2"/>
  <c r="K49" i="2" s="1"/>
  <c r="L49" i="2" s="1"/>
  <c r="J50" i="2"/>
  <c r="K50" i="2"/>
  <c r="L50" i="2"/>
  <c r="J51" i="2"/>
  <c r="K51" i="2"/>
  <c r="L51" i="2"/>
  <c r="J52" i="2"/>
  <c r="K52" i="2"/>
  <c r="L52" i="2"/>
  <c r="J53" i="2"/>
  <c r="K53" i="2"/>
  <c r="L53" i="2"/>
  <c r="J54" i="2"/>
  <c r="K54" i="2"/>
  <c r="L54" i="2"/>
  <c r="J55" i="2"/>
  <c r="K55" i="2"/>
  <c r="L55" i="2"/>
  <c r="J56" i="2"/>
  <c r="K56" i="2"/>
  <c r="L56" i="2"/>
  <c r="J57" i="2"/>
  <c r="K57" i="2"/>
  <c r="L57" i="2"/>
  <c r="J58" i="2"/>
  <c r="K58" i="2"/>
  <c r="L58" i="2"/>
  <c r="J59" i="2"/>
  <c r="K59" i="2"/>
  <c r="L59" i="2"/>
  <c r="J60" i="2"/>
  <c r="K60" i="2"/>
  <c r="L60" i="2"/>
  <c r="J61" i="2"/>
  <c r="K61" i="2"/>
  <c r="L61" i="2"/>
  <c r="J62" i="2"/>
  <c r="K62" i="2"/>
  <c r="L62" i="2" s="1"/>
  <c r="J63" i="2"/>
  <c r="K63" i="2"/>
  <c r="L63" i="2"/>
  <c r="J64" i="2"/>
  <c r="K64" i="2"/>
  <c r="L64" i="2"/>
  <c r="J65" i="2"/>
  <c r="K65" i="2"/>
  <c r="L65" i="2"/>
  <c r="J66" i="2"/>
  <c r="K66" i="2"/>
  <c r="L66" i="2"/>
  <c r="J67" i="2"/>
  <c r="K67" i="2"/>
  <c r="L67" i="2"/>
  <c r="J68" i="2"/>
  <c r="K68" i="2"/>
  <c r="L68" i="2"/>
  <c r="J69" i="2"/>
  <c r="K69" i="2" s="1"/>
  <c r="L69" i="2" s="1"/>
  <c r="J70" i="2"/>
  <c r="K70" i="2"/>
  <c r="L70" i="2"/>
  <c r="J71" i="2"/>
  <c r="K71" i="2"/>
  <c r="L71" i="2"/>
  <c r="J72" i="2"/>
  <c r="K72" i="2"/>
  <c r="L72" i="2"/>
  <c r="J73" i="2"/>
  <c r="K73" i="2"/>
  <c r="L73" i="2"/>
  <c r="J74" i="2"/>
  <c r="K74" i="2"/>
  <c r="L74" i="2"/>
  <c r="J75" i="2"/>
  <c r="K75" i="2"/>
  <c r="L75" i="2"/>
  <c r="J76" i="2"/>
  <c r="K76" i="2"/>
  <c r="L76" i="2"/>
  <c r="J77" i="2"/>
  <c r="K77" i="2"/>
  <c r="L77" i="2"/>
  <c r="J78" i="2"/>
  <c r="K78" i="2"/>
  <c r="L78" i="2"/>
  <c r="J79" i="2"/>
  <c r="K79" i="2"/>
  <c r="L79" i="2"/>
  <c r="J80" i="2"/>
  <c r="K80" i="2"/>
  <c r="L80" i="2"/>
  <c r="J81" i="2"/>
  <c r="K81" i="2"/>
  <c r="L81" i="2"/>
  <c r="J82" i="2"/>
  <c r="K82" i="2"/>
  <c r="L82" i="2" s="1"/>
  <c r="J83" i="2"/>
  <c r="K83" i="2"/>
  <c r="L83" i="2"/>
  <c r="J84" i="2"/>
  <c r="K84" i="2"/>
  <c r="L84" i="2"/>
  <c r="J85" i="2"/>
  <c r="K85" i="2"/>
  <c r="L85" i="2"/>
  <c r="J86" i="2"/>
  <c r="K86" i="2"/>
  <c r="L86" i="2"/>
  <c r="J87" i="2"/>
  <c r="K87" i="2"/>
  <c r="L87" i="2"/>
  <c r="J88" i="2"/>
  <c r="K88" i="2"/>
  <c r="L88" i="2"/>
  <c r="J89" i="2"/>
  <c r="K89" i="2" s="1"/>
  <c r="L89" i="2" s="1"/>
  <c r="J90" i="2"/>
  <c r="K90" i="2"/>
  <c r="L90" i="2"/>
  <c r="J91" i="2"/>
  <c r="K91" i="2"/>
  <c r="L91" i="2"/>
  <c r="J92" i="2"/>
  <c r="K92" i="2"/>
  <c r="L92" i="2"/>
  <c r="J93" i="2"/>
  <c r="K93" i="2"/>
  <c r="L93" i="2"/>
  <c r="J94" i="2"/>
  <c r="K94" i="2"/>
  <c r="L94" i="2"/>
  <c r="J95" i="2"/>
  <c r="K95" i="2"/>
  <c r="L95" i="2"/>
  <c r="J96" i="2"/>
  <c r="K96" i="2"/>
  <c r="L96" i="2"/>
  <c r="J97" i="2"/>
  <c r="K97" i="2"/>
  <c r="L97" i="2"/>
  <c r="J98" i="2"/>
  <c r="K98" i="2"/>
  <c r="L98" i="2"/>
  <c r="J99" i="2"/>
  <c r="K99" i="2"/>
  <c r="L99" i="2"/>
  <c r="J100" i="2"/>
  <c r="K100" i="2"/>
  <c r="L100" i="2"/>
  <c r="J101" i="2"/>
  <c r="K101" i="2"/>
  <c r="L101" i="2"/>
  <c r="J102" i="2"/>
  <c r="K102" i="2"/>
  <c r="L102" i="2" s="1"/>
  <c r="J103" i="2"/>
  <c r="K103" i="2"/>
  <c r="L103" i="2"/>
  <c r="J104" i="2"/>
  <c r="K104" i="2"/>
  <c r="L104" i="2"/>
  <c r="J105" i="2"/>
  <c r="K105" i="2"/>
  <c r="L105" i="2"/>
  <c r="J106" i="2"/>
  <c r="K106" i="2"/>
  <c r="L106" i="2"/>
  <c r="J107" i="2"/>
  <c r="K107" i="2"/>
  <c r="L107" i="2"/>
  <c r="J108" i="2"/>
  <c r="K108" i="2"/>
  <c r="L108" i="2"/>
  <c r="J109" i="2"/>
  <c r="K109" i="2" s="1"/>
  <c r="L109" i="2" s="1"/>
  <c r="J110" i="2"/>
  <c r="K110" i="2"/>
  <c r="L110" i="2"/>
  <c r="J111" i="2"/>
  <c r="K111" i="2"/>
  <c r="L111" i="2"/>
  <c r="J112" i="2"/>
  <c r="K112" i="2"/>
  <c r="L112" i="2"/>
  <c r="J113" i="2"/>
  <c r="K113" i="2"/>
  <c r="L113" i="2"/>
  <c r="J114" i="2"/>
  <c r="K114" i="2"/>
  <c r="L114" i="2"/>
  <c r="J115" i="2"/>
  <c r="K115" i="2"/>
  <c r="L115" i="2"/>
  <c r="J116" i="2"/>
  <c r="K116" i="2"/>
  <c r="L116" i="2"/>
  <c r="J117" i="2"/>
  <c r="K117" i="2"/>
  <c r="L117" i="2"/>
  <c r="J118" i="2"/>
  <c r="K118" i="2"/>
  <c r="L118" i="2"/>
  <c r="J119" i="2"/>
  <c r="K119" i="2"/>
  <c r="L119" i="2"/>
  <c r="J120" i="2"/>
  <c r="K120" i="2"/>
  <c r="L120" i="2"/>
  <c r="J121" i="2"/>
  <c r="K121" i="2"/>
  <c r="L121" i="2"/>
  <c r="J122" i="2"/>
  <c r="K122" i="2"/>
  <c r="L122" i="2" s="1"/>
  <c r="J123" i="2"/>
  <c r="K123" i="2"/>
  <c r="L123" i="2"/>
  <c r="J124" i="2"/>
  <c r="K124" i="2"/>
  <c r="L124" i="2"/>
  <c r="J125" i="2"/>
  <c r="K125" i="2"/>
  <c r="L125" i="2"/>
  <c r="J126" i="2"/>
  <c r="K126" i="2"/>
  <c r="L126" i="2"/>
  <c r="J127" i="2"/>
  <c r="K127" i="2"/>
  <c r="L127" i="2"/>
  <c r="J128" i="2"/>
  <c r="K128" i="2"/>
  <c r="L128" i="2"/>
  <c r="J129" i="2"/>
  <c r="K129" i="2" s="1"/>
  <c r="L129" i="2" s="1"/>
  <c r="J130" i="2"/>
  <c r="K130" i="2"/>
  <c r="L130" i="2"/>
  <c r="J131" i="2"/>
  <c r="K131" i="2"/>
  <c r="L131" i="2"/>
  <c r="J132" i="2"/>
  <c r="K132" i="2"/>
  <c r="L132" i="2"/>
  <c r="J133" i="2"/>
  <c r="K133" i="2"/>
  <c r="L133" i="2"/>
  <c r="J134" i="2"/>
  <c r="K134" i="2"/>
  <c r="L134" i="2"/>
  <c r="J135" i="2"/>
  <c r="K135" i="2"/>
  <c r="L135" i="2"/>
  <c r="J136" i="2"/>
  <c r="K136" i="2"/>
  <c r="L136" i="2"/>
  <c r="J137" i="2"/>
  <c r="K137" i="2"/>
  <c r="L137" i="2"/>
  <c r="J138" i="2"/>
  <c r="K138" i="2"/>
  <c r="L138" i="2"/>
  <c r="J139" i="2"/>
  <c r="K139" i="2"/>
  <c r="L139" i="2"/>
  <c r="J140" i="2"/>
  <c r="K140" i="2"/>
  <c r="L140" i="2"/>
  <c r="J141" i="2"/>
  <c r="K141" i="2"/>
  <c r="L141" i="2"/>
  <c r="J142" i="2"/>
  <c r="K142" i="2"/>
  <c r="L142" i="2" s="1"/>
  <c r="J143" i="2"/>
  <c r="K143" i="2"/>
  <c r="L143" i="2"/>
  <c r="J144" i="2"/>
  <c r="K144" i="2"/>
  <c r="L144" i="2"/>
  <c r="J145" i="2"/>
  <c r="K145" i="2"/>
  <c r="L145" i="2"/>
  <c r="J146" i="2"/>
  <c r="K146" i="2"/>
  <c r="L146" i="2"/>
  <c r="J147" i="2"/>
  <c r="K147" i="2"/>
  <c r="L147" i="2"/>
  <c r="J148" i="2"/>
  <c r="K148" i="2"/>
  <c r="L148" i="2"/>
  <c r="J149" i="2"/>
  <c r="K149" i="2" s="1"/>
  <c r="L149" i="2" s="1"/>
  <c r="J150" i="2"/>
  <c r="K150" i="2"/>
  <c r="L150" i="2"/>
  <c r="J151" i="2"/>
  <c r="K151" i="2"/>
  <c r="L151" i="2"/>
  <c r="J152" i="2"/>
  <c r="K152" i="2"/>
  <c r="L152" i="2"/>
  <c r="J153" i="2"/>
  <c r="K153" i="2"/>
  <c r="L153" i="2"/>
  <c r="J154" i="2"/>
  <c r="K154" i="2"/>
  <c r="L154" i="2"/>
  <c r="J155" i="2"/>
  <c r="K155" i="2"/>
  <c r="L155" i="2"/>
  <c r="J156" i="2"/>
  <c r="K156" i="2"/>
  <c r="L156" i="2"/>
  <c r="J157" i="2"/>
  <c r="K157" i="2"/>
  <c r="L157" i="2"/>
  <c r="J158" i="2"/>
  <c r="K158" i="2"/>
  <c r="L158" i="2"/>
  <c r="J159" i="2"/>
  <c r="K159" i="2"/>
  <c r="L159" i="2"/>
  <c r="J160" i="2"/>
  <c r="K160" i="2"/>
  <c r="L160" i="2"/>
  <c r="J161" i="2"/>
  <c r="K161" i="2"/>
  <c r="L161" i="2"/>
  <c r="J162" i="2"/>
  <c r="K162" i="2"/>
  <c r="L162" i="2" s="1"/>
  <c r="J163" i="2"/>
  <c r="K163" i="2"/>
  <c r="L163" i="2"/>
  <c r="J164" i="2"/>
  <c r="K164" i="2"/>
  <c r="L164" i="2"/>
  <c r="J165" i="2"/>
  <c r="K165" i="2"/>
  <c r="L165" i="2"/>
  <c r="J166" i="2"/>
  <c r="K166" i="2"/>
  <c r="L166" i="2"/>
  <c r="J167" i="2"/>
  <c r="K167" i="2"/>
  <c r="L167" i="2"/>
  <c r="J168" i="2"/>
  <c r="K168" i="2"/>
  <c r="L168" i="2"/>
  <c r="J169" i="2"/>
  <c r="K169" i="2" s="1"/>
  <c r="L169" i="2" s="1"/>
  <c r="J170" i="2"/>
  <c r="K170" i="2"/>
  <c r="L170" i="2"/>
  <c r="J171" i="2"/>
  <c r="K171" i="2"/>
  <c r="L171" i="2"/>
  <c r="J172" i="2"/>
  <c r="K172" i="2"/>
  <c r="L172" i="2"/>
  <c r="J173" i="2"/>
  <c r="K173" i="2"/>
  <c r="L173" i="2"/>
  <c r="J174" i="2"/>
  <c r="K174" i="2"/>
  <c r="L174" i="2"/>
  <c r="J175" i="2"/>
  <c r="K175" i="2"/>
  <c r="L175" i="2"/>
  <c r="J176" i="2"/>
  <c r="K176" i="2"/>
  <c r="L176" i="2"/>
  <c r="J177" i="2"/>
  <c r="K177" i="2"/>
  <c r="L177" i="2"/>
  <c r="J178" i="2"/>
  <c r="K178" i="2"/>
  <c r="L178" i="2"/>
  <c r="J179" i="2"/>
  <c r="K179" i="2"/>
  <c r="L179" i="2"/>
  <c r="J180" i="2"/>
  <c r="K180" i="2"/>
  <c r="L180" i="2"/>
  <c r="J181" i="2"/>
  <c r="K181" i="2"/>
  <c r="L181" i="2"/>
  <c r="J182" i="2"/>
  <c r="K182" i="2"/>
  <c r="L182" i="2" s="1"/>
  <c r="J183" i="2"/>
  <c r="K183" i="2"/>
  <c r="L183" i="2"/>
  <c r="J184" i="2"/>
  <c r="K184" i="2"/>
  <c r="L184" i="2"/>
  <c r="J185" i="2"/>
  <c r="K185" i="2"/>
  <c r="L185" i="2"/>
  <c r="J186" i="2"/>
  <c r="K186" i="2"/>
  <c r="L186" i="2"/>
  <c r="J187" i="2"/>
  <c r="K187" i="2"/>
  <c r="L187" i="2"/>
  <c r="J188" i="2"/>
  <c r="K188" i="2"/>
  <c r="L188" i="2"/>
  <c r="J189" i="2"/>
  <c r="K189" i="2" s="1"/>
  <c r="L189" i="2" s="1"/>
  <c r="J190" i="2"/>
  <c r="K190" i="2"/>
  <c r="L190" i="2"/>
  <c r="J191" i="2"/>
  <c r="K191" i="2"/>
  <c r="L191" i="2"/>
  <c r="J192" i="2"/>
  <c r="K192" i="2"/>
  <c r="L192" i="2"/>
  <c r="J193" i="2"/>
  <c r="K193" i="2"/>
  <c r="L193" i="2"/>
  <c r="J194" i="2"/>
  <c r="K194" i="2"/>
  <c r="L194" i="2"/>
  <c r="J195" i="2"/>
  <c r="K195" i="2"/>
  <c r="L195" i="2"/>
  <c r="J196" i="2"/>
  <c r="K196" i="2"/>
  <c r="L196" i="2"/>
  <c r="J197" i="2"/>
  <c r="K197" i="2"/>
  <c r="L197" i="2"/>
  <c r="J198" i="2"/>
  <c r="K198" i="2"/>
  <c r="L198" i="2"/>
  <c r="J199" i="2"/>
  <c r="K199" i="2"/>
  <c r="L199" i="2"/>
  <c r="J200" i="2"/>
  <c r="K200" i="2"/>
  <c r="L200" i="2"/>
  <c r="J201" i="2"/>
  <c r="K201" i="2"/>
  <c r="L201" i="2"/>
  <c r="J202" i="2"/>
  <c r="K202" i="2"/>
  <c r="L202" i="2" s="1"/>
  <c r="J203" i="2"/>
  <c r="K203" i="2"/>
  <c r="L203" i="2"/>
  <c r="J204" i="2"/>
  <c r="K204" i="2"/>
  <c r="L204" i="2"/>
  <c r="J205" i="2"/>
  <c r="K205" i="2"/>
  <c r="L205" i="2"/>
  <c r="J206" i="2"/>
  <c r="K206" i="2"/>
  <c r="L206" i="2"/>
  <c r="J207" i="2"/>
  <c r="K207" i="2"/>
  <c r="L207" i="2"/>
  <c r="J208" i="2"/>
  <c r="K208" i="2"/>
  <c r="L208" i="2"/>
  <c r="J209" i="2"/>
  <c r="K209" i="2" s="1"/>
  <c r="L209" i="2" s="1"/>
  <c r="J210" i="2"/>
  <c r="K210" i="2"/>
  <c r="L210" i="2"/>
  <c r="J211" i="2"/>
  <c r="K211" i="2"/>
  <c r="L211" i="2"/>
  <c r="J212" i="2"/>
  <c r="K212" i="2"/>
  <c r="L212" i="2"/>
  <c r="J213" i="2"/>
  <c r="K213" i="2"/>
  <c r="L213" i="2"/>
  <c r="J214" i="2"/>
  <c r="K214" i="2"/>
  <c r="L214" i="2"/>
  <c r="J215" i="2"/>
  <c r="K215" i="2"/>
  <c r="L215" i="2"/>
  <c r="J216" i="2"/>
  <c r="K216" i="2"/>
  <c r="L216" i="2"/>
  <c r="J217" i="2"/>
  <c r="K217" i="2"/>
  <c r="L217" i="2"/>
  <c r="J218" i="2"/>
  <c r="K218" i="2"/>
  <c r="L218" i="2"/>
  <c r="J219" i="2"/>
  <c r="K219" i="2"/>
  <c r="L219" i="2"/>
  <c r="J220" i="2"/>
  <c r="K220" i="2"/>
  <c r="L220" i="2"/>
  <c r="J221" i="2"/>
  <c r="K221" i="2"/>
  <c r="L221" i="2"/>
  <c r="J222" i="2"/>
  <c r="K222" i="2"/>
  <c r="L222" i="2" s="1"/>
  <c r="J223" i="2"/>
  <c r="K223" i="2"/>
  <c r="L223" i="2"/>
  <c r="J224" i="2"/>
  <c r="K224" i="2"/>
  <c r="L224" i="2"/>
  <c r="J225" i="2"/>
  <c r="K225" i="2"/>
  <c r="L225" i="2"/>
  <c r="J226" i="2"/>
  <c r="K226" i="2"/>
  <c r="L226" i="2"/>
  <c r="J227" i="2"/>
  <c r="K227" i="2"/>
  <c r="L227" i="2"/>
  <c r="J228" i="2"/>
  <c r="K228" i="2"/>
  <c r="L228" i="2"/>
  <c r="J229" i="2"/>
  <c r="K229" i="2" s="1"/>
  <c r="L229" i="2" s="1"/>
  <c r="J230" i="2"/>
  <c r="K230" i="2"/>
  <c r="L230" i="2"/>
  <c r="J231" i="2"/>
  <c r="K231" i="2"/>
  <c r="L231" i="2"/>
  <c r="J232" i="2"/>
  <c r="K232" i="2"/>
  <c r="L232" i="2"/>
  <c r="J233" i="2"/>
  <c r="K233" i="2"/>
  <c r="L233" i="2"/>
  <c r="J234" i="2"/>
  <c r="K234" i="2"/>
  <c r="L234" i="2"/>
  <c r="J235" i="2"/>
  <c r="K235" i="2"/>
  <c r="L235" i="2"/>
  <c r="J236" i="2"/>
  <c r="K236" i="2"/>
  <c r="L236" i="2"/>
  <c r="J237" i="2"/>
  <c r="K237" i="2"/>
  <c r="L237" i="2"/>
  <c r="J238" i="2"/>
  <c r="K238" i="2"/>
  <c r="L238" i="2"/>
  <c r="J239" i="2"/>
  <c r="K239" i="2"/>
  <c r="L239" i="2"/>
  <c r="J240" i="2"/>
  <c r="K240" i="2"/>
  <c r="L240" i="2"/>
  <c r="J241" i="2"/>
  <c r="K241" i="2"/>
  <c r="L241" i="2"/>
  <c r="J242" i="2"/>
  <c r="K242" i="2"/>
  <c r="L242" i="2" s="1"/>
  <c r="J243" i="2"/>
  <c r="K243" i="2"/>
  <c r="L243" i="2"/>
  <c r="J244" i="2"/>
  <c r="K244" i="2"/>
  <c r="L244" i="2"/>
  <c r="J245" i="2"/>
  <c r="K245" i="2"/>
  <c r="L245" i="2"/>
  <c r="J246" i="2"/>
  <c r="K246" i="2"/>
  <c r="L246" i="2"/>
  <c r="J247" i="2"/>
  <c r="K247" i="2"/>
  <c r="L247" i="2"/>
  <c r="J248" i="2"/>
  <c r="K248" i="2"/>
  <c r="L248" i="2"/>
  <c r="J249" i="2"/>
  <c r="K249" i="2" s="1"/>
  <c r="L249" i="2" s="1"/>
  <c r="J250" i="2"/>
  <c r="K250" i="2"/>
  <c r="L250" i="2"/>
  <c r="J251" i="2"/>
  <c r="K251" i="2"/>
  <c r="L251" i="2"/>
  <c r="J252" i="2"/>
  <c r="K252" i="2"/>
  <c r="L252" i="2"/>
  <c r="J253" i="2"/>
  <c r="K253" i="2"/>
  <c r="L253" i="2"/>
  <c r="J254" i="2"/>
  <c r="K254" i="2"/>
  <c r="L254" i="2"/>
  <c r="J255" i="2"/>
  <c r="K255" i="2"/>
  <c r="L255" i="2"/>
  <c r="J256" i="2"/>
  <c r="K256" i="2"/>
  <c r="L256" i="2"/>
  <c r="J257" i="2"/>
  <c r="K257" i="2"/>
  <c r="L257" i="2"/>
  <c r="J258" i="2"/>
  <c r="K258" i="2"/>
  <c r="L258" i="2"/>
  <c r="J259" i="2"/>
  <c r="K259" i="2"/>
  <c r="L259" i="2"/>
  <c r="J260" i="2"/>
  <c r="K260" i="2"/>
  <c r="L260" i="2"/>
  <c r="J261" i="2"/>
  <c r="K261" i="2"/>
  <c r="L261" i="2"/>
  <c r="J262" i="2"/>
  <c r="K262" i="2"/>
  <c r="L262" i="2" s="1"/>
  <c r="J263" i="2"/>
  <c r="K263" i="2"/>
  <c r="L263" i="2"/>
  <c r="J264" i="2"/>
  <c r="K264" i="2"/>
  <c r="L264" i="2"/>
  <c r="J265" i="2"/>
  <c r="K265" i="2"/>
  <c r="L265" i="2"/>
  <c r="J266" i="2"/>
  <c r="K266" i="2"/>
  <c r="L266" i="2"/>
  <c r="J267" i="2"/>
  <c r="K267" i="2"/>
  <c r="L267" i="2"/>
  <c r="J268" i="2"/>
  <c r="K268" i="2"/>
  <c r="L268" i="2"/>
  <c r="J269" i="2"/>
  <c r="K269" i="2" s="1"/>
  <c r="L269" i="2" s="1"/>
  <c r="J270" i="2"/>
  <c r="K270" i="2"/>
  <c r="L270" i="2"/>
  <c r="J271" i="2"/>
  <c r="K271" i="2"/>
  <c r="L271" i="2"/>
  <c r="J272" i="2"/>
  <c r="K272" i="2"/>
  <c r="L272" i="2"/>
  <c r="J273" i="2"/>
  <c r="K273" i="2"/>
  <c r="L273" i="2"/>
  <c r="J274" i="2"/>
  <c r="K274" i="2"/>
  <c r="L274" i="2"/>
  <c r="J275" i="2"/>
  <c r="K275" i="2"/>
  <c r="L275" i="2"/>
  <c r="J276" i="2"/>
  <c r="K276" i="2"/>
  <c r="L276" i="2"/>
  <c r="J277" i="2"/>
  <c r="K277" i="2"/>
  <c r="L277" i="2"/>
  <c r="J278" i="2"/>
  <c r="K278" i="2"/>
  <c r="L278" i="2"/>
  <c r="J279" i="2"/>
  <c r="K279" i="2"/>
  <c r="L279" i="2"/>
  <c r="J280" i="2"/>
  <c r="K280" i="2"/>
  <c r="L280" i="2"/>
  <c r="J281" i="2"/>
  <c r="K281" i="2"/>
  <c r="L281" i="2"/>
  <c r="J282" i="2"/>
  <c r="K282" i="2"/>
  <c r="L282" i="2" s="1"/>
  <c r="J283" i="2"/>
  <c r="K283" i="2"/>
  <c r="L283" i="2"/>
  <c r="J284" i="2"/>
  <c r="K284" i="2"/>
  <c r="L284" i="2"/>
  <c r="J285" i="2"/>
  <c r="K285" i="2"/>
  <c r="L285" i="2"/>
  <c r="J286" i="2"/>
  <c r="K286" i="2"/>
  <c r="L286" i="2"/>
  <c r="J287" i="2"/>
  <c r="K287" i="2"/>
  <c r="L287" i="2"/>
  <c r="J288" i="2"/>
  <c r="K288" i="2"/>
  <c r="L288" i="2"/>
  <c r="J289" i="2"/>
  <c r="K289" i="2" s="1"/>
  <c r="L289" i="2" s="1"/>
  <c r="J290" i="2"/>
  <c r="K290" i="2"/>
  <c r="L290" i="2"/>
  <c r="J291" i="2"/>
  <c r="K291" i="2"/>
  <c r="L291" i="2"/>
  <c r="J292" i="2"/>
  <c r="K292" i="2"/>
  <c r="L292" i="2"/>
  <c r="J293" i="2"/>
  <c r="K293" i="2"/>
  <c r="L293" i="2"/>
  <c r="J294" i="2"/>
  <c r="K294" i="2"/>
  <c r="L294" i="2"/>
  <c r="J295" i="2"/>
  <c r="K295" i="2"/>
  <c r="L295" i="2"/>
  <c r="J296" i="2"/>
  <c r="K296" i="2"/>
  <c r="L296" i="2"/>
  <c r="J297" i="2"/>
  <c r="K297" i="2"/>
  <c r="L297" i="2"/>
  <c r="J298" i="2"/>
  <c r="K298" i="2"/>
  <c r="L298" i="2"/>
  <c r="J299" i="2"/>
  <c r="K299" i="2"/>
  <c r="L299" i="2"/>
  <c r="J300" i="2"/>
  <c r="K300" i="2"/>
  <c r="L300" i="2"/>
  <c r="J301" i="2"/>
  <c r="K301" i="2"/>
  <c r="L301" i="2"/>
  <c r="J302" i="2"/>
  <c r="K302" i="2"/>
  <c r="L302" i="2" s="1"/>
  <c r="J303" i="2"/>
  <c r="K303" i="2"/>
  <c r="L303" i="2"/>
  <c r="J304" i="2"/>
  <c r="K304" i="2"/>
  <c r="L304" i="2"/>
  <c r="J305" i="2"/>
  <c r="K305" i="2"/>
  <c r="L305" i="2"/>
  <c r="J306" i="2"/>
  <c r="K306" i="2"/>
  <c r="L306" i="2"/>
  <c r="J307" i="2"/>
  <c r="K307" i="2"/>
  <c r="L307" i="2"/>
  <c r="J308" i="2"/>
  <c r="K308" i="2"/>
  <c r="L308" i="2"/>
  <c r="J309" i="2"/>
  <c r="K309" i="2" s="1"/>
  <c r="L309" i="2" s="1"/>
  <c r="J310" i="2"/>
  <c r="K310" i="2"/>
  <c r="L310" i="2"/>
  <c r="J311" i="2"/>
  <c r="K311" i="2"/>
  <c r="L311" i="2"/>
  <c r="J312" i="2"/>
  <c r="K312" i="2"/>
  <c r="L312" i="2"/>
  <c r="J313" i="2"/>
  <c r="K313" i="2"/>
  <c r="L313" i="2"/>
  <c r="J314" i="2"/>
  <c r="K314" i="2"/>
  <c r="L314" i="2"/>
  <c r="J315" i="2"/>
  <c r="K315" i="2"/>
  <c r="L315" i="2"/>
  <c r="J316" i="2"/>
  <c r="K316" i="2"/>
  <c r="L316" i="2"/>
  <c r="J317" i="2"/>
  <c r="K317" i="2"/>
  <c r="L317" i="2"/>
  <c r="J318" i="2"/>
  <c r="K318" i="2"/>
  <c r="L318" i="2"/>
  <c r="J319" i="2"/>
  <c r="K319" i="2"/>
  <c r="L319" i="2"/>
  <c r="J320" i="2"/>
  <c r="K320" i="2"/>
  <c r="L320" i="2"/>
  <c r="J321" i="2"/>
  <c r="K321" i="2"/>
  <c r="L321" i="2"/>
  <c r="J322" i="2"/>
  <c r="K322" i="2"/>
  <c r="L322" i="2" s="1"/>
  <c r="J323" i="2"/>
  <c r="K323" i="2"/>
  <c r="L323" i="2"/>
  <c r="J324" i="2"/>
  <c r="K324" i="2"/>
  <c r="L324" i="2"/>
  <c r="J325" i="2"/>
  <c r="K325" i="2"/>
  <c r="L325" i="2"/>
  <c r="J326" i="2"/>
  <c r="K326" i="2"/>
  <c r="L326" i="2"/>
  <c r="J327" i="2"/>
  <c r="K327" i="2"/>
  <c r="L327" i="2"/>
  <c r="J328" i="2"/>
  <c r="K328" i="2"/>
  <c r="L328" i="2"/>
  <c r="J329" i="2"/>
  <c r="K329" i="2" s="1"/>
  <c r="L329" i="2" s="1"/>
  <c r="J330" i="2"/>
  <c r="K330" i="2"/>
  <c r="L330" i="2"/>
  <c r="J331" i="2"/>
  <c r="K331" i="2"/>
  <c r="L331" i="2"/>
  <c r="J332" i="2"/>
  <c r="K332" i="2"/>
  <c r="L332" i="2"/>
  <c r="J333" i="2"/>
  <c r="K333" i="2"/>
  <c r="L333" i="2"/>
  <c r="J334" i="2"/>
  <c r="K334" i="2"/>
  <c r="L334" i="2"/>
  <c r="J335" i="2"/>
  <c r="K335" i="2"/>
  <c r="L335" i="2"/>
  <c r="J336" i="2"/>
  <c r="K336" i="2"/>
  <c r="L336" i="2"/>
  <c r="J337" i="2"/>
  <c r="K337" i="2"/>
  <c r="L337" i="2"/>
  <c r="J338" i="2"/>
  <c r="K338" i="2"/>
  <c r="L338" i="2"/>
  <c r="J339" i="2"/>
  <c r="K339" i="2"/>
  <c r="L339" i="2"/>
  <c r="J340" i="2"/>
  <c r="K340" i="2"/>
  <c r="L340" i="2"/>
  <c r="J341" i="2"/>
  <c r="K341" i="2"/>
  <c r="L341" i="2"/>
  <c r="J342" i="2"/>
  <c r="K342" i="2"/>
  <c r="L342" i="2" s="1"/>
  <c r="J343" i="2"/>
  <c r="K343" i="2"/>
  <c r="L343" i="2"/>
  <c r="J344" i="2"/>
  <c r="K344" i="2"/>
  <c r="L344" i="2"/>
  <c r="J345" i="2"/>
  <c r="K345" i="2"/>
  <c r="L345" i="2"/>
  <c r="J346" i="2"/>
  <c r="K346" i="2"/>
  <c r="L346" i="2"/>
  <c r="J347" i="2"/>
  <c r="K347" i="2"/>
  <c r="L347" i="2"/>
  <c r="J348" i="2"/>
  <c r="K348" i="2"/>
  <c r="L348" i="2"/>
  <c r="J349" i="2"/>
  <c r="K349" i="2" s="1"/>
  <c r="L349" i="2" s="1"/>
  <c r="J350" i="2"/>
  <c r="K350" i="2"/>
  <c r="L350" i="2"/>
  <c r="J351" i="2"/>
  <c r="K351" i="2"/>
  <c r="L351" i="2"/>
  <c r="J352" i="2"/>
  <c r="K352" i="2"/>
  <c r="L352" i="2"/>
  <c r="J353" i="2"/>
  <c r="K353" i="2"/>
  <c r="L353" i="2"/>
  <c r="J354" i="2"/>
  <c r="K354" i="2"/>
  <c r="L354" i="2"/>
  <c r="J355" i="2"/>
  <c r="K355" i="2"/>
  <c r="L355" i="2"/>
  <c r="J356" i="2"/>
  <c r="K356" i="2"/>
  <c r="L356" i="2"/>
  <c r="J357" i="2"/>
  <c r="K357" i="2"/>
  <c r="L357" i="2"/>
  <c r="J358" i="2"/>
  <c r="K358" i="2"/>
  <c r="L358" i="2"/>
  <c r="J359" i="2"/>
  <c r="K359" i="2"/>
  <c r="L359" i="2"/>
  <c r="J360" i="2"/>
  <c r="K360" i="2"/>
  <c r="L360" i="2"/>
  <c r="J361" i="2"/>
  <c r="K361" i="2"/>
  <c r="L361" i="2"/>
  <c r="J362" i="2"/>
  <c r="K362" i="2"/>
  <c r="L362" i="2" s="1"/>
  <c r="J363" i="2"/>
  <c r="K363" i="2"/>
  <c r="L363" i="2"/>
  <c r="J364" i="2"/>
  <c r="K364" i="2"/>
  <c r="L364" i="2"/>
  <c r="J365" i="2"/>
  <c r="K365" i="2"/>
  <c r="L365" i="2"/>
  <c r="J366" i="2"/>
  <c r="K366" i="2"/>
  <c r="L366" i="2"/>
  <c r="J367" i="2"/>
  <c r="K367" i="2"/>
  <c r="L367" i="2"/>
  <c r="J368" i="2"/>
  <c r="K368" i="2"/>
  <c r="L368" i="2"/>
  <c r="J369" i="2"/>
  <c r="K369" i="2" s="1"/>
  <c r="L369" i="2" s="1"/>
  <c r="J370" i="2"/>
  <c r="K370" i="2"/>
  <c r="L370" i="2"/>
  <c r="J371" i="2"/>
  <c r="K371" i="2"/>
  <c r="L371" i="2"/>
  <c r="J372" i="2"/>
  <c r="K372" i="2"/>
  <c r="L372" i="2"/>
  <c r="J373" i="2"/>
  <c r="K373" i="2"/>
  <c r="L373" i="2"/>
  <c r="J374" i="2"/>
  <c r="K374" i="2"/>
  <c r="L374" i="2"/>
  <c r="J375" i="2"/>
  <c r="K375" i="2"/>
  <c r="L375" i="2"/>
  <c r="J376" i="2"/>
  <c r="K376" i="2"/>
  <c r="L376" i="2"/>
  <c r="J377" i="2"/>
  <c r="K377" i="2"/>
  <c r="L377" i="2"/>
  <c r="J378" i="2"/>
  <c r="K378" i="2"/>
  <c r="L378" i="2"/>
  <c r="J379" i="2"/>
  <c r="K379" i="2"/>
  <c r="L379" i="2"/>
  <c r="J380" i="2"/>
  <c r="K380" i="2"/>
  <c r="L380" i="2"/>
  <c r="J381" i="2"/>
  <c r="K381" i="2"/>
  <c r="L381" i="2"/>
  <c r="J382" i="2"/>
  <c r="K382" i="2"/>
  <c r="L382" i="2" s="1"/>
  <c r="J383" i="2"/>
  <c r="K383" i="2"/>
  <c r="L383" i="2"/>
  <c r="J384" i="2"/>
  <c r="K384" i="2"/>
  <c r="L384" i="2"/>
  <c r="J385" i="2"/>
  <c r="K385" i="2"/>
  <c r="L385" i="2"/>
  <c r="J386" i="2"/>
  <c r="K386" i="2"/>
  <c r="L386" i="2"/>
  <c r="J387" i="2"/>
  <c r="K387" i="2"/>
  <c r="L387" i="2"/>
  <c r="J388" i="2"/>
  <c r="K388" i="2"/>
  <c r="L388" i="2"/>
  <c r="J389" i="2"/>
  <c r="K389" i="2" s="1"/>
  <c r="L389" i="2" s="1"/>
  <c r="J390" i="2"/>
  <c r="K390" i="2"/>
  <c r="L390" i="2"/>
  <c r="J391" i="2"/>
  <c r="K391" i="2"/>
  <c r="L391" i="2"/>
  <c r="J392" i="2"/>
  <c r="K392" i="2"/>
  <c r="L392" i="2"/>
  <c r="J393" i="2"/>
  <c r="K393" i="2"/>
  <c r="L393" i="2"/>
  <c r="J394" i="2"/>
  <c r="K394" i="2"/>
  <c r="L394" i="2"/>
  <c r="J395" i="2"/>
  <c r="K395" i="2"/>
  <c r="L395" i="2"/>
  <c r="J396" i="2"/>
  <c r="K396" i="2"/>
  <c r="L396" i="2"/>
  <c r="J397" i="2"/>
  <c r="K397" i="2"/>
  <c r="L397" i="2"/>
  <c r="J398" i="2"/>
  <c r="K398" i="2"/>
  <c r="L398" i="2"/>
  <c r="J399" i="2"/>
  <c r="K399" i="2"/>
  <c r="L399" i="2"/>
  <c r="J400" i="2"/>
  <c r="K400" i="2"/>
  <c r="L400" i="2"/>
  <c r="J401" i="2"/>
  <c r="K401" i="2"/>
  <c r="L401" i="2"/>
  <c r="J402" i="2"/>
  <c r="K402" i="2"/>
  <c r="L402" i="2" s="1"/>
  <c r="J403" i="2"/>
  <c r="K403" i="2"/>
  <c r="L403" i="2"/>
  <c r="J404" i="2"/>
  <c r="K404" i="2"/>
  <c r="L404" i="2"/>
  <c r="J405" i="2"/>
  <c r="K405" i="2"/>
  <c r="L405" i="2"/>
  <c r="J406" i="2"/>
  <c r="K406" i="2"/>
  <c r="L406" i="2"/>
  <c r="J407" i="2"/>
  <c r="K407" i="2"/>
  <c r="L407" i="2"/>
  <c r="J408" i="2"/>
  <c r="K408" i="2"/>
  <c r="L408" i="2"/>
  <c r="J409" i="2"/>
  <c r="K409" i="2" s="1"/>
  <c r="L409" i="2" s="1"/>
  <c r="J410" i="2"/>
  <c r="K410" i="2"/>
  <c r="L410" i="2"/>
  <c r="J411" i="2"/>
  <c r="K411" i="2"/>
  <c r="L411" i="2"/>
  <c r="J412" i="2"/>
  <c r="K412" i="2"/>
  <c r="L412" i="2"/>
  <c r="J413" i="2"/>
  <c r="K413" i="2"/>
  <c r="L413" i="2"/>
  <c r="J414" i="2"/>
  <c r="K414" i="2"/>
  <c r="L414" i="2"/>
  <c r="J415" i="2"/>
  <c r="K415" i="2"/>
  <c r="L415" i="2"/>
  <c r="J416" i="2"/>
  <c r="K416" i="2"/>
  <c r="L416" i="2"/>
  <c r="J417" i="2"/>
  <c r="K417" i="2"/>
  <c r="L417" i="2"/>
  <c r="J418" i="2"/>
  <c r="K418" i="2"/>
  <c r="L418" i="2"/>
  <c r="J419" i="2"/>
  <c r="K419" i="2"/>
  <c r="L419" i="2"/>
  <c r="J420" i="2"/>
  <c r="K420" i="2"/>
  <c r="L420" i="2"/>
  <c r="J421" i="2"/>
  <c r="K421" i="2"/>
  <c r="L421" i="2"/>
  <c r="J422" i="2"/>
  <c r="K422" i="2"/>
  <c r="L422" i="2" s="1"/>
  <c r="J423" i="2"/>
  <c r="K423" i="2"/>
  <c r="L423" i="2"/>
  <c r="J424" i="2"/>
  <c r="K424" i="2"/>
  <c r="L424" i="2"/>
  <c r="J425" i="2"/>
  <c r="K425" i="2"/>
  <c r="L425" i="2"/>
  <c r="J426" i="2"/>
  <c r="K426" i="2"/>
  <c r="L426" i="2"/>
  <c r="J427" i="2"/>
  <c r="K427" i="2"/>
  <c r="L427" i="2"/>
  <c r="J428" i="2"/>
  <c r="K428" i="2"/>
  <c r="L428" i="2"/>
  <c r="J429" i="2"/>
  <c r="K429" i="2" s="1"/>
  <c r="L429" i="2" s="1"/>
  <c r="J430" i="2"/>
  <c r="K430" i="2"/>
  <c r="L430" i="2"/>
  <c r="J431" i="2"/>
  <c r="K431" i="2"/>
  <c r="L431" i="2"/>
  <c r="J432" i="2"/>
  <c r="K432" i="2"/>
  <c r="L432" i="2"/>
  <c r="J433" i="2"/>
  <c r="K433" i="2"/>
  <c r="L433" i="2"/>
  <c r="J434" i="2"/>
  <c r="K434" i="2"/>
  <c r="L434" i="2"/>
  <c r="J435" i="2"/>
  <c r="K435" i="2"/>
  <c r="L435" i="2"/>
  <c r="J436" i="2"/>
  <c r="K436" i="2"/>
  <c r="L436" i="2"/>
  <c r="J437" i="2"/>
  <c r="K437" i="2"/>
  <c r="L437" i="2"/>
  <c r="J438" i="2"/>
  <c r="K438" i="2"/>
  <c r="L438" i="2"/>
  <c r="J439" i="2"/>
  <c r="K439" i="2"/>
  <c r="L439" i="2"/>
  <c r="J440" i="2"/>
  <c r="K440" i="2"/>
  <c r="L440" i="2"/>
  <c r="J441" i="2"/>
  <c r="K441" i="2"/>
  <c r="L441" i="2"/>
  <c r="J442" i="2"/>
  <c r="K442" i="2"/>
  <c r="L442" i="2" s="1"/>
  <c r="J443" i="2"/>
  <c r="K443" i="2"/>
  <c r="L443" i="2"/>
  <c r="J444" i="2"/>
  <c r="K444" i="2"/>
  <c r="L444" i="2"/>
  <c r="J445" i="2"/>
  <c r="K445" i="2"/>
  <c r="L445" i="2"/>
  <c r="J446" i="2"/>
  <c r="K446" i="2"/>
  <c r="L446" i="2"/>
  <c r="J447" i="2"/>
  <c r="K447" i="2"/>
  <c r="L447" i="2"/>
  <c r="J448" i="2"/>
  <c r="K448" i="2"/>
  <c r="L448" i="2"/>
  <c r="J449" i="2"/>
  <c r="K449" i="2" s="1"/>
  <c r="L449" i="2" s="1"/>
  <c r="J450" i="2"/>
  <c r="K450" i="2"/>
  <c r="L450" i="2"/>
  <c r="J451" i="2"/>
  <c r="K451" i="2"/>
  <c r="L451" i="2"/>
  <c r="J452" i="2"/>
  <c r="K452" i="2"/>
  <c r="L452" i="2"/>
  <c r="J453" i="2"/>
  <c r="K453" i="2"/>
  <c r="L453" i="2"/>
  <c r="J454" i="2"/>
  <c r="K454" i="2"/>
  <c r="L454" i="2"/>
  <c r="J455" i="2"/>
  <c r="K455" i="2"/>
  <c r="L455" i="2"/>
  <c r="J456" i="2"/>
  <c r="K456" i="2"/>
  <c r="L456" i="2"/>
  <c r="J457" i="2"/>
  <c r="K457" i="2"/>
  <c r="L457" i="2"/>
  <c r="J458" i="2"/>
  <c r="K458" i="2"/>
  <c r="L458" i="2"/>
  <c r="J459" i="2"/>
  <c r="K459" i="2"/>
  <c r="L459" i="2"/>
  <c r="J460" i="2"/>
  <c r="K460" i="2"/>
  <c r="L460" i="2"/>
  <c r="J461" i="2"/>
  <c r="K461" i="2"/>
  <c r="L461" i="2"/>
  <c r="J462" i="2"/>
  <c r="K462" i="2"/>
  <c r="L462" i="2" s="1"/>
  <c r="J463" i="2"/>
  <c r="K463" i="2"/>
  <c r="L463" i="2"/>
  <c r="J464" i="2"/>
  <c r="K464" i="2"/>
  <c r="L464" i="2"/>
  <c r="J465" i="2"/>
  <c r="K465" i="2"/>
  <c r="L465" i="2"/>
  <c r="J466" i="2"/>
  <c r="K466" i="2"/>
  <c r="L466" i="2"/>
  <c r="J467" i="2"/>
  <c r="K467" i="2"/>
  <c r="L467" i="2"/>
  <c r="J468" i="2"/>
  <c r="K468" i="2"/>
  <c r="L468" i="2"/>
  <c r="J469" i="2"/>
  <c r="K469" i="2" s="1"/>
  <c r="L469" i="2" s="1"/>
  <c r="J470" i="2"/>
  <c r="K470" i="2"/>
  <c r="L470" i="2"/>
  <c r="J471" i="2"/>
  <c r="K471" i="2"/>
  <c r="L471" i="2"/>
  <c r="J472" i="2"/>
  <c r="K472" i="2"/>
  <c r="L472" i="2"/>
  <c r="J473" i="2"/>
  <c r="K473" i="2"/>
  <c r="L473" i="2"/>
  <c r="J474" i="2"/>
  <c r="K474" i="2"/>
  <c r="L474" i="2"/>
  <c r="J475" i="2"/>
  <c r="K475" i="2"/>
  <c r="L475" i="2"/>
  <c r="J476" i="2"/>
  <c r="K476" i="2"/>
  <c r="L476" i="2"/>
  <c r="J477" i="2"/>
  <c r="K477" i="2"/>
  <c r="L477" i="2"/>
  <c r="J478" i="2"/>
  <c r="K478" i="2"/>
  <c r="L478" i="2"/>
  <c r="J479" i="2"/>
  <c r="K479" i="2"/>
  <c r="L479" i="2"/>
  <c r="J480" i="2"/>
  <c r="K480" i="2"/>
  <c r="L480" i="2"/>
  <c r="J481" i="2"/>
  <c r="K481" i="2"/>
  <c r="L481" i="2"/>
  <c r="J482" i="2"/>
  <c r="K482" i="2"/>
  <c r="L482" i="2" s="1"/>
  <c r="J483" i="2"/>
  <c r="K483" i="2"/>
  <c r="L483" i="2"/>
  <c r="J484" i="2"/>
  <c r="K484" i="2"/>
  <c r="L484" i="2"/>
  <c r="J485" i="2"/>
  <c r="K485" i="2"/>
  <c r="L485" i="2"/>
  <c r="J486" i="2"/>
  <c r="K486" i="2"/>
  <c r="L486" i="2"/>
  <c r="J487" i="2"/>
  <c r="K487" i="2"/>
  <c r="L487" i="2"/>
  <c r="J488" i="2"/>
  <c r="K488" i="2"/>
  <c r="L488" i="2"/>
  <c r="J489" i="2"/>
  <c r="K489" i="2" s="1"/>
  <c r="L489" i="2" s="1"/>
  <c r="J490" i="2"/>
  <c r="K490" i="2"/>
  <c r="L490" i="2"/>
  <c r="J491" i="2"/>
  <c r="K491" i="2"/>
  <c r="L491" i="2"/>
  <c r="J492" i="2"/>
  <c r="K492" i="2"/>
  <c r="L492" i="2"/>
  <c r="J493" i="2"/>
  <c r="K493" i="2"/>
  <c r="L493" i="2"/>
  <c r="J494" i="2"/>
  <c r="K494" i="2"/>
  <c r="L494" i="2"/>
  <c r="J495" i="2"/>
  <c r="K495" i="2"/>
  <c r="L495" i="2"/>
  <c r="J496" i="2"/>
  <c r="K496" i="2"/>
  <c r="L496" i="2"/>
  <c r="J497" i="2"/>
  <c r="K497" i="2"/>
  <c r="L497" i="2"/>
  <c r="J498" i="2"/>
  <c r="K498" i="2"/>
  <c r="L498" i="2"/>
  <c r="J499" i="2"/>
  <c r="K499" i="2"/>
  <c r="L499" i="2"/>
  <c r="J500" i="2"/>
  <c r="K500" i="2"/>
  <c r="L500" i="2"/>
  <c r="J501" i="2"/>
  <c r="K501" i="2"/>
  <c r="L501" i="2"/>
  <c r="J502" i="2"/>
  <c r="K502" i="2"/>
  <c r="L502" i="2" s="1"/>
  <c r="J503" i="2"/>
  <c r="K503" i="2"/>
  <c r="L503" i="2"/>
  <c r="J504" i="2"/>
  <c r="K504" i="2"/>
  <c r="L504" i="2"/>
  <c r="J505" i="2"/>
  <c r="K505" i="2"/>
  <c r="L505" i="2"/>
  <c r="J506" i="2"/>
  <c r="K506" i="2"/>
  <c r="L506" i="2"/>
  <c r="J507" i="2"/>
  <c r="K507" i="2"/>
  <c r="L507" i="2"/>
  <c r="J508" i="2"/>
  <c r="K508" i="2"/>
  <c r="L508" i="2"/>
  <c r="J509" i="2"/>
  <c r="K509" i="2" s="1"/>
  <c r="L509" i="2" s="1"/>
  <c r="J510" i="2"/>
  <c r="K510" i="2"/>
  <c r="L510" i="2"/>
  <c r="J511" i="2"/>
  <c r="K511" i="2"/>
  <c r="L511" i="2"/>
  <c r="J512" i="2"/>
  <c r="K512" i="2"/>
  <c r="L512" i="2"/>
  <c r="J513" i="2"/>
  <c r="K513" i="2"/>
  <c r="L513" i="2"/>
  <c r="J514" i="2"/>
  <c r="K514" i="2"/>
  <c r="L514" i="2"/>
  <c r="J515" i="2"/>
  <c r="K515" i="2"/>
  <c r="L515" i="2"/>
  <c r="J516" i="2"/>
  <c r="K516" i="2"/>
  <c r="L516" i="2"/>
  <c r="J517" i="2"/>
  <c r="K517" i="2"/>
  <c r="L517" i="2"/>
  <c r="J518" i="2"/>
  <c r="K518" i="2"/>
  <c r="L518" i="2"/>
  <c r="J519" i="2"/>
  <c r="K519" i="2"/>
  <c r="L519" i="2"/>
  <c r="J520" i="2"/>
  <c r="K520" i="2"/>
  <c r="L520" i="2"/>
  <c r="J521" i="2"/>
  <c r="K521" i="2"/>
  <c r="L521" i="2"/>
  <c r="J522" i="2"/>
  <c r="K522" i="2"/>
  <c r="L522" i="2" s="1"/>
  <c r="Q522" i="2" s="1"/>
  <c r="J523" i="2"/>
  <c r="K523" i="2"/>
  <c r="L523" i="2"/>
  <c r="J524" i="2"/>
  <c r="K524" i="2"/>
  <c r="L524" i="2"/>
  <c r="J525" i="2"/>
  <c r="K525" i="2"/>
  <c r="L525" i="2"/>
  <c r="J526" i="2"/>
  <c r="K526" i="2"/>
  <c r="L526" i="2"/>
  <c r="J527" i="2"/>
  <c r="K527" i="2"/>
  <c r="L527" i="2"/>
  <c r="J528" i="2"/>
  <c r="K528" i="2"/>
  <c r="L528" i="2"/>
  <c r="J529" i="2"/>
  <c r="K529" i="2" s="1"/>
  <c r="L529" i="2" s="1"/>
  <c r="J530" i="2"/>
  <c r="K530" i="2"/>
  <c r="L530" i="2"/>
  <c r="J531" i="2"/>
  <c r="K531" i="2"/>
  <c r="L531" i="2"/>
  <c r="J532" i="2"/>
  <c r="K532" i="2"/>
  <c r="L532" i="2"/>
  <c r="J533" i="2"/>
  <c r="K533" i="2"/>
  <c r="L533" i="2"/>
  <c r="J534" i="2"/>
  <c r="K534" i="2"/>
  <c r="L534" i="2"/>
  <c r="J535" i="2"/>
  <c r="K535" i="2"/>
  <c r="L535" i="2"/>
  <c r="J536" i="2"/>
  <c r="K536" i="2"/>
  <c r="L536" i="2"/>
  <c r="J537" i="2"/>
  <c r="K537" i="2"/>
  <c r="L537" i="2"/>
  <c r="J538" i="2"/>
  <c r="K538" i="2"/>
  <c r="L538" i="2"/>
  <c r="J539" i="2"/>
  <c r="K539" i="2"/>
  <c r="L539" i="2"/>
  <c r="J540" i="2"/>
  <c r="K540" i="2"/>
  <c r="L540" i="2"/>
  <c r="J541" i="2"/>
  <c r="K541" i="2"/>
  <c r="L541" i="2"/>
  <c r="Q541" i="2" s="1"/>
  <c r="J542" i="2"/>
  <c r="K542" i="2"/>
  <c r="L542" i="2" s="1"/>
  <c r="J543" i="2"/>
  <c r="K543" i="2"/>
  <c r="L543" i="2"/>
  <c r="J544" i="2"/>
  <c r="K544" i="2"/>
  <c r="L544" i="2"/>
  <c r="J545" i="2"/>
  <c r="K545" i="2"/>
  <c r="L545" i="2"/>
  <c r="J546" i="2"/>
  <c r="K546" i="2"/>
  <c r="L546" i="2"/>
  <c r="J547" i="2"/>
  <c r="K547" i="2"/>
  <c r="L547" i="2"/>
  <c r="J548" i="2"/>
  <c r="K548" i="2"/>
  <c r="L548" i="2"/>
  <c r="J549" i="2"/>
  <c r="K549" i="2" s="1"/>
  <c r="L549" i="2" s="1"/>
  <c r="J550" i="2"/>
  <c r="K550" i="2"/>
  <c r="L550" i="2"/>
  <c r="J551" i="2"/>
  <c r="K551" i="2"/>
  <c r="L551" i="2"/>
  <c r="J552" i="2"/>
  <c r="K552" i="2"/>
  <c r="L552" i="2"/>
  <c r="J553" i="2"/>
  <c r="K553" i="2"/>
  <c r="L553" i="2"/>
  <c r="J554" i="2"/>
  <c r="K554" i="2"/>
  <c r="L554" i="2"/>
  <c r="J555" i="2"/>
  <c r="K555" i="2"/>
  <c r="L555" i="2"/>
  <c r="J556" i="2"/>
  <c r="K556" i="2"/>
  <c r="L556" i="2"/>
  <c r="J557" i="2"/>
  <c r="K557" i="2"/>
  <c r="L557" i="2"/>
  <c r="J558" i="2"/>
  <c r="K558" i="2"/>
  <c r="L558" i="2"/>
  <c r="J559" i="2"/>
  <c r="K559" i="2"/>
  <c r="L559" i="2"/>
  <c r="J560" i="2"/>
  <c r="K560" i="2"/>
  <c r="L560" i="2"/>
  <c r="J561" i="2"/>
  <c r="K561" i="2"/>
  <c r="L561" i="2"/>
  <c r="J562" i="2"/>
  <c r="K562" i="2"/>
  <c r="L562" i="2" s="1"/>
  <c r="J563" i="2"/>
  <c r="K563" i="2"/>
  <c r="L563" i="2"/>
  <c r="J564" i="2"/>
  <c r="K564" i="2"/>
  <c r="L564" i="2"/>
  <c r="J565" i="2"/>
  <c r="K565" i="2"/>
  <c r="L565" i="2"/>
  <c r="J566" i="2"/>
  <c r="K566" i="2"/>
  <c r="L566" i="2"/>
  <c r="J567" i="2"/>
  <c r="K567" i="2"/>
  <c r="L567" i="2"/>
  <c r="J568" i="2"/>
  <c r="K568" i="2"/>
  <c r="L568" i="2"/>
  <c r="J569" i="2"/>
  <c r="K569" i="2" s="1"/>
  <c r="L569" i="2" s="1"/>
  <c r="J570" i="2"/>
  <c r="K570" i="2"/>
  <c r="L570" i="2"/>
  <c r="J571" i="2"/>
  <c r="K571" i="2"/>
  <c r="L571" i="2"/>
  <c r="J572" i="2"/>
  <c r="K572" i="2"/>
  <c r="L572" i="2"/>
  <c r="J573" i="2"/>
  <c r="K573" i="2"/>
  <c r="L573" i="2"/>
  <c r="J574" i="2"/>
  <c r="K574" i="2"/>
  <c r="L574" i="2"/>
  <c r="J575" i="2"/>
  <c r="K575" i="2"/>
  <c r="L575" i="2"/>
  <c r="J576" i="2"/>
  <c r="K576" i="2"/>
  <c r="L576" i="2"/>
  <c r="J577" i="2"/>
  <c r="K577" i="2"/>
  <c r="L577" i="2"/>
  <c r="J578" i="2"/>
  <c r="K578" i="2"/>
  <c r="L578" i="2"/>
  <c r="J579" i="2"/>
  <c r="K579" i="2"/>
  <c r="L579" i="2"/>
  <c r="J580" i="2"/>
  <c r="K580" i="2"/>
  <c r="L580" i="2"/>
  <c r="J581" i="2"/>
  <c r="K581" i="2"/>
  <c r="L581" i="2"/>
  <c r="J582" i="2"/>
  <c r="K582" i="2"/>
  <c r="L582" i="2" s="1"/>
  <c r="J583" i="2"/>
  <c r="K583" i="2"/>
  <c r="L583" i="2"/>
  <c r="J584" i="2"/>
  <c r="K584" i="2"/>
  <c r="L584" i="2"/>
  <c r="J585" i="2"/>
  <c r="K585" i="2"/>
  <c r="L585" i="2"/>
  <c r="J586" i="2"/>
  <c r="K586" i="2"/>
  <c r="L586" i="2"/>
  <c r="J587" i="2"/>
  <c r="K587" i="2"/>
  <c r="L587" i="2"/>
  <c r="J588" i="2"/>
  <c r="K588" i="2"/>
  <c r="L588" i="2"/>
  <c r="J589" i="2"/>
  <c r="K589" i="2" s="1"/>
  <c r="L589" i="2" s="1"/>
  <c r="J590" i="2"/>
  <c r="K590" i="2"/>
  <c r="L590" i="2"/>
  <c r="J591" i="2"/>
  <c r="K591" i="2"/>
  <c r="L591" i="2"/>
  <c r="J592" i="2"/>
  <c r="K592" i="2"/>
  <c r="L592" i="2"/>
  <c r="J593" i="2"/>
  <c r="K593" i="2"/>
  <c r="L593" i="2"/>
  <c r="J594" i="2"/>
  <c r="K594" i="2"/>
  <c r="L594" i="2"/>
  <c r="J595" i="2"/>
  <c r="K595" i="2"/>
  <c r="L595" i="2"/>
  <c r="Q595" i="2" s="1"/>
  <c r="J596" i="2"/>
  <c r="K596" i="2"/>
  <c r="L596" i="2"/>
  <c r="J597" i="2"/>
  <c r="K597" i="2"/>
  <c r="L597" i="2"/>
  <c r="J598" i="2"/>
  <c r="K598" i="2"/>
  <c r="L598" i="2"/>
  <c r="J599" i="2"/>
  <c r="K599" i="2"/>
  <c r="L599" i="2"/>
  <c r="J600" i="2"/>
  <c r="K600" i="2"/>
  <c r="L600" i="2"/>
  <c r="J601" i="2"/>
  <c r="K601" i="2"/>
  <c r="L601" i="2"/>
  <c r="J602" i="2"/>
  <c r="K602" i="2"/>
  <c r="L602" i="2" s="1"/>
  <c r="J603" i="2"/>
  <c r="K603" i="2"/>
  <c r="L603" i="2"/>
  <c r="J604" i="2"/>
  <c r="K604" i="2"/>
  <c r="L604" i="2"/>
  <c r="J605" i="2"/>
  <c r="K605" i="2"/>
  <c r="L605" i="2"/>
  <c r="J606" i="2"/>
  <c r="K606" i="2"/>
  <c r="L606" i="2"/>
  <c r="J607" i="2"/>
  <c r="K607" i="2"/>
  <c r="L607" i="2"/>
  <c r="J608" i="2"/>
  <c r="K608" i="2"/>
  <c r="L608" i="2"/>
  <c r="J609" i="2"/>
  <c r="K609" i="2" s="1"/>
  <c r="L609" i="2" s="1"/>
  <c r="J610" i="2"/>
  <c r="K610" i="2"/>
  <c r="L610" i="2"/>
  <c r="J611" i="2"/>
  <c r="K611" i="2"/>
  <c r="L611" i="2"/>
  <c r="J612" i="2"/>
  <c r="K612" i="2"/>
  <c r="L612" i="2"/>
  <c r="J613" i="2"/>
  <c r="K613" i="2"/>
  <c r="L613" i="2"/>
  <c r="J614" i="2"/>
  <c r="K614" i="2"/>
  <c r="L614" i="2"/>
  <c r="J615" i="2"/>
  <c r="K615" i="2"/>
  <c r="L615" i="2"/>
  <c r="J616" i="2"/>
  <c r="K616" i="2"/>
  <c r="L616" i="2"/>
  <c r="J617" i="2"/>
  <c r="K617" i="2"/>
  <c r="L617" i="2"/>
  <c r="J618" i="2"/>
  <c r="K618" i="2"/>
  <c r="L618" i="2"/>
  <c r="J619" i="2"/>
  <c r="K619" i="2"/>
  <c r="L619" i="2"/>
  <c r="J620" i="2"/>
  <c r="K620" i="2"/>
  <c r="L620" i="2"/>
  <c r="J621" i="2"/>
  <c r="K621" i="2"/>
  <c r="L621" i="2"/>
  <c r="J622" i="2"/>
  <c r="K622" i="2"/>
  <c r="L622" i="2" s="1"/>
  <c r="J623" i="2"/>
  <c r="K623" i="2"/>
  <c r="L623" i="2"/>
  <c r="J624" i="2"/>
  <c r="K624" i="2"/>
  <c r="L624" i="2"/>
  <c r="J625" i="2"/>
  <c r="K625" i="2"/>
  <c r="L625" i="2"/>
  <c r="J626" i="2"/>
  <c r="K626" i="2"/>
  <c r="L626" i="2"/>
  <c r="J627" i="2"/>
  <c r="K627" i="2"/>
  <c r="L627" i="2"/>
  <c r="J628" i="2"/>
  <c r="K628" i="2"/>
  <c r="L628" i="2"/>
  <c r="J629" i="2"/>
  <c r="K629" i="2" s="1"/>
  <c r="L629" i="2" s="1"/>
  <c r="J630" i="2"/>
  <c r="K630" i="2"/>
  <c r="L630" i="2"/>
  <c r="J631" i="2"/>
  <c r="K631" i="2"/>
  <c r="L631" i="2"/>
  <c r="J632" i="2"/>
  <c r="K632" i="2"/>
  <c r="L632" i="2"/>
  <c r="J633" i="2"/>
  <c r="K633" i="2"/>
  <c r="L633" i="2"/>
  <c r="J634" i="2"/>
  <c r="K634" i="2"/>
  <c r="L634" i="2"/>
  <c r="J635" i="2"/>
  <c r="K635" i="2"/>
  <c r="L635" i="2"/>
  <c r="J636" i="2"/>
  <c r="K636" i="2"/>
  <c r="L636" i="2"/>
  <c r="J637" i="2"/>
  <c r="K637" i="2"/>
  <c r="L637" i="2"/>
  <c r="J638" i="2"/>
  <c r="K638" i="2"/>
  <c r="L638" i="2"/>
  <c r="J639" i="2"/>
  <c r="K639" i="2"/>
  <c r="L639" i="2"/>
  <c r="J640" i="2"/>
  <c r="K640" i="2"/>
  <c r="L640" i="2"/>
  <c r="J641" i="2"/>
  <c r="K641" i="2"/>
  <c r="L641" i="2"/>
  <c r="J642" i="2"/>
  <c r="K642" i="2"/>
  <c r="L642" i="2" s="1"/>
  <c r="J643" i="2"/>
  <c r="K643" i="2"/>
  <c r="L643" i="2"/>
  <c r="J644" i="2"/>
  <c r="K644" i="2"/>
  <c r="L644" i="2"/>
  <c r="J645" i="2"/>
  <c r="K645" i="2"/>
  <c r="L645" i="2"/>
  <c r="J646" i="2"/>
  <c r="K646" i="2"/>
  <c r="L646" i="2"/>
  <c r="J647" i="2"/>
  <c r="K647" i="2"/>
  <c r="L647" i="2"/>
  <c r="J648" i="2"/>
  <c r="K648" i="2"/>
  <c r="L648" i="2"/>
  <c r="J649" i="2"/>
  <c r="K649" i="2" s="1"/>
  <c r="L649" i="2" s="1"/>
  <c r="J650" i="2"/>
  <c r="K650" i="2"/>
  <c r="L650" i="2"/>
  <c r="J651" i="2"/>
  <c r="K651" i="2"/>
  <c r="L651" i="2"/>
  <c r="J652" i="2"/>
  <c r="K652" i="2"/>
  <c r="L652" i="2"/>
  <c r="J653" i="2"/>
  <c r="K653" i="2"/>
  <c r="L653" i="2"/>
  <c r="J654" i="2"/>
  <c r="K654" i="2"/>
  <c r="L654" i="2"/>
  <c r="J655" i="2"/>
  <c r="K655" i="2"/>
  <c r="L655" i="2"/>
  <c r="J656" i="2"/>
  <c r="K656" i="2"/>
  <c r="L656" i="2"/>
  <c r="J657" i="2"/>
  <c r="K657" i="2"/>
  <c r="L657" i="2"/>
  <c r="J658" i="2"/>
  <c r="K658" i="2"/>
  <c r="L658" i="2"/>
  <c r="J659" i="2"/>
  <c r="K659" i="2"/>
  <c r="L659" i="2"/>
  <c r="J660" i="2"/>
  <c r="K660" i="2"/>
  <c r="L660" i="2"/>
  <c r="J661" i="2"/>
  <c r="K661" i="2"/>
  <c r="L661" i="2"/>
  <c r="J662" i="2"/>
  <c r="K662" i="2"/>
  <c r="L662" i="2" s="1"/>
  <c r="J663" i="2"/>
  <c r="K663" i="2"/>
  <c r="L663" i="2"/>
  <c r="J664" i="2"/>
  <c r="K664" i="2"/>
  <c r="L664" i="2"/>
  <c r="J665" i="2"/>
  <c r="K665" i="2"/>
  <c r="L665" i="2"/>
  <c r="J666" i="2"/>
  <c r="K666" i="2"/>
  <c r="L666" i="2"/>
  <c r="J667" i="2"/>
  <c r="K667" i="2"/>
  <c r="L667" i="2"/>
  <c r="J668" i="2"/>
  <c r="K668" i="2"/>
  <c r="L668" i="2"/>
  <c r="J669" i="2"/>
  <c r="K669" i="2" s="1"/>
  <c r="L669" i="2" s="1"/>
  <c r="J670" i="2"/>
  <c r="K670" i="2"/>
  <c r="L670" i="2"/>
  <c r="J671" i="2"/>
  <c r="K671" i="2"/>
  <c r="L671" i="2"/>
  <c r="J672" i="2"/>
  <c r="K672" i="2"/>
  <c r="L672" i="2"/>
  <c r="J673" i="2"/>
  <c r="K673" i="2"/>
  <c r="L673" i="2"/>
  <c r="J674" i="2"/>
  <c r="K674" i="2"/>
  <c r="L674" i="2"/>
  <c r="J675" i="2"/>
  <c r="K675" i="2"/>
  <c r="L675" i="2"/>
  <c r="Q675" i="2" s="1"/>
  <c r="J676" i="2"/>
  <c r="K676" i="2"/>
  <c r="L676" i="2"/>
  <c r="J677" i="2"/>
  <c r="K677" i="2"/>
  <c r="L677" i="2"/>
  <c r="J678" i="2"/>
  <c r="K678" i="2"/>
  <c r="L678" i="2"/>
  <c r="J679" i="2"/>
  <c r="K679" i="2"/>
  <c r="L679" i="2"/>
  <c r="J680" i="2"/>
  <c r="K680" i="2"/>
  <c r="L680" i="2"/>
  <c r="J681" i="2"/>
  <c r="K681" i="2"/>
  <c r="L681" i="2"/>
  <c r="J682" i="2"/>
  <c r="K682" i="2"/>
  <c r="L682" i="2" s="1"/>
  <c r="J683" i="2"/>
  <c r="K683" i="2"/>
  <c r="L683" i="2"/>
  <c r="J684" i="2"/>
  <c r="K684" i="2"/>
  <c r="L684" i="2"/>
  <c r="J685" i="2"/>
  <c r="K685" i="2"/>
  <c r="L685" i="2"/>
  <c r="Q685" i="2" s="1"/>
  <c r="J686" i="2"/>
  <c r="K686" i="2"/>
  <c r="L686" i="2"/>
  <c r="J687" i="2"/>
  <c r="K687" i="2"/>
  <c r="L687" i="2"/>
  <c r="J688" i="2"/>
  <c r="K688" i="2"/>
  <c r="L688" i="2"/>
  <c r="J689" i="2"/>
  <c r="K689" i="2" s="1"/>
  <c r="L689" i="2" s="1"/>
  <c r="J690" i="2"/>
  <c r="K690" i="2"/>
  <c r="L690" i="2"/>
  <c r="J691" i="2"/>
  <c r="K691" i="2"/>
  <c r="L691" i="2"/>
  <c r="J692" i="2"/>
  <c r="K692" i="2"/>
  <c r="L692" i="2"/>
  <c r="J693" i="2"/>
  <c r="K693" i="2"/>
  <c r="L693" i="2"/>
  <c r="J694" i="2"/>
  <c r="K694" i="2"/>
  <c r="L694" i="2"/>
  <c r="J695" i="2"/>
  <c r="K695" i="2"/>
  <c r="L695" i="2"/>
  <c r="J696" i="2"/>
  <c r="K696" i="2"/>
  <c r="L696" i="2"/>
  <c r="J697" i="2"/>
  <c r="K697" i="2"/>
  <c r="L697" i="2"/>
  <c r="J698" i="2"/>
  <c r="K698" i="2"/>
  <c r="L698" i="2"/>
  <c r="J699" i="2"/>
  <c r="K699" i="2"/>
  <c r="L699" i="2"/>
  <c r="J700" i="2"/>
  <c r="K700" i="2"/>
  <c r="L700" i="2"/>
  <c r="J701" i="2"/>
  <c r="K701" i="2"/>
  <c r="L701" i="2"/>
  <c r="J702" i="2"/>
  <c r="K702" i="2"/>
  <c r="L702" i="2" s="1"/>
  <c r="Q702" i="2" s="1"/>
  <c r="J703" i="2"/>
  <c r="K703" i="2"/>
  <c r="L703" i="2"/>
  <c r="J704" i="2"/>
  <c r="K704" i="2"/>
  <c r="L704" i="2"/>
  <c r="J705" i="2"/>
  <c r="K705" i="2"/>
  <c r="L705" i="2"/>
  <c r="J706" i="2"/>
  <c r="K706" i="2"/>
  <c r="L706" i="2"/>
  <c r="J707" i="2"/>
  <c r="K707" i="2"/>
  <c r="L707" i="2"/>
  <c r="J708" i="2"/>
  <c r="K708" i="2"/>
  <c r="L708" i="2"/>
  <c r="J709" i="2"/>
  <c r="K709" i="2" s="1"/>
  <c r="L709" i="2" s="1"/>
  <c r="J710" i="2"/>
  <c r="K710" i="2"/>
  <c r="L710" i="2"/>
  <c r="J711" i="2"/>
  <c r="K711" i="2"/>
  <c r="L711" i="2"/>
  <c r="J712" i="2"/>
  <c r="K712" i="2"/>
  <c r="L712" i="2"/>
  <c r="J713" i="2"/>
  <c r="K713" i="2"/>
  <c r="L713" i="2"/>
  <c r="J714" i="2"/>
  <c r="K714" i="2"/>
  <c r="L714" i="2"/>
  <c r="J715" i="2"/>
  <c r="K715" i="2"/>
  <c r="L715" i="2"/>
  <c r="J716" i="2"/>
  <c r="K716" i="2"/>
  <c r="L716" i="2"/>
  <c r="J717" i="2"/>
  <c r="K717" i="2"/>
  <c r="L717" i="2"/>
  <c r="J718" i="2"/>
  <c r="K718" i="2"/>
  <c r="L718" i="2"/>
  <c r="J719" i="2"/>
  <c r="K719" i="2"/>
  <c r="L719" i="2"/>
  <c r="J720" i="2"/>
  <c r="K720" i="2"/>
  <c r="L720" i="2"/>
  <c r="J721" i="2"/>
  <c r="K721" i="2"/>
  <c r="L721" i="2"/>
  <c r="J722" i="2"/>
  <c r="K722" i="2"/>
  <c r="L722" i="2" s="1"/>
  <c r="J723" i="2"/>
  <c r="K723" i="2"/>
  <c r="L723" i="2"/>
  <c r="J724" i="2"/>
  <c r="K724" i="2"/>
  <c r="L724" i="2"/>
  <c r="J725" i="2"/>
  <c r="K725" i="2"/>
  <c r="L725" i="2"/>
  <c r="J726" i="2"/>
  <c r="K726" i="2"/>
  <c r="L726" i="2"/>
  <c r="J727" i="2"/>
  <c r="K727" i="2"/>
  <c r="L727" i="2"/>
  <c r="J728" i="2"/>
  <c r="K728" i="2"/>
  <c r="L728" i="2"/>
  <c r="J729" i="2"/>
  <c r="K729" i="2" s="1"/>
  <c r="L729" i="2" s="1"/>
  <c r="J730" i="2"/>
  <c r="K730" i="2"/>
  <c r="L730" i="2"/>
  <c r="J731" i="2"/>
  <c r="K731" i="2"/>
  <c r="L731" i="2"/>
  <c r="J732" i="2"/>
  <c r="K732" i="2"/>
  <c r="L732" i="2"/>
  <c r="J733" i="2"/>
  <c r="K733" i="2"/>
  <c r="L733" i="2"/>
  <c r="J734" i="2"/>
  <c r="K734" i="2"/>
  <c r="L734" i="2"/>
  <c r="J735" i="2"/>
  <c r="K735" i="2"/>
  <c r="L735" i="2"/>
  <c r="J736" i="2"/>
  <c r="K736" i="2"/>
  <c r="L736" i="2"/>
  <c r="J737" i="2"/>
  <c r="K737" i="2"/>
  <c r="L737" i="2"/>
  <c r="J738" i="2"/>
  <c r="K738" i="2"/>
  <c r="L738" i="2"/>
  <c r="J739" i="2"/>
  <c r="K739" i="2"/>
  <c r="L739" i="2"/>
  <c r="J740" i="2"/>
  <c r="K740" i="2"/>
  <c r="L740" i="2"/>
  <c r="J741" i="2"/>
  <c r="K741" i="2"/>
  <c r="L741" i="2"/>
  <c r="J742" i="2"/>
  <c r="K742" i="2"/>
  <c r="L742" i="2" s="1"/>
  <c r="J743" i="2"/>
  <c r="K743" i="2"/>
  <c r="L743" i="2"/>
  <c r="J744" i="2"/>
  <c r="K744" i="2"/>
  <c r="L744" i="2"/>
  <c r="J745" i="2"/>
  <c r="K745" i="2"/>
  <c r="L745" i="2"/>
  <c r="J746" i="2"/>
  <c r="K746" i="2"/>
  <c r="L746" i="2"/>
  <c r="J747" i="2"/>
  <c r="K747" i="2"/>
  <c r="L747" i="2"/>
  <c r="J748" i="2"/>
  <c r="K748" i="2"/>
  <c r="L748" i="2"/>
  <c r="J749" i="2"/>
  <c r="K749" i="2" s="1"/>
  <c r="L749" i="2" s="1"/>
  <c r="Q749" i="2" s="1"/>
  <c r="J750" i="2"/>
  <c r="K750" i="2"/>
  <c r="L750" i="2"/>
  <c r="L15" i="2"/>
  <c r="K15" i="2"/>
  <c r="J15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2" i="2"/>
  <c r="Q8" i="2"/>
  <c r="Q9" i="2"/>
  <c r="Q10" i="2"/>
  <c r="Q11" i="2"/>
  <c r="Q12" i="2"/>
  <c r="Q13" i="2"/>
  <c r="Q14" i="2"/>
  <c r="H509" i="2"/>
  <c r="I509" i="2"/>
  <c r="H510" i="2"/>
  <c r="I510" i="2"/>
  <c r="H511" i="2"/>
  <c r="I511" i="2"/>
  <c r="H512" i="2"/>
  <c r="I512" i="2"/>
  <c r="H513" i="2"/>
  <c r="I513" i="2"/>
  <c r="H514" i="2"/>
  <c r="I514" i="2"/>
  <c r="H515" i="2"/>
  <c r="I515" i="2"/>
  <c r="H516" i="2"/>
  <c r="I516" i="2"/>
  <c r="H517" i="2"/>
  <c r="I517" i="2"/>
  <c r="H518" i="2"/>
  <c r="I518" i="2"/>
  <c r="H519" i="2"/>
  <c r="I519" i="2"/>
  <c r="H520" i="2"/>
  <c r="I520" i="2"/>
  <c r="H521" i="2"/>
  <c r="I521" i="2"/>
  <c r="H522" i="2"/>
  <c r="I522" i="2"/>
  <c r="H523" i="2"/>
  <c r="I523" i="2"/>
  <c r="H524" i="2"/>
  <c r="I524" i="2"/>
  <c r="H525" i="2"/>
  <c r="I525" i="2"/>
  <c r="Q525" i="2"/>
  <c r="H526" i="2"/>
  <c r="I526" i="2"/>
  <c r="H527" i="2"/>
  <c r="I527" i="2"/>
  <c r="H528" i="2"/>
  <c r="I528" i="2"/>
  <c r="H529" i="2"/>
  <c r="I529" i="2"/>
  <c r="H530" i="2"/>
  <c r="I530" i="2"/>
  <c r="H531" i="2"/>
  <c r="I531" i="2"/>
  <c r="H532" i="2"/>
  <c r="I532" i="2"/>
  <c r="H533" i="2"/>
  <c r="I533" i="2"/>
  <c r="H534" i="2"/>
  <c r="I534" i="2"/>
  <c r="H535" i="2"/>
  <c r="I535" i="2"/>
  <c r="H536" i="2"/>
  <c r="I536" i="2"/>
  <c r="H537" i="2"/>
  <c r="I537" i="2"/>
  <c r="H538" i="2"/>
  <c r="I538" i="2"/>
  <c r="H539" i="2"/>
  <c r="I539" i="2"/>
  <c r="H540" i="2"/>
  <c r="I540" i="2"/>
  <c r="H541" i="2"/>
  <c r="I541" i="2"/>
  <c r="H542" i="2"/>
  <c r="I542" i="2"/>
  <c r="H543" i="2"/>
  <c r="I543" i="2"/>
  <c r="Q543" i="2" s="1"/>
  <c r="H544" i="2"/>
  <c r="I544" i="2"/>
  <c r="H545" i="2"/>
  <c r="I545" i="2"/>
  <c r="H546" i="2"/>
  <c r="I546" i="2"/>
  <c r="H547" i="2"/>
  <c r="I547" i="2"/>
  <c r="H548" i="2"/>
  <c r="I548" i="2"/>
  <c r="H549" i="2"/>
  <c r="I549" i="2"/>
  <c r="H550" i="2"/>
  <c r="I550" i="2"/>
  <c r="H551" i="2"/>
  <c r="I551" i="2"/>
  <c r="H552" i="2"/>
  <c r="I552" i="2"/>
  <c r="H553" i="2"/>
  <c r="I553" i="2"/>
  <c r="H554" i="2"/>
  <c r="I554" i="2"/>
  <c r="H555" i="2"/>
  <c r="I555" i="2"/>
  <c r="H556" i="2"/>
  <c r="I556" i="2"/>
  <c r="H557" i="2"/>
  <c r="I557" i="2"/>
  <c r="H558" i="2"/>
  <c r="I558" i="2"/>
  <c r="H559" i="2"/>
  <c r="I559" i="2"/>
  <c r="H560" i="2"/>
  <c r="I560" i="2"/>
  <c r="H561" i="2"/>
  <c r="I561" i="2"/>
  <c r="H562" i="2"/>
  <c r="I562" i="2"/>
  <c r="H563" i="2"/>
  <c r="I563" i="2"/>
  <c r="H564" i="2"/>
  <c r="I564" i="2"/>
  <c r="H565" i="2"/>
  <c r="I565" i="2"/>
  <c r="H566" i="2"/>
  <c r="I566" i="2"/>
  <c r="H567" i="2"/>
  <c r="I567" i="2"/>
  <c r="H568" i="2"/>
  <c r="I568" i="2"/>
  <c r="H569" i="2"/>
  <c r="I569" i="2"/>
  <c r="H570" i="2"/>
  <c r="I570" i="2"/>
  <c r="H571" i="2"/>
  <c r="I571" i="2"/>
  <c r="H572" i="2"/>
  <c r="I572" i="2"/>
  <c r="H573" i="2"/>
  <c r="I573" i="2"/>
  <c r="H574" i="2"/>
  <c r="I574" i="2"/>
  <c r="H575" i="2"/>
  <c r="I575" i="2"/>
  <c r="H576" i="2"/>
  <c r="I576" i="2"/>
  <c r="H577" i="2"/>
  <c r="I577" i="2"/>
  <c r="Q577" i="2"/>
  <c r="H578" i="2"/>
  <c r="I578" i="2"/>
  <c r="H579" i="2"/>
  <c r="I579" i="2"/>
  <c r="H580" i="2"/>
  <c r="I580" i="2"/>
  <c r="H581" i="2"/>
  <c r="I581" i="2"/>
  <c r="H582" i="2"/>
  <c r="I582" i="2"/>
  <c r="H583" i="2"/>
  <c r="I583" i="2"/>
  <c r="H584" i="2"/>
  <c r="I584" i="2"/>
  <c r="H585" i="2"/>
  <c r="I585" i="2"/>
  <c r="H586" i="2"/>
  <c r="I586" i="2"/>
  <c r="H587" i="2"/>
  <c r="I587" i="2"/>
  <c r="H588" i="2"/>
  <c r="I588" i="2"/>
  <c r="H589" i="2"/>
  <c r="I589" i="2"/>
  <c r="H590" i="2"/>
  <c r="I590" i="2"/>
  <c r="H591" i="2"/>
  <c r="I591" i="2"/>
  <c r="H592" i="2"/>
  <c r="I592" i="2"/>
  <c r="H593" i="2"/>
  <c r="I593" i="2"/>
  <c r="H594" i="2"/>
  <c r="I594" i="2"/>
  <c r="H595" i="2"/>
  <c r="I595" i="2"/>
  <c r="H596" i="2"/>
  <c r="I596" i="2"/>
  <c r="H597" i="2"/>
  <c r="I597" i="2"/>
  <c r="H598" i="2"/>
  <c r="I598" i="2"/>
  <c r="H599" i="2"/>
  <c r="I599" i="2"/>
  <c r="H600" i="2"/>
  <c r="I600" i="2"/>
  <c r="H601" i="2"/>
  <c r="I601" i="2"/>
  <c r="H602" i="2"/>
  <c r="I602" i="2"/>
  <c r="H603" i="2"/>
  <c r="I603" i="2"/>
  <c r="H604" i="2"/>
  <c r="I604" i="2"/>
  <c r="H605" i="2"/>
  <c r="I605" i="2"/>
  <c r="H606" i="2"/>
  <c r="I606" i="2"/>
  <c r="H607" i="2"/>
  <c r="I607" i="2"/>
  <c r="H608" i="2"/>
  <c r="I608" i="2"/>
  <c r="H609" i="2"/>
  <c r="I609" i="2"/>
  <c r="H610" i="2"/>
  <c r="I610" i="2"/>
  <c r="H611" i="2"/>
  <c r="I611" i="2"/>
  <c r="H612" i="2"/>
  <c r="I612" i="2"/>
  <c r="H613" i="2"/>
  <c r="I613" i="2"/>
  <c r="H614" i="2"/>
  <c r="I614" i="2"/>
  <c r="H615" i="2"/>
  <c r="I615" i="2"/>
  <c r="H616" i="2"/>
  <c r="I616" i="2"/>
  <c r="H617" i="2"/>
  <c r="I617" i="2"/>
  <c r="H618" i="2"/>
  <c r="I618" i="2"/>
  <c r="H619" i="2"/>
  <c r="I619" i="2"/>
  <c r="H620" i="2"/>
  <c r="I620" i="2"/>
  <c r="H621" i="2"/>
  <c r="I621" i="2"/>
  <c r="H622" i="2"/>
  <c r="I622" i="2"/>
  <c r="H623" i="2"/>
  <c r="I623" i="2"/>
  <c r="H624" i="2"/>
  <c r="I624" i="2"/>
  <c r="H625" i="2"/>
  <c r="I625" i="2"/>
  <c r="H626" i="2"/>
  <c r="I626" i="2"/>
  <c r="H627" i="2"/>
  <c r="I627" i="2"/>
  <c r="H628" i="2"/>
  <c r="I628" i="2"/>
  <c r="H629" i="2"/>
  <c r="I629" i="2"/>
  <c r="H630" i="2"/>
  <c r="I630" i="2"/>
  <c r="H631" i="2"/>
  <c r="I631" i="2"/>
  <c r="H632" i="2"/>
  <c r="I632" i="2"/>
  <c r="H633" i="2"/>
  <c r="I633" i="2"/>
  <c r="H634" i="2"/>
  <c r="I634" i="2"/>
  <c r="H635" i="2"/>
  <c r="I635" i="2"/>
  <c r="H636" i="2"/>
  <c r="I636" i="2"/>
  <c r="H637" i="2"/>
  <c r="I637" i="2"/>
  <c r="H638" i="2"/>
  <c r="I638" i="2"/>
  <c r="H639" i="2"/>
  <c r="I639" i="2"/>
  <c r="H640" i="2"/>
  <c r="I640" i="2"/>
  <c r="H641" i="2"/>
  <c r="I641" i="2"/>
  <c r="H642" i="2"/>
  <c r="I642" i="2"/>
  <c r="H643" i="2"/>
  <c r="I643" i="2"/>
  <c r="H644" i="2"/>
  <c r="I644" i="2"/>
  <c r="H645" i="2"/>
  <c r="I645" i="2"/>
  <c r="H646" i="2"/>
  <c r="I646" i="2"/>
  <c r="H647" i="2"/>
  <c r="I647" i="2"/>
  <c r="H648" i="2"/>
  <c r="I648" i="2"/>
  <c r="H649" i="2"/>
  <c r="I649" i="2"/>
  <c r="H650" i="2"/>
  <c r="I650" i="2"/>
  <c r="H651" i="2"/>
  <c r="I651" i="2"/>
  <c r="H652" i="2"/>
  <c r="I652" i="2"/>
  <c r="H653" i="2"/>
  <c r="I653" i="2"/>
  <c r="H654" i="2"/>
  <c r="I654" i="2"/>
  <c r="H655" i="2"/>
  <c r="I655" i="2"/>
  <c r="H656" i="2"/>
  <c r="I656" i="2"/>
  <c r="H657" i="2"/>
  <c r="I657" i="2"/>
  <c r="H658" i="2"/>
  <c r="I658" i="2"/>
  <c r="H659" i="2"/>
  <c r="I659" i="2"/>
  <c r="H660" i="2"/>
  <c r="I660" i="2"/>
  <c r="H661" i="2"/>
  <c r="I661" i="2"/>
  <c r="H662" i="2"/>
  <c r="I662" i="2"/>
  <c r="H663" i="2"/>
  <c r="I663" i="2"/>
  <c r="H664" i="2"/>
  <c r="I664" i="2"/>
  <c r="H665" i="2"/>
  <c r="I665" i="2"/>
  <c r="H666" i="2"/>
  <c r="I666" i="2"/>
  <c r="H667" i="2"/>
  <c r="I667" i="2"/>
  <c r="H668" i="2"/>
  <c r="I668" i="2"/>
  <c r="H669" i="2"/>
  <c r="I669" i="2"/>
  <c r="H670" i="2"/>
  <c r="I670" i="2"/>
  <c r="H671" i="2"/>
  <c r="I671" i="2"/>
  <c r="H672" i="2"/>
  <c r="I672" i="2"/>
  <c r="H673" i="2"/>
  <c r="I673" i="2"/>
  <c r="H674" i="2"/>
  <c r="I674" i="2"/>
  <c r="H675" i="2"/>
  <c r="I675" i="2"/>
  <c r="H676" i="2"/>
  <c r="I676" i="2"/>
  <c r="H677" i="2"/>
  <c r="I677" i="2"/>
  <c r="H678" i="2"/>
  <c r="I678" i="2"/>
  <c r="H679" i="2"/>
  <c r="I679" i="2"/>
  <c r="H680" i="2"/>
  <c r="I680" i="2"/>
  <c r="H681" i="2"/>
  <c r="I681" i="2"/>
  <c r="H682" i="2"/>
  <c r="I682" i="2"/>
  <c r="H683" i="2"/>
  <c r="I683" i="2"/>
  <c r="H684" i="2"/>
  <c r="I684" i="2"/>
  <c r="H685" i="2"/>
  <c r="I685" i="2"/>
  <c r="H686" i="2"/>
  <c r="I686" i="2"/>
  <c r="H687" i="2"/>
  <c r="I687" i="2"/>
  <c r="H688" i="2"/>
  <c r="I688" i="2"/>
  <c r="H689" i="2"/>
  <c r="I689" i="2"/>
  <c r="H690" i="2"/>
  <c r="I690" i="2"/>
  <c r="H691" i="2"/>
  <c r="I691" i="2"/>
  <c r="H692" i="2"/>
  <c r="I692" i="2"/>
  <c r="H693" i="2"/>
  <c r="I693" i="2"/>
  <c r="H694" i="2"/>
  <c r="I694" i="2"/>
  <c r="H695" i="2"/>
  <c r="I695" i="2"/>
  <c r="H696" i="2"/>
  <c r="I696" i="2"/>
  <c r="H697" i="2"/>
  <c r="I697" i="2"/>
  <c r="H698" i="2"/>
  <c r="I698" i="2"/>
  <c r="H699" i="2"/>
  <c r="I699" i="2"/>
  <c r="H700" i="2"/>
  <c r="I700" i="2"/>
  <c r="H701" i="2"/>
  <c r="I701" i="2"/>
  <c r="H702" i="2"/>
  <c r="I702" i="2"/>
  <c r="H703" i="2"/>
  <c r="I703" i="2"/>
  <c r="H704" i="2"/>
  <c r="I704" i="2"/>
  <c r="H705" i="2"/>
  <c r="I705" i="2"/>
  <c r="H706" i="2"/>
  <c r="I706" i="2"/>
  <c r="H707" i="2"/>
  <c r="I707" i="2"/>
  <c r="H708" i="2"/>
  <c r="I708" i="2"/>
  <c r="H709" i="2"/>
  <c r="I709" i="2"/>
  <c r="H710" i="2"/>
  <c r="I710" i="2"/>
  <c r="H711" i="2"/>
  <c r="I711" i="2"/>
  <c r="H712" i="2"/>
  <c r="I712" i="2"/>
  <c r="H713" i="2"/>
  <c r="I713" i="2"/>
  <c r="H714" i="2"/>
  <c r="I714" i="2"/>
  <c r="H715" i="2"/>
  <c r="I715" i="2"/>
  <c r="H716" i="2"/>
  <c r="I716" i="2"/>
  <c r="H717" i="2"/>
  <c r="I717" i="2"/>
  <c r="H718" i="2"/>
  <c r="I718" i="2"/>
  <c r="H719" i="2"/>
  <c r="Q719" i="2" s="1"/>
  <c r="I719" i="2"/>
  <c r="H720" i="2"/>
  <c r="I720" i="2"/>
  <c r="H721" i="2"/>
  <c r="I721" i="2"/>
  <c r="H722" i="2"/>
  <c r="I722" i="2"/>
  <c r="H723" i="2"/>
  <c r="I723" i="2"/>
  <c r="H724" i="2"/>
  <c r="I724" i="2"/>
  <c r="H725" i="2"/>
  <c r="I725" i="2"/>
  <c r="H726" i="2"/>
  <c r="I726" i="2"/>
  <c r="H727" i="2"/>
  <c r="I727" i="2"/>
  <c r="H728" i="2"/>
  <c r="I728" i="2"/>
  <c r="H729" i="2"/>
  <c r="I729" i="2"/>
  <c r="H730" i="2"/>
  <c r="I730" i="2"/>
  <c r="H731" i="2"/>
  <c r="I731" i="2"/>
  <c r="H732" i="2"/>
  <c r="I732" i="2"/>
  <c r="H733" i="2"/>
  <c r="I733" i="2"/>
  <c r="H734" i="2"/>
  <c r="I734" i="2"/>
  <c r="H735" i="2"/>
  <c r="I735" i="2"/>
  <c r="H736" i="2"/>
  <c r="I736" i="2"/>
  <c r="H737" i="2"/>
  <c r="I737" i="2"/>
  <c r="H738" i="2"/>
  <c r="I738" i="2"/>
  <c r="H739" i="2"/>
  <c r="I739" i="2"/>
  <c r="Q739" i="2" s="1"/>
  <c r="H740" i="2"/>
  <c r="I740" i="2"/>
  <c r="H741" i="2"/>
  <c r="I741" i="2"/>
  <c r="H742" i="2"/>
  <c r="I742" i="2"/>
  <c r="H743" i="2"/>
  <c r="I743" i="2"/>
  <c r="H744" i="2"/>
  <c r="I744" i="2"/>
  <c r="H745" i="2"/>
  <c r="I745" i="2"/>
  <c r="H746" i="2"/>
  <c r="I746" i="2"/>
  <c r="H747" i="2"/>
  <c r="I747" i="2"/>
  <c r="H748" i="2"/>
  <c r="I748" i="2"/>
  <c r="H749" i="2"/>
  <c r="I749" i="2"/>
  <c r="H750" i="2"/>
  <c r="I750" i="2"/>
  <c r="H504" i="2"/>
  <c r="I504" i="2"/>
  <c r="H505" i="2"/>
  <c r="I505" i="2"/>
  <c r="H506" i="2"/>
  <c r="I506" i="2"/>
  <c r="H507" i="2"/>
  <c r="I507" i="2"/>
  <c r="H508" i="2"/>
  <c r="I508" i="2"/>
  <c r="Q2" i="2"/>
  <c r="Q3" i="2"/>
  <c r="Q4" i="2"/>
  <c r="Q5" i="2"/>
  <c r="Q6" i="2"/>
  <c r="Q7" i="2"/>
  <c r="Q622" i="2" l="1"/>
  <c r="Q506" i="2"/>
  <c r="Q703" i="2"/>
  <c r="Q504" i="2"/>
  <c r="Q601" i="2"/>
  <c r="Q561" i="2"/>
  <c r="Q681" i="2"/>
  <c r="Q698" i="2"/>
  <c r="Q734" i="2"/>
  <c r="Q701" i="2"/>
  <c r="Q657" i="2"/>
  <c r="Q605" i="2"/>
  <c r="Q589" i="2"/>
  <c r="Q563" i="2"/>
  <c r="Q579" i="2"/>
  <c r="Q623" i="2"/>
  <c r="Q643" i="2"/>
  <c r="Q730" i="2"/>
  <c r="Q569" i="2"/>
  <c r="Q633" i="2"/>
  <c r="Q513" i="2"/>
  <c r="Q650" i="2"/>
  <c r="Q508" i="2"/>
  <c r="Q529" i="2"/>
  <c r="Q691" i="2"/>
  <c r="Q611" i="2"/>
  <c r="Q511" i="2"/>
  <c r="Q547" i="2"/>
  <c r="Q527" i="2"/>
  <c r="Q509" i="2"/>
  <c r="Q634" i="2"/>
  <c r="Q669" i="2"/>
  <c r="Q586" i="2"/>
  <c r="Q682" i="2"/>
  <c r="Q602" i="2"/>
  <c r="Q673" i="2"/>
  <c r="Q665" i="2"/>
  <c r="Q689" i="2"/>
  <c r="Q545" i="2"/>
  <c r="Q558" i="2"/>
  <c r="Q718" i="2"/>
  <c r="Q621" i="2"/>
  <c r="Q521" i="2"/>
  <c r="Q638" i="2"/>
  <c r="Q557" i="2"/>
  <c r="Q717" i="2"/>
  <c r="Q593" i="2"/>
  <c r="Q537" i="2"/>
  <c r="Q654" i="2"/>
  <c r="Q637" i="2"/>
  <c r="Q618" i="2"/>
  <c r="Q573" i="2"/>
  <c r="Q697" i="2"/>
  <c r="Q554" i="2"/>
  <c r="Q687" i="2"/>
  <c r="Q670" i="2"/>
  <c r="Q517" i="2"/>
  <c r="Q653" i="2"/>
  <c r="Q649" i="2"/>
  <c r="Q533" i="2"/>
  <c r="Q617" i="2"/>
  <c r="Q565" i="2"/>
  <c r="Q737" i="2"/>
  <c r="Q590" i="2"/>
  <c r="Q581" i="2"/>
  <c r="Q542" i="2"/>
  <c r="Q714" i="2"/>
  <c r="Q721" i="2"/>
  <c r="Q713" i="2"/>
  <c r="Q738" i="2"/>
  <c r="Q574" i="2"/>
  <c r="Q625" i="2"/>
  <c r="Q606" i="2"/>
  <c r="Q746" i="2"/>
  <c r="Q641" i="2"/>
  <c r="Q639" i="2"/>
  <c r="Q707" i="2"/>
  <c r="Q666" i="2"/>
  <c r="Q716" i="2"/>
  <c r="Q723" i="2"/>
  <c r="Q722" i="2"/>
  <c r="Q576" i="2"/>
  <c r="Q524" i="2"/>
  <c r="Q655" i="2"/>
  <c r="Q705" i="2"/>
  <c r="Q559" i="2"/>
  <c r="Q729" i="2"/>
  <c r="Q674" i="2"/>
  <c r="Q733" i="2"/>
  <c r="Q560" i="2"/>
  <c r="Q584" i="2"/>
  <c r="Q609" i="2"/>
  <c r="Q583" i="2"/>
  <c r="Q591" i="2"/>
  <c r="Q745" i="2"/>
  <c r="Q672" i="2"/>
  <c r="Q607" i="2"/>
  <c r="Q582" i="2"/>
  <c r="Q534" i="2"/>
  <c r="Q550" i="2"/>
  <c r="Q516" i="2"/>
  <c r="Q614" i="2"/>
  <c r="Q515" i="2"/>
  <c r="Q735" i="2"/>
  <c r="Q612" i="2"/>
  <c r="Q686" i="2"/>
  <c r="Q629" i="2"/>
  <c r="Q693" i="2"/>
  <c r="Q709" i="2"/>
  <c r="Q562" i="2"/>
  <c r="Q708" i="2"/>
  <c r="Q627" i="2"/>
  <c r="Q570" i="2"/>
  <c r="Q677" i="2"/>
  <c r="Q539" i="2"/>
  <c r="Q725" i="2"/>
  <c r="Q555" i="2"/>
  <c r="Q659" i="2"/>
  <c r="Q528" i="2"/>
  <c r="Q741" i="2"/>
  <c r="Q585" i="2"/>
  <c r="Q544" i="2"/>
  <c r="Q597" i="2"/>
  <c r="Q549" i="2"/>
  <c r="Q736" i="2"/>
  <c r="Q532" i="2"/>
  <c r="Q671" i="2"/>
  <c r="Q523" i="2"/>
  <c r="Q645" i="2"/>
  <c r="Q530" i="2"/>
  <c r="Q620" i="2"/>
  <c r="Q538" i="2"/>
  <c r="Q658" i="2"/>
  <c r="Q651" i="2"/>
  <c r="Q553" i="2"/>
  <c r="Q510" i="2"/>
  <c r="Q505" i="2"/>
  <c r="Q613" i="2"/>
  <c r="Q750" i="2"/>
  <c r="Q661" i="2"/>
  <c r="Q512" i="2"/>
  <c r="Q667" i="2"/>
  <c r="Q600" i="2"/>
  <c r="Q592" i="2"/>
  <c r="Q575" i="2"/>
  <c r="Q518" i="2"/>
  <c r="Q688" i="2"/>
  <c r="Q531" i="2"/>
  <c r="Q526" i="2"/>
  <c r="Q567" i="2"/>
  <c r="Q742" i="2"/>
  <c r="Q626" i="2"/>
  <c r="Q706" i="2"/>
  <c r="Q662" i="2"/>
  <c r="Q610" i="2"/>
  <c r="Q536" i="2"/>
  <c r="Q748" i="2"/>
  <c r="Q684" i="2"/>
  <c r="Q647" i="2"/>
  <c r="Q726" i="2"/>
  <c r="Q712" i="2"/>
  <c r="Q632" i="2"/>
  <c r="Q624" i="2"/>
  <c r="Q564" i="2"/>
  <c r="Q535" i="2"/>
  <c r="Q566" i="2"/>
  <c r="Q704" i="2"/>
  <c r="Q596" i="2"/>
  <c r="Q678" i="2"/>
  <c r="Q648" i="2"/>
  <c r="Q551" i="2"/>
  <c r="Q603" i="2"/>
  <c r="Q740" i="2"/>
  <c r="Q676" i="2"/>
  <c r="Q588" i="2"/>
  <c r="Q690" i="2"/>
  <c r="Q646" i="2"/>
  <c r="Q594" i="2"/>
  <c r="Q587" i="2"/>
  <c r="Q520" i="2"/>
  <c r="Q747" i="2"/>
  <c r="Q711" i="2"/>
  <c r="Q683" i="2"/>
  <c r="Q660" i="2"/>
  <c r="Q631" i="2"/>
  <c r="Q572" i="2"/>
  <c r="Q616" i="2"/>
  <c r="Q608" i="2"/>
  <c r="Q548" i="2"/>
  <c r="Q519" i="2"/>
  <c r="Q732" i="2"/>
  <c r="Q724" i="2"/>
  <c r="Q668" i="2"/>
  <c r="Q630" i="2"/>
  <c r="Q578" i="2"/>
  <c r="Q571" i="2"/>
  <c r="Q710" i="2"/>
  <c r="Q696" i="2"/>
  <c r="Q644" i="2"/>
  <c r="Q615" i="2"/>
  <c r="Q556" i="2"/>
  <c r="Q552" i="2"/>
  <c r="Q731" i="2"/>
  <c r="Q695" i="2"/>
  <c r="Q652" i="2"/>
  <c r="Q628" i="2"/>
  <c r="Q599" i="2"/>
  <c r="Q540" i="2"/>
  <c r="Q727" i="2"/>
  <c r="Q692" i="2"/>
  <c r="Q656" i="2"/>
  <c r="Q619" i="2"/>
  <c r="Q720" i="2"/>
  <c r="Q604" i="2"/>
  <c r="Q699" i="2"/>
  <c r="Q744" i="2"/>
  <c r="Q694" i="2"/>
  <c r="Q680" i="2"/>
  <c r="Q636" i="2"/>
  <c r="Q598" i="2"/>
  <c r="Q546" i="2"/>
  <c r="Q700" i="2"/>
  <c r="Q664" i="2"/>
  <c r="Q728" i="2"/>
  <c r="Q663" i="2"/>
  <c r="Q514" i="2"/>
  <c r="Q640" i="2"/>
  <c r="Q580" i="2"/>
  <c r="Q743" i="2"/>
  <c r="Q715" i="2"/>
  <c r="Q679" i="2"/>
  <c r="Q642" i="2"/>
  <c r="Q635" i="2"/>
  <c r="Q568" i="2"/>
  <c r="Q507" i="2"/>
  <c r="H16" i="2"/>
  <c r="I16" i="2"/>
  <c r="H17" i="2"/>
  <c r="I17" i="2"/>
  <c r="H18" i="2"/>
  <c r="I18" i="2"/>
  <c r="H19" i="2"/>
  <c r="I19" i="2"/>
  <c r="H20" i="2"/>
  <c r="I20" i="2"/>
  <c r="H21" i="2"/>
  <c r="I21" i="2"/>
  <c r="H22" i="2"/>
  <c r="I22" i="2"/>
  <c r="H23" i="2"/>
  <c r="I23" i="2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H31" i="2"/>
  <c r="I31" i="2"/>
  <c r="H32" i="2"/>
  <c r="I32" i="2"/>
  <c r="H33" i="2"/>
  <c r="I33" i="2"/>
  <c r="H34" i="2"/>
  <c r="I34" i="2"/>
  <c r="H35" i="2"/>
  <c r="I35" i="2"/>
  <c r="H36" i="2"/>
  <c r="I36" i="2"/>
  <c r="H37" i="2"/>
  <c r="I37" i="2"/>
  <c r="H38" i="2"/>
  <c r="I38" i="2"/>
  <c r="H39" i="2"/>
  <c r="I39" i="2"/>
  <c r="H40" i="2"/>
  <c r="I40" i="2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H49" i="2"/>
  <c r="I49" i="2"/>
  <c r="H50" i="2"/>
  <c r="I50" i="2"/>
  <c r="H51" i="2"/>
  <c r="I51" i="2"/>
  <c r="H52" i="2"/>
  <c r="I52" i="2"/>
  <c r="H53" i="2"/>
  <c r="I53" i="2"/>
  <c r="H54" i="2"/>
  <c r="I54" i="2"/>
  <c r="H55" i="2"/>
  <c r="I55" i="2"/>
  <c r="H56" i="2"/>
  <c r="I56" i="2"/>
  <c r="H57" i="2"/>
  <c r="I57" i="2"/>
  <c r="H58" i="2"/>
  <c r="I58" i="2"/>
  <c r="H59" i="2"/>
  <c r="I59" i="2"/>
  <c r="H60" i="2"/>
  <c r="I60" i="2"/>
  <c r="H61" i="2"/>
  <c r="I61" i="2"/>
  <c r="H62" i="2"/>
  <c r="I62" i="2"/>
  <c r="H63" i="2"/>
  <c r="I63" i="2"/>
  <c r="H64" i="2"/>
  <c r="I64" i="2"/>
  <c r="H65" i="2"/>
  <c r="I65" i="2"/>
  <c r="H66" i="2"/>
  <c r="I66" i="2"/>
  <c r="H67" i="2"/>
  <c r="I67" i="2"/>
  <c r="H68" i="2"/>
  <c r="I68" i="2"/>
  <c r="H69" i="2"/>
  <c r="I69" i="2"/>
  <c r="H70" i="2"/>
  <c r="I70" i="2"/>
  <c r="H71" i="2"/>
  <c r="I71" i="2"/>
  <c r="H72" i="2"/>
  <c r="I72" i="2"/>
  <c r="H73" i="2"/>
  <c r="I73" i="2"/>
  <c r="H74" i="2"/>
  <c r="I74" i="2"/>
  <c r="H75" i="2"/>
  <c r="I75" i="2"/>
  <c r="H76" i="2"/>
  <c r="I76" i="2"/>
  <c r="H77" i="2"/>
  <c r="I77" i="2"/>
  <c r="H78" i="2"/>
  <c r="I78" i="2"/>
  <c r="H79" i="2"/>
  <c r="I79" i="2"/>
  <c r="H80" i="2"/>
  <c r="I80" i="2"/>
  <c r="H81" i="2"/>
  <c r="I81" i="2"/>
  <c r="H82" i="2"/>
  <c r="I82" i="2"/>
  <c r="H83" i="2"/>
  <c r="I83" i="2"/>
  <c r="H84" i="2"/>
  <c r="I84" i="2"/>
  <c r="H85" i="2"/>
  <c r="I85" i="2"/>
  <c r="H86" i="2"/>
  <c r="I86" i="2"/>
  <c r="H87" i="2"/>
  <c r="I87" i="2"/>
  <c r="H88" i="2"/>
  <c r="I88" i="2"/>
  <c r="H89" i="2"/>
  <c r="I89" i="2"/>
  <c r="H90" i="2"/>
  <c r="I90" i="2"/>
  <c r="H91" i="2"/>
  <c r="I91" i="2"/>
  <c r="H92" i="2"/>
  <c r="I92" i="2"/>
  <c r="H93" i="2"/>
  <c r="I93" i="2"/>
  <c r="H94" i="2"/>
  <c r="I94" i="2"/>
  <c r="H95" i="2"/>
  <c r="I95" i="2"/>
  <c r="H96" i="2"/>
  <c r="I96" i="2"/>
  <c r="H97" i="2"/>
  <c r="I97" i="2"/>
  <c r="H98" i="2"/>
  <c r="I98" i="2"/>
  <c r="H99" i="2"/>
  <c r="I99" i="2"/>
  <c r="H100" i="2"/>
  <c r="I100" i="2"/>
  <c r="H101" i="2"/>
  <c r="I101" i="2"/>
  <c r="H102" i="2"/>
  <c r="I102" i="2"/>
  <c r="H103" i="2"/>
  <c r="I103" i="2"/>
  <c r="H104" i="2"/>
  <c r="I104" i="2"/>
  <c r="H105" i="2"/>
  <c r="I105" i="2"/>
  <c r="H106" i="2"/>
  <c r="I106" i="2"/>
  <c r="H107" i="2"/>
  <c r="I107" i="2"/>
  <c r="H108" i="2"/>
  <c r="I108" i="2"/>
  <c r="H109" i="2"/>
  <c r="I109" i="2"/>
  <c r="H110" i="2"/>
  <c r="I110" i="2"/>
  <c r="Q110" i="2" s="1"/>
  <c r="H111" i="2"/>
  <c r="I111" i="2"/>
  <c r="H112" i="2"/>
  <c r="I112" i="2"/>
  <c r="H113" i="2"/>
  <c r="I113" i="2"/>
  <c r="H114" i="2"/>
  <c r="I114" i="2"/>
  <c r="H115" i="2"/>
  <c r="I115" i="2"/>
  <c r="H116" i="2"/>
  <c r="I116" i="2"/>
  <c r="H117" i="2"/>
  <c r="I117" i="2"/>
  <c r="H118" i="2"/>
  <c r="I118" i="2"/>
  <c r="H119" i="2"/>
  <c r="I119" i="2"/>
  <c r="H120" i="2"/>
  <c r="I120" i="2"/>
  <c r="H121" i="2"/>
  <c r="I121" i="2"/>
  <c r="H122" i="2"/>
  <c r="I122" i="2"/>
  <c r="H123" i="2"/>
  <c r="I123" i="2"/>
  <c r="H124" i="2"/>
  <c r="I124" i="2"/>
  <c r="H125" i="2"/>
  <c r="I125" i="2"/>
  <c r="H126" i="2"/>
  <c r="I126" i="2"/>
  <c r="H127" i="2"/>
  <c r="I127" i="2"/>
  <c r="H128" i="2"/>
  <c r="I128" i="2"/>
  <c r="H129" i="2"/>
  <c r="I129" i="2"/>
  <c r="H130" i="2"/>
  <c r="I130" i="2"/>
  <c r="H131" i="2"/>
  <c r="I131" i="2"/>
  <c r="H132" i="2"/>
  <c r="I132" i="2"/>
  <c r="H133" i="2"/>
  <c r="I133" i="2"/>
  <c r="H134" i="2"/>
  <c r="I134" i="2"/>
  <c r="H135" i="2"/>
  <c r="I135" i="2"/>
  <c r="H136" i="2"/>
  <c r="I136" i="2"/>
  <c r="H137" i="2"/>
  <c r="I137" i="2"/>
  <c r="H138" i="2"/>
  <c r="I138" i="2"/>
  <c r="H139" i="2"/>
  <c r="I139" i="2"/>
  <c r="H140" i="2"/>
  <c r="I140" i="2"/>
  <c r="H141" i="2"/>
  <c r="I141" i="2"/>
  <c r="H142" i="2"/>
  <c r="I142" i="2"/>
  <c r="H143" i="2"/>
  <c r="I143" i="2"/>
  <c r="H144" i="2"/>
  <c r="I144" i="2"/>
  <c r="H145" i="2"/>
  <c r="I145" i="2"/>
  <c r="H146" i="2"/>
  <c r="I146" i="2"/>
  <c r="H147" i="2"/>
  <c r="I147" i="2"/>
  <c r="H148" i="2"/>
  <c r="I148" i="2"/>
  <c r="H149" i="2"/>
  <c r="I149" i="2"/>
  <c r="H150" i="2"/>
  <c r="I150" i="2"/>
  <c r="H151" i="2"/>
  <c r="I151" i="2"/>
  <c r="H152" i="2"/>
  <c r="I152" i="2"/>
  <c r="H153" i="2"/>
  <c r="I153" i="2"/>
  <c r="H154" i="2"/>
  <c r="I154" i="2"/>
  <c r="H155" i="2"/>
  <c r="I155" i="2"/>
  <c r="H156" i="2"/>
  <c r="I156" i="2"/>
  <c r="Q156" i="2" s="1"/>
  <c r="H157" i="2"/>
  <c r="I157" i="2"/>
  <c r="H158" i="2"/>
  <c r="I158" i="2"/>
  <c r="H159" i="2"/>
  <c r="I159" i="2"/>
  <c r="H160" i="2"/>
  <c r="I160" i="2"/>
  <c r="H161" i="2"/>
  <c r="I161" i="2"/>
  <c r="H162" i="2"/>
  <c r="I162" i="2"/>
  <c r="H163" i="2"/>
  <c r="I163" i="2"/>
  <c r="H164" i="2"/>
  <c r="I164" i="2"/>
  <c r="H165" i="2"/>
  <c r="I165" i="2"/>
  <c r="H166" i="2"/>
  <c r="I166" i="2"/>
  <c r="Q166" i="2" s="1"/>
  <c r="H167" i="2"/>
  <c r="I167" i="2"/>
  <c r="H168" i="2"/>
  <c r="I168" i="2"/>
  <c r="H169" i="2"/>
  <c r="I169" i="2"/>
  <c r="H170" i="2"/>
  <c r="I170" i="2"/>
  <c r="H171" i="2"/>
  <c r="I171" i="2"/>
  <c r="H172" i="2"/>
  <c r="I172" i="2"/>
  <c r="H173" i="2"/>
  <c r="I173" i="2"/>
  <c r="H174" i="2"/>
  <c r="I174" i="2"/>
  <c r="H175" i="2"/>
  <c r="I175" i="2"/>
  <c r="H176" i="2"/>
  <c r="I176" i="2"/>
  <c r="H177" i="2"/>
  <c r="I177" i="2"/>
  <c r="H178" i="2"/>
  <c r="I178" i="2"/>
  <c r="H179" i="2"/>
  <c r="I179" i="2"/>
  <c r="H180" i="2"/>
  <c r="I180" i="2"/>
  <c r="H181" i="2"/>
  <c r="I181" i="2"/>
  <c r="H182" i="2"/>
  <c r="I182" i="2"/>
  <c r="H183" i="2"/>
  <c r="I183" i="2"/>
  <c r="H184" i="2"/>
  <c r="I184" i="2"/>
  <c r="H185" i="2"/>
  <c r="I185" i="2"/>
  <c r="H186" i="2"/>
  <c r="I186" i="2"/>
  <c r="H187" i="2"/>
  <c r="I187" i="2"/>
  <c r="H188" i="2"/>
  <c r="I188" i="2"/>
  <c r="H189" i="2"/>
  <c r="I189" i="2"/>
  <c r="H190" i="2"/>
  <c r="I190" i="2"/>
  <c r="H191" i="2"/>
  <c r="I191" i="2"/>
  <c r="H192" i="2"/>
  <c r="I192" i="2"/>
  <c r="H193" i="2"/>
  <c r="I193" i="2"/>
  <c r="H194" i="2"/>
  <c r="I194" i="2"/>
  <c r="H195" i="2"/>
  <c r="I195" i="2"/>
  <c r="H196" i="2"/>
  <c r="I196" i="2"/>
  <c r="H197" i="2"/>
  <c r="I197" i="2"/>
  <c r="H198" i="2"/>
  <c r="I198" i="2"/>
  <c r="H199" i="2"/>
  <c r="I199" i="2"/>
  <c r="H200" i="2"/>
  <c r="I200" i="2"/>
  <c r="H201" i="2"/>
  <c r="I201" i="2"/>
  <c r="H202" i="2"/>
  <c r="I202" i="2"/>
  <c r="H203" i="2"/>
  <c r="I203" i="2"/>
  <c r="H204" i="2"/>
  <c r="I204" i="2"/>
  <c r="H205" i="2"/>
  <c r="I205" i="2"/>
  <c r="H206" i="2"/>
  <c r="I206" i="2"/>
  <c r="H207" i="2"/>
  <c r="I207" i="2"/>
  <c r="H208" i="2"/>
  <c r="I208" i="2"/>
  <c r="H209" i="2"/>
  <c r="I209" i="2"/>
  <c r="H210" i="2"/>
  <c r="I210" i="2"/>
  <c r="H211" i="2"/>
  <c r="I211" i="2"/>
  <c r="H212" i="2"/>
  <c r="I212" i="2"/>
  <c r="H213" i="2"/>
  <c r="I213" i="2"/>
  <c r="H214" i="2"/>
  <c r="I214" i="2"/>
  <c r="H215" i="2"/>
  <c r="I215" i="2"/>
  <c r="H216" i="2"/>
  <c r="I216" i="2"/>
  <c r="H217" i="2"/>
  <c r="I217" i="2"/>
  <c r="H218" i="2"/>
  <c r="I218" i="2"/>
  <c r="H219" i="2"/>
  <c r="I219" i="2"/>
  <c r="H220" i="2"/>
  <c r="I220" i="2"/>
  <c r="H221" i="2"/>
  <c r="I221" i="2"/>
  <c r="H222" i="2"/>
  <c r="I222" i="2"/>
  <c r="H223" i="2"/>
  <c r="I223" i="2"/>
  <c r="H224" i="2"/>
  <c r="I224" i="2"/>
  <c r="H225" i="2"/>
  <c r="I225" i="2"/>
  <c r="H226" i="2"/>
  <c r="I226" i="2"/>
  <c r="H227" i="2"/>
  <c r="I227" i="2"/>
  <c r="H228" i="2"/>
  <c r="I228" i="2"/>
  <c r="H229" i="2"/>
  <c r="I229" i="2"/>
  <c r="H230" i="2"/>
  <c r="I230" i="2"/>
  <c r="H231" i="2"/>
  <c r="I231" i="2"/>
  <c r="H232" i="2"/>
  <c r="I232" i="2"/>
  <c r="H233" i="2"/>
  <c r="I233" i="2"/>
  <c r="H234" i="2"/>
  <c r="I234" i="2"/>
  <c r="H235" i="2"/>
  <c r="I235" i="2"/>
  <c r="H236" i="2"/>
  <c r="I236" i="2"/>
  <c r="H237" i="2"/>
  <c r="I237" i="2"/>
  <c r="H238" i="2"/>
  <c r="I238" i="2"/>
  <c r="H239" i="2"/>
  <c r="I239" i="2"/>
  <c r="H240" i="2"/>
  <c r="I240" i="2"/>
  <c r="H241" i="2"/>
  <c r="I241" i="2"/>
  <c r="H242" i="2"/>
  <c r="I242" i="2"/>
  <c r="H243" i="2"/>
  <c r="I243" i="2"/>
  <c r="H244" i="2"/>
  <c r="I244" i="2"/>
  <c r="H245" i="2"/>
  <c r="I245" i="2"/>
  <c r="H246" i="2"/>
  <c r="I246" i="2"/>
  <c r="H247" i="2"/>
  <c r="I247" i="2"/>
  <c r="H248" i="2"/>
  <c r="I248" i="2"/>
  <c r="H249" i="2"/>
  <c r="I249" i="2"/>
  <c r="H250" i="2"/>
  <c r="I250" i="2"/>
  <c r="H251" i="2"/>
  <c r="I251" i="2"/>
  <c r="H252" i="2"/>
  <c r="I252" i="2"/>
  <c r="H253" i="2"/>
  <c r="I253" i="2"/>
  <c r="H254" i="2"/>
  <c r="I254" i="2"/>
  <c r="H255" i="2"/>
  <c r="I255" i="2"/>
  <c r="H256" i="2"/>
  <c r="I256" i="2"/>
  <c r="H257" i="2"/>
  <c r="I257" i="2"/>
  <c r="H258" i="2"/>
  <c r="I258" i="2"/>
  <c r="H259" i="2"/>
  <c r="I259" i="2"/>
  <c r="H260" i="2"/>
  <c r="I260" i="2"/>
  <c r="H261" i="2"/>
  <c r="I261" i="2"/>
  <c r="H262" i="2"/>
  <c r="I262" i="2"/>
  <c r="H263" i="2"/>
  <c r="I263" i="2"/>
  <c r="H264" i="2"/>
  <c r="I264" i="2"/>
  <c r="H265" i="2"/>
  <c r="I265" i="2"/>
  <c r="H266" i="2"/>
  <c r="I266" i="2"/>
  <c r="H267" i="2"/>
  <c r="I267" i="2"/>
  <c r="H268" i="2"/>
  <c r="I268" i="2"/>
  <c r="H269" i="2"/>
  <c r="I269" i="2"/>
  <c r="H270" i="2"/>
  <c r="I270" i="2"/>
  <c r="H271" i="2"/>
  <c r="I271" i="2"/>
  <c r="H272" i="2"/>
  <c r="I272" i="2"/>
  <c r="H273" i="2"/>
  <c r="I273" i="2"/>
  <c r="H274" i="2"/>
  <c r="I274" i="2"/>
  <c r="H275" i="2"/>
  <c r="I275" i="2"/>
  <c r="H276" i="2"/>
  <c r="I276" i="2"/>
  <c r="H277" i="2"/>
  <c r="I277" i="2"/>
  <c r="H278" i="2"/>
  <c r="I278" i="2"/>
  <c r="H279" i="2"/>
  <c r="I279" i="2"/>
  <c r="H280" i="2"/>
  <c r="I280" i="2"/>
  <c r="H281" i="2"/>
  <c r="I281" i="2"/>
  <c r="H282" i="2"/>
  <c r="I282" i="2"/>
  <c r="H283" i="2"/>
  <c r="I283" i="2"/>
  <c r="H284" i="2"/>
  <c r="I284" i="2"/>
  <c r="H285" i="2"/>
  <c r="I285" i="2"/>
  <c r="H286" i="2"/>
  <c r="I286" i="2"/>
  <c r="H287" i="2"/>
  <c r="I287" i="2"/>
  <c r="H288" i="2"/>
  <c r="I288" i="2"/>
  <c r="H289" i="2"/>
  <c r="I289" i="2"/>
  <c r="H290" i="2"/>
  <c r="I290" i="2"/>
  <c r="H291" i="2"/>
  <c r="I291" i="2"/>
  <c r="H292" i="2"/>
  <c r="I292" i="2"/>
  <c r="H293" i="2"/>
  <c r="I293" i="2"/>
  <c r="H294" i="2"/>
  <c r="I294" i="2"/>
  <c r="H295" i="2"/>
  <c r="I295" i="2"/>
  <c r="H296" i="2"/>
  <c r="I296" i="2"/>
  <c r="H297" i="2"/>
  <c r="I297" i="2"/>
  <c r="H298" i="2"/>
  <c r="I298" i="2"/>
  <c r="H299" i="2"/>
  <c r="I299" i="2"/>
  <c r="H300" i="2"/>
  <c r="I300" i="2"/>
  <c r="H301" i="2"/>
  <c r="I301" i="2"/>
  <c r="H302" i="2"/>
  <c r="I302" i="2"/>
  <c r="H303" i="2"/>
  <c r="I303" i="2"/>
  <c r="H304" i="2"/>
  <c r="I304" i="2"/>
  <c r="H305" i="2"/>
  <c r="I305" i="2"/>
  <c r="H306" i="2"/>
  <c r="I306" i="2"/>
  <c r="H307" i="2"/>
  <c r="I307" i="2"/>
  <c r="H308" i="2"/>
  <c r="I308" i="2"/>
  <c r="H309" i="2"/>
  <c r="I309" i="2"/>
  <c r="H310" i="2"/>
  <c r="I310" i="2"/>
  <c r="H311" i="2"/>
  <c r="I311" i="2"/>
  <c r="H312" i="2"/>
  <c r="I312" i="2"/>
  <c r="H313" i="2"/>
  <c r="I313" i="2"/>
  <c r="H314" i="2"/>
  <c r="I314" i="2"/>
  <c r="H315" i="2"/>
  <c r="I315" i="2"/>
  <c r="H316" i="2"/>
  <c r="I316" i="2"/>
  <c r="H317" i="2"/>
  <c r="I317" i="2"/>
  <c r="H318" i="2"/>
  <c r="I318" i="2"/>
  <c r="H319" i="2"/>
  <c r="I319" i="2"/>
  <c r="H320" i="2"/>
  <c r="I320" i="2"/>
  <c r="H321" i="2"/>
  <c r="I321" i="2"/>
  <c r="H322" i="2"/>
  <c r="I322" i="2"/>
  <c r="H323" i="2"/>
  <c r="I323" i="2"/>
  <c r="H324" i="2"/>
  <c r="I324" i="2"/>
  <c r="H325" i="2"/>
  <c r="I325" i="2"/>
  <c r="H326" i="2"/>
  <c r="I326" i="2"/>
  <c r="H327" i="2"/>
  <c r="I327" i="2"/>
  <c r="H328" i="2"/>
  <c r="I328" i="2"/>
  <c r="H329" i="2"/>
  <c r="I329" i="2"/>
  <c r="H330" i="2"/>
  <c r="I330" i="2"/>
  <c r="H331" i="2"/>
  <c r="I331" i="2"/>
  <c r="H332" i="2"/>
  <c r="I332" i="2"/>
  <c r="H333" i="2"/>
  <c r="I333" i="2"/>
  <c r="H334" i="2"/>
  <c r="I334" i="2"/>
  <c r="H335" i="2"/>
  <c r="I335" i="2"/>
  <c r="H336" i="2"/>
  <c r="I336" i="2"/>
  <c r="H337" i="2"/>
  <c r="I337" i="2"/>
  <c r="H338" i="2"/>
  <c r="I338" i="2"/>
  <c r="H339" i="2"/>
  <c r="I339" i="2"/>
  <c r="H340" i="2"/>
  <c r="I340" i="2"/>
  <c r="H341" i="2"/>
  <c r="I341" i="2"/>
  <c r="H342" i="2"/>
  <c r="I342" i="2"/>
  <c r="H343" i="2"/>
  <c r="I343" i="2"/>
  <c r="H344" i="2"/>
  <c r="I344" i="2"/>
  <c r="H345" i="2"/>
  <c r="I345" i="2"/>
  <c r="H346" i="2"/>
  <c r="I346" i="2"/>
  <c r="H347" i="2"/>
  <c r="I347" i="2"/>
  <c r="H348" i="2"/>
  <c r="I348" i="2"/>
  <c r="H349" i="2"/>
  <c r="I349" i="2"/>
  <c r="H350" i="2"/>
  <c r="I350" i="2"/>
  <c r="H351" i="2"/>
  <c r="I351" i="2"/>
  <c r="H352" i="2"/>
  <c r="I352" i="2"/>
  <c r="H353" i="2"/>
  <c r="I353" i="2"/>
  <c r="H354" i="2"/>
  <c r="I354" i="2"/>
  <c r="H355" i="2"/>
  <c r="I355" i="2"/>
  <c r="H356" i="2"/>
  <c r="I356" i="2"/>
  <c r="H357" i="2"/>
  <c r="I357" i="2"/>
  <c r="H358" i="2"/>
  <c r="I358" i="2"/>
  <c r="H359" i="2"/>
  <c r="I359" i="2"/>
  <c r="H360" i="2"/>
  <c r="I360" i="2"/>
  <c r="H361" i="2"/>
  <c r="I361" i="2"/>
  <c r="H362" i="2"/>
  <c r="I362" i="2"/>
  <c r="H363" i="2"/>
  <c r="I363" i="2"/>
  <c r="H364" i="2"/>
  <c r="I364" i="2"/>
  <c r="H365" i="2"/>
  <c r="I365" i="2"/>
  <c r="H366" i="2"/>
  <c r="I366" i="2"/>
  <c r="H367" i="2"/>
  <c r="I367" i="2"/>
  <c r="H368" i="2"/>
  <c r="I368" i="2"/>
  <c r="H369" i="2"/>
  <c r="I369" i="2"/>
  <c r="H370" i="2"/>
  <c r="I370" i="2"/>
  <c r="H371" i="2"/>
  <c r="I371" i="2"/>
  <c r="H372" i="2"/>
  <c r="I372" i="2"/>
  <c r="H373" i="2"/>
  <c r="I373" i="2"/>
  <c r="H374" i="2"/>
  <c r="I374" i="2"/>
  <c r="H375" i="2"/>
  <c r="I375" i="2"/>
  <c r="H376" i="2"/>
  <c r="I376" i="2"/>
  <c r="H377" i="2"/>
  <c r="I377" i="2"/>
  <c r="H378" i="2"/>
  <c r="I378" i="2"/>
  <c r="H379" i="2"/>
  <c r="I379" i="2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I397" i="2"/>
  <c r="H398" i="2"/>
  <c r="I398" i="2"/>
  <c r="H399" i="2"/>
  <c r="I399" i="2"/>
  <c r="H400" i="2"/>
  <c r="I400" i="2"/>
  <c r="H401" i="2"/>
  <c r="I401" i="2"/>
  <c r="H402" i="2"/>
  <c r="I402" i="2"/>
  <c r="H403" i="2"/>
  <c r="I403" i="2"/>
  <c r="H404" i="2"/>
  <c r="I404" i="2"/>
  <c r="H405" i="2"/>
  <c r="I405" i="2"/>
  <c r="H406" i="2"/>
  <c r="I406" i="2"/>
  <c r="H407" i="2"/>
  <c r="I407" i="2"/>
  <c r="H408" i="2"/>
  <c r="I408" i="2"/>
  <c r="H409" i="2"/>
  <c r="I409" i="2"/>
  <c r="H410" i="2"/>
  <c r="I410" i="2"/>
  <c r="H411" i="2"/>
  <c r="I411" i="2"/>
  <c r="H412" i="2"/>
  <c r="I412" i="2"/>
  <c r="H413" i="2"/>
  <c r="I413" i="2"/>
  <c r="H414" i="2"/>
  <c r="I414" i="2"/>
  <c r="H415" i="2"/>
  <c r="I415" i="2"/>
  <c r="H416" i="2"/>
  <c r="I416" i="2"/>
  <c r="H417" i="2"/>
  <c r="I417" i="2"/>
  <c r="H418" i="2"/>
  <c r="I418" i="2"/>
  <c r="H419" i="2"/>
  <c r="I419" i="2"/>
  <c r="H420" i="2"/>
  <c r="I420" i="2"/>
  <c r="H421" i="2"/>
  <c r="I421" i="2"/>
  <c r="H422" i="2"/>
  <c r="I422" i="2"/>
  <c r="H423" i="2"/>
  <c r="I423" i="2"/>
  <c r="H424" i="2"/>
  <c r="I424" i="2"/>
  <c r="H425" i="2"/>
  <c r="I425" i="2"/>
  <c r="H426" i="2"/>
  <c r="I426" i="2"/>
  <c r="H427" i="2"/>
  <c r="I427" i="2"/>
  <c r="H428" i="2"/>
  <c r="I428" i="2"/>
  <c r="H429" i="2"/>
  <c r="I429" i="2"/>
  <c r="H430" i="2"/>
  <c r="I430" i="2"/>
  <c r="H431" i="2"/>
  <c r="I431" i="2"/>
  <c r="H432" i="2"/>
  <c r="I432" i="2"/>
  <c r="H433" i="2"/>
  <c r="I433" i="2"/>
  <c r="H434" i="2"/>
  <c r="I434" i="2"/>
  <c r="H435" i="2"/>
  <c r="I435" i="2"/>
  <c r="H436" i="2"/>
  <c r="I436" i="2"/>
  <c r="H437" i="2"/>
  <c r="I437" i="2"/>
  <c r="H438" i="2"/>
  <c r="I438" i="2"/>
  <c r="H439" i="2"/>
  <c r="I439" i="2"/>
  <c r="H440" i="2"/>
  <c r="I440" i="2"/>
  <c r="H441" i="2"/>
  <c r="I441" i="2"/>
  <c r="H442" i="2"/>
  <c r="I442" i="2"/>
  <c r="H443" i="2"/>
  <c r="I443" i="2"/>
  <c r="H444" i="2"/>
  <c r="I444" i="2"/>
  <c r="H445" i="2"/>
  <c r="I445" i="2"/>
  <c r="H446" i="2"/>
  <c r="I446" i="2"/>
  <c r="H447" i="2"/>
  <c r="I447" i="2"/>
  <c r="H448" i="2"/>
  <c r="I448" i="2"/>
  <c r="H449" i="2"/>
  <c r="I449" i="2"/>
  <c r="H450" i="2"/>
  <c r="I450" i="2"/>
  <c r="H451" i="2"/>
  <c r="I451" i="2"/>
  <c r="H452" i="2"/>
  <c r="I452" i="2"/>
  <c r="H453" i="2"/>
  <c r="I453" i="2"/>
  <c r="H454" i="2"/>
  <c r="I454" i="2"/>
  <c r="H455" i="2"/>
  <c r="I455" i="2"/>
  <c r="H456" i="2"/>
  <c r="I456" i="2"/>
  <c r="H457" i="2"/>
  <c r="I457" i="2"/>
  <c r="H458" i="2"/>
  <c r="I458" i="2"/>
  <c r="H459" i="2"/>
  <c r="I459" i="2"/>
  <c r="H460" i="2"/>
  <c r="I460" i="2"/>
  <c r="H461" i="2"/>
  <c r="I461" i="2"/>
  <c r="H462" i="2"/>
  <c r="I462" i="2"/>
  <c r="H463" i="2"/>
  <c r="I463" i="2"/>
  <c r="H464" i="2"/>
  <c r="I464" i="2"/>
  <c r="H465" i="2"/>
  <c r="I465" i="2"/>
  <c r="H466" i="2"/>
  <c r="I466" i="2"/>
  <c r="H467" i="2"/>
  <c r="I467" i="2"/>
  <c r="H468" i="2"/>
  <c r="I468" i="2"/>
  <c r="H469" i="2"/>
  <c r="I469" i="2"/>
  <c r="H470" i="2"/>
  <c r="I470" i="2"/>
  <c r="H471" i="2"/>
  <c r="I471" i="2"/>
  <c r="H472" i="2"/>
  <c r="I472" i="2"/>
  <c r="H473" i="2"/>
  <c r="I473" i="2"/>
  <c r="H474" i="2"/>
  <c r="I474" i="2"/>
  <c r="H475" i="2"/>
  <c r="I475" i="2"/>
  <c r="H476" i="2"/>
  <c r="I476" i="2"/>
  <c r="H477" i="2"/>
  <c r="I477" i="2"/>
  <c r="H478" i="2"/>
  <c r="I478" i="2"/>
  <c r="H479" i="2"/>
  <c r="I479" i="2"/>
  <c r="H480" i="2"/>
  <c r="I480" i="2"/>
  <c r="H481" i="2"/>
  <c r="I481" i="2"/>
  <c r="H482" i="2"/>
  <c r="I482" i="2"/>
  <c r="H483" i="2"/>
  <c r="I483" i="2"/>
  <c r="H484" i="2"/>
  <c r="I484" i="2"/>
  <c r="H485" i="2"/>
  <c r="I485" i="2"/>
  <c r="H486" i="2"/>
  <c r="I486" i="2"/>
  <c r="H487" i="2"/>
  <c r="I487" i="2"/>
  <c r="H488" i="2"/>
  <c r="I488" i="2"/>
  <c r="H489" i="2"/>
  <c r="I489" i="2"/>
  <c r="H490" i="2"/>
  <c r="I490" i="2"/>
  <c r="H491" i="2"/>
  <c r="I491" i="2"/>
  <c r="H492" i="2"/>
  <c r="I492" i="2"/>
  <c r="H493" i="2"/>
  <c r="I493" i="2"/>
  <c r="H494" i="2"/>
  <c r="I494" i="2"/>
  <c r="H495" i="2"/>
  <c r="I495" i="2"/>
  <c r="H496" i="2"/>
  <c r="I496" i="2"/>
  <c r="H497" i="2"/>
  <c r="I497" i="2"/>
  <c r="H498" i="2"/>
  <c r="I498" i="2"/>
  <c r="H499" i="2"/>
  <c r="I499" i="2"/>
  <c r="H500" i="2"/>
  <c r="I500" i="2"/>
  <c r="H501" i="2"/>
  <c r="I501" i="2"/>
  <c r="H502" i="2"/>
  <c r="I502" i="2"/>
  <c r="H503" i="2"/>
  <c r="I503" i="2"/>
  <c r="H15" i="2"/>
  <c r="I15" i="2"/>
  <c r="Q476" i="2" l="1"/>
  <c r="Q486" i="2"/>
  <c r="Q427" i="2"/>
  <c r="Q247" i="2"/>
  <c r="Q207" i="2"/>
  <c r="Q127" i="2"/>
  <c r="Q367" i="2"/>
  <c r="Q27" i="2"/>
  <c r="Q227" i="2"/>
  <c r="Q147" i="2"/>
  <c r="Q417" i="2"/>
  <c r="Q337" i="2"/>
  <c r="Q456" i="2"/>
  <c r="Q446" i="2"/>
  <c r="Q436" i="2"/>
  <c r="Q426" i="2"/>
  <c r="Q386" i="2"/>
  <c r="Q366" i="2"/>
  <c r="Q356" i="2"/>
  <c r="Q336" i="2"/>
  <c r="Q316" i="2"/>
  <c r="Q306" i="2"/>
  <c r="Q276" i="2"/>
  <c r="Q266" i="2"/>
  <c r="Q196" i="2"/>
  <c r="Q186" i="2"/>
  <c r="Q146" i="2"/>
  <c r="Q136" i="2"/>
  <c r="Q126" i="2"/>
  <c r="Q116" i="2"/>
  <c r="Q106" i="2"/>
  <c r="Q76" i="2"/>
  <c r="Q36" i="2"/>
  <c r="Q26" i="2"/>
  <c r="Q16" i="2"/>
  <c r="Q396" i="2"/>
  <c r="Q438" i="2"/>
  <c r="Q408" i="2"/>
  <c r="Q308" i="2"/>
  <c r="Q258" i="2"/>
  <c r="Q228" i="2"/>
  <c r="Q218" i="2"/>
  <c r="Q138" i="2"/>
  <c r="Q109" i="2"/>
  <c r="Q457" i="2"/>
  <c r="Q267" i="2"/>
  <c r="Q107" i="2"/>
  <c r="Q499" i="2"/>
  <c r="Q489" i="2"/>
  <c r="Q469" i="2"/>
  <c r="Q459" i="2"/>
  <c r="Q449" i="2"/>
  <c r="Q439" i="2"/>
  <c r="Q419" i="2"/>
  <c r="Q409" i="2"/>
  <c r="Q399" i="2"/>
  <c r="Q389" i="2"/>
  <c r="Q369" i="2"/>
  <c r="Q349" i="2"/>
  <c r="Q339" i="2"/>
  <c r="Q329" i="2"/>
  <c r="Q309" i="2"/>
  <c r="Q289" i="2"/>
  <c r="Q279" i="2"/>
  <c r="Q269" i="2"/>
  <c r="Q249" i="2"/>
  <c r="Q239" i="2"/>
  <c r="Q229" i="2"/>
  <c r="Q219" i="2"/>
  <c r="Q209" i="2"/>
  <c r="Q199" i="2"/>
  <c r="Q189" i="2"/>
  <c r="Q179" i="2"/>
  <c r="Q169" i="2"/>
  <c r="Q159" i="2"/>
  <c r="Q149" i="2"/>
  <c r="Q139" i="2"/>
  <c r="Q129" i="2"/>
  <c r="Q119" i="2"/>
  <c r="Q99" i="2"/>
  <c r="Q89" i="2"/>
  <c r="Q79" i="2"/>
  <c r="Q69" i="2"/>
  <c r="Q59" i="2"/>
  <c r="Q49" i="2"/>
  <c r="Q39" i="2"/>
  <c r="Q29" i="2"/>
  <c r="Q407" i="2"/>
  <c r="Q327" i="2"/>
  <c r="Q376" i="2"/>
  <c r="Q326" i="2"/>
  <c r="Q256" i="2"/>
  <c r="Q246" i="2"/>
  <c r="Q236" i="2"/>
  <c r="Q226" i="2"/>
  <c r="Q216" i="2"/>
  <c r="Q206" i="2"/>
  <c r="Q176" i="2"/>
  <c r="Q96" i="2"/>
  <c r="Q86" i="2"/>
  <c r="Q66" i="2"/>
  <c r="Q56" i="2"/>
  <c r="Q46" i="2"/>
  <c r="Q297" i="2"/>
  <c r="Q257" i="2"/>
  <c r="Q217" i="2"/>
  <c r="Q87" i="2"/>
  <c r="Q93" i="2"/>
  <c r="Q63" i="2"/>
  <c r="Q397" i="2"/>
  <c r="Q357" i="2"/>
  <c r="Q305" i="2"/>
  <c r="Q175" i="2"/>
  <c r="Q115" i="2"/>
  <c r="Q65" i="2"/>
  <c r="Q495" i="2"/>
  <c r="Q500" i="2"/>
  <c r="Q490" i="2"/>
  <c r="Q480" i="2"/>
  <c r="Q470" i="2"/>
  <c r="Q460" i="2"/>
  <c r="Q400" i="2"/>
  <c r="Q370" i="2"/>
  <c r="Q270" i="2"/>
  <c r="Q240" i="2"/>
  <c r="Q120" i="2"/>
  <c r="Q40" i="2"/>
  <c r="Q30" i="2"/>
  <c r="Q365" i="2"/>
  <c r="Q359" i="2"/>
  <c r="Q259" i="2"/>
  <c r="Q425" i="2"/>
  <c r="Q485" i="2"/>
  <c r="Q375" i="2"/>
  <c r="Q497" i="2"/>
  <c r="Q487" i="2"/>
  <c r="Q447" i="2"/>
  <c r="Q377" i="2"/>
  <c r="Q347" i="2"/>
  <c r="Q317" i="2"/>
  <c r="Q307" i="2"/>
  <c r="Q287" i="2"/>
  <c r="Q277" i="2"/>
  <c r="Q237" i="2"/>
  <c r="Q197" i="2"/>
  <c r="Q187" i="2"/>
  <c r="Q177" i="2"/>
  <c r="Q167" i="2"/>
  <c r="Q157" i="2"/>
  <c r="Q137" i="2"/>
  <c r="Q117" i="2"/>
  <c r="Q97" i="2"/>
  <c r="Q77" i="2"/>
  <c r="Q67" i="2"/>
  <c r="Q57" i="2"/>
  <c r="Q47" i="2"/>
  <c r="Q37" i="2"/>
  <c r="Q17" i="2"/>
  <c r="Q496" i="2"/>
  <c r="Q466" i="2"/>
  <c r="Q416" i="2"/>
  <c r="Q406" i="2"/>
  <c r="Q346" i="2"/>
  <c r="Q296" i="2"/>
  <c r="Q286" i="2"/>
  <c r="Q390" i="2"/>
  <c r="Q152" i="2"/>
  <c r="Q22" i="2"/>
  <c r="Q411" i="2"/>
  <c r="Q311" i="2"/>
  <c r="Q410" i="2"/>
  <c r="Q310" i="2"/>
  <c r="Q190" i="2"/>
  <c r="Q160" i="2"/>
  <c r="Q282" i="2"/>
  <c r="Q492" i="2"/>
  <c r="Q364" i="2"/>
  <c r="Q501" i="2"/>
  <c r="Q402" i="2"/>
  <c r="Q272" i="2"/>
  <c r="Q72" i="2"/>
  <c r="Q68" i="2"/>
  <c r="Q280" i="2"/>
  <c r="Q491" i="2"/>
  <c r="Q281" i="2"/>
  <c r="Q183" i="2"/>
  <c r="Q292" i="2"/>
  <c r="Q182" i="2"/>
  <c r="Q92" i="2"/>
  <c r="Q361" i="2"/>
  <c r="Q360" i="2"/>
  <c r="Q230" i="2"/>
  <c r="Q70" i="2"/>
  <c r="Q15" i="2"/>
  <c r="Q472" i="2"/>
  <c r="Q342" i="2"/>
  <c r="Q451" i="2"/>
  <c r="Q341" i="2"/>
  <c r="Q201" i="2"/>
  <c r="Q81" i="2"/>
  <c r="Q440" i="2"/>
  <c r="Q380" i="2"/>
  <c r="Q80" i="2"/>
  <c r="Q58" i="2"/>
  <c r="Q352" i="2"/>
  <c r="Q212" i="2"/>
  <c r="Q62" i="2"/>
  <c r="Q340" i="2"/>
  <c r="Q428" i="2"/>
  <c r="Q268" i="2"/>
  <c r="Q188" i="2"/>
  <c r="Q18" i="2"/>
  <c r="Q467" i="2"/>
  <c r="Q437" i="2"/>
  <c r="Q387" i="2"/>
  <c r="Q211" i="2"/>
  <c r="Q150" i="2"/>
  <c r="Q471" i="2"/>
  <c r="Q161" i="2"/>
  <c r="Q91" i="2"/>
  <c r="Q450" i="2"/>
  <c r="Q452" i="2"/>
  <c r="Q441" i="2"/>
  <c r="Q300" i="2"/>
  <c r="Q200" i="2"/>
  <c r="Q498" i="2"/>
  <c r="Q448" i="2"/>
  <c r="Q185" i="2"/>
  <c r="Q479" i="2"/>
  <c r="Q429" i="2"/>
  <c r="Q379" i="2"/>
  <c r="Q19" i="2"/>
  <c r="Q343" i="2"/>
  <c r="Q32" i="2"/>
  <c r="Q371" i="2"/>
  <c r="Q241" i="2"/>
  <c r="Q51" i="2"/>
  <c r="Q368" i="2"/>
  <c r="Q288" i="2"/>
  <c r="Q158" i="2"/>
  <c r="Q38" i="2"/>
  <c r="Q477" i="2"/>
  <c r="Q404" i="2"/>
  <c r="Q482" i="2"/>
  <c r="Q382" i="2"/>
  <c r="Q192" i="2"/>
  <c r="Q131" i="2"/>
  <c r="Q41" i="2"/>
  <c r="Q358" i="2"/>
  <c r="Q278" i="2"/>
  <c r="Q198" i="2"/>
  <c r="Q128" i="2"/>
  <c r="Q232" i="2"/>
  <c r="Q52" i="2"/>
  <c r="Q171" i="2"/>
  <c r="Q478" i="2"/>
  <c r="Q348" i="2"/>
  <c r="Q48" i="2"/>
  <c r="Q213" i="2"/>
  <c r="Q251" i="2"/>
  <c r="Q121" i="2"/>
  <c r="Q418" i="2"/>
  <c r="Q378" i="2"/>
  <c r="Q248" i="2"/>
  <c r="Q178" i="2"/>
  <c r="Q118" i="2"/>
  <c r="Q262" i="2"/>
  <c r="Q172" i="2"/>
  <c r="Q468" i="2"/>
  <c r="Q388" i="2"/>
  <c r="Q318" i="2"/>
  <c r="Q238" i="2"/>
  <c r="Q148" i="2"/>
  <c r="Q28" i="2"/>
  <c r="Q464" i="2"/>
  <c r="Q344" i="2"/>
  <c r="Q284" i="2"/>
  <c r="Q214" i="2"/>
  <c r="Q84" i="2"/>
  <c r="Q442" i="2"/>
  <c r="Q412" i="2"/>
  <c r="Q372" i="2"/>
  <c r="Q252" i="2"/>
  <c r="Q222" i="2"/>
  <c r="Q142" i="2"/>
  <c r="Q132" i="2"/>
  <c r="Q112" i="2"/>
  <c r="Q102" i="2"/>
  <c r="Q481" i="2"/>
  <c r="Q401" i="2"/>
  <c r="Q301" i="2"/>
  <c r="Q488" i="2"/>
  <c r="Q458" i="2"/>
  <c r="Q398" i="2"/>
  <c r="Q338" i="2"/>
  <c r="Q298" i="2"/>
  <c r="Q208" i="2"/>
  <c r="Q168" i="2"/>
  <c r="Q108" i="2"/>
  <c r="Q98" i="2"/>
  <c r="Q88" i="2"/>
  <c r="Q78" i="2"/>
  <c r="Q235" i="2"/>
  <c r="Q465" i="2"/>
  <c r="Q445" i="2"/>
  <c r="Q405" i="2"/>
  <c r="Q385" i="2"/>
  <c r="Q345" i="2"/>
  <c r="Q325" i="2"/>
  <c r="Q295" i="2"/>
  <c r="Q275" i="2"/>
  <c r="Q255" i="2"/>
  <c r="Q225" i="2"/>
  <c r="Q205" i="2"/>
  <c r="Q155" i="2"/>
  <c r="Q105" i="2"/>
  <c r="Q75" i="2"/>
  <c r="Q494" i="2"/>
  <c r="Q474" i="2"/>
  <c r="Q434" i="2"/>
  <c r="Q414" i="2"/>
  <c r="Q384" i="2"/>
  <c r="Q334" i="2"/>
  <c r="Q314" i="2"/>
  <c r="Q294" i="2"/>
  <c r="Q264" i="2"/>
  <c r="Q244" i="2"/>
  <c r="Q224" i="2"/>
  <c r="Q204" i="2"/>
  <c r="Q174" i="2"/>
  <c r="Q154" i="2"/>
  <c r="Q134" i="2"/>
  <c r="Q114" i="2"/>
  <c r="Q94" i="2"/>
  <c r="Q64" i="2"/>
  <c r="Q44" i="2"/>
  <c r="Q24" i="2"/>
  <c r="Q493" i="2"/>
  <c r="Q473" i="2"/>
  <c r="Q453" i="2"/>
  <c r="Q433" i="2"/>
  <c r="Q403" i="2"/>
  <c r="Q383" i="2"/>
  <c r="Q363" i="2"/>
  <c r="Q333" i="2"/>
  <c r="Q313" i="2"/>
  <c r="Q293" i="2"/>
  <c r="Q273" i="2"/>
  <c r="Q253" i="2"/>
  <c r="Q233" i="2"/>
  <c r="Q193" i="2"/>
  <c r="Q173" i="2"/>
  <c r="Q133" i="2"/>
  <c r="Q53" i="2"/>
  <c r="Q475" i="2"/>
  <c r="Q455" i="2"/>
  <c r="Q435" i="2"/>
  <c r="Q415" i="2"/>
  <c r="Q395" i="2"/>
  <c r="Q355" i="2"/>
  <c r="Q335" i="2"/>
  <c r="Q315" i="2"/>
  <c r="Q285" i="2"/>
  <c r="Q265" i="2"/>
  <c r="Q245" i="2"/>
  <c r="Q215" i="2"/>
  <c r="Q195" i="2"/>
  <c r="Q165" i="2"/>
  <c r="Q145" i="2"/>
  <c r="Q135" i="2"/>
  <c r="Q95" i="2"/>
  <c r="Q85" i="2"/>
  <c r="Q45" i="2"/>
  <c r="Q25" i="2"/>
  <c r="Q484" i="2"/>
  <c r="Q454" i="2"/>
  <c r="Q444" i="2"/>
  <c r="Q424" i="2"/>
  <c r="Q394" i="2"/>
  <c r="Q374" i="2"/>
  <c r="Q354" i="2"/>
  <c r="Q324" i="2"/>
  <c r="Q304" i="2"/>
  <c r="Q274" i="2"/>
  <c r="Q254" i="2"/>
  <c r="Q234" i="2"/>
  <c r="Q194" i="2"/>
  <c r="Q184" i="2"/>
  <c r="Q164" i="2"/>
  <c r="Q144" i="2"/>
  <c r="Q124" i="2"/>
  <c r="Q104" i="2"/>
  <c r="Q74" i="2"/>
  <c r="Q54" i="2"/>
  <c r="Q34" i="2"/>
  <c r="Q503" i="2"/>
  <c r="Q483" i="2"/>
  <c r="Q463" i="2"/>
  <c r="Q443" i="2"/>
  <c r="Q423" i="2"/>
  <c r="Q413" i="2"/>
  <c r="Q393" i="2"/>
  <c r="Q373" i="2"/>
  <c r="Q353" i="2"/>
  <c r="Q323" i="2"/>
  <c r="Q303" i="2"/>
  <c r="Q283" i="2"/>
  <c r="Q263" i="2"/>
  <c r="Q243" i="2"/>
  <c r="Q223" i="2"/>
  <c r="Q203" i="2"/>
  <c r="Q143" i="2"/>
  <c r="Q103" i="2"/>
  <c r="Q153" i="2"/>
  <c r="Q83" i="2"/>
  <c r="Q33" i="2"/>
  <c r="Q462" i="2"/>
  <c r="Q432" i="2"/>
  <c r="Q322" i="2"/>
  <c r="Q202" i="2"/>
  <c r="Q122" i="2"/>
  <c r="Q42" i="2"/>
  <c r="Q461" i="2"/>
  <c r="Q421" i="2"/>
  <c r="Q381" i="2"/>
  <c r="Q261" i="2"/>
  <c r="Q221" i="2"/>
  <c r="Q191" i="2"/>
  <c r="Q181" i="2"/>
  <c r="Q141" i="2"/>
  <c r="Q111" i="2"/>
  <c r="Q101" i="2"/>
  <c r="Q71" i="2"/>
  <c r="Q61" i="2"/>
  <c r="Q31" i="2"/>
  <c r="Q430" i="2"/>
  <c r="Q420" i="2"/>
  <c r="Q350" i="2"/>
  <c r="Q330" i="2"/>
  <c r="Q320" i="2"/>
  <c r="Q290" i="2"/>
  <c r="Q260" i="2"/>
  <c r="Q250" i="2"/>
  <c r="Q220" i="2"/>
  <c r="Q210" i="2"/>
  <c r="Q180" i="2"/>
  <c r="Q170" i="2"/>
  <c r="Q140" i="2"/>
  <c r="Q130" i="2"/>
  <c r="Q100" i="2"/>
  <c r="Q90" i="2"/>
  <c r="Q60" i="2"/>
  <c r="Q50" i="2"/>
  <c r="Q20" i="2"/>
  <c r="Q163" i="2"/>
  <c r="Q113" i="2"/>
  <c r="Q73" i="2"/>
  <c r="Q43" i="2"/>
  <c r="Q502" i="2"/>
  <c r="Q422" i="2"/>
  <c r="Q392" i="2"/>
  <c r="Q362" i="2"/>
  <c r="Q302" i="2"/>
  <c r="Q162" i="2"/>
  <c r="Q82" i="2"/>
  <c r="Q431" i="2"/>
  <c r="Q391" i="2"/>
  <c r="Q351" i="2"/>
  <c r="Q331" i="2"/>
  <c r="Q271" i="2"/>
  <c r="Q231" i="2"/>
  <c r="Q151" i="2"/>
  <c r="Q21" i="2"/>
  <c r="Q291" i="2"/>
  <c r="Q299" i="2"/>
  <c r="Q312" i="2"/>
  <c r="Q319" i="2"/>
  <c r="Q328" i="2"/>
  <c r="Q332" i="2"/>
  <c r="Q123" i="2" l="1"/>
  <c r="Q35" i="2"/>
  <c r="Q125" i="2"/>
  <c r="Q242" i="2"/>
  <c r="Q321" i="2"/>
  <c r="Q55" i="2"/>
  <c r="Q23" i="2"/>
</calcChain>
</file>

<file path=xl/sharedStrings.xml><?xml version="1.0" encoding="utf-8"?>
<sst xmlns="http://schemas.openxmlformats.org/spreadsheetml/2006/main" count="756" uniqueCount="754">
  <si>
    <t>date</t>
  </si>
  <si>
    <t>open</t>
  </si>
  <si>
    <t>high</t>
  </si>
  <si>
    <t>low</t>
  </si>
  <si>
    <t>close</t>
  </si>
  <si>
    <t>volume</t>
  </si>
  <si>
    <t>LL</t>
  </si>
  <si>
    <t>HH</t>
  </si>
  <si>
    <t>K(14)'</t>
  </si>
  <si>
    <t>%K</t>
  </si>
  <si>
    <t>i</t>
  </si>
  <si>
    <t>Date</t>
  </si>
  <si>
    <t>%R</t>
  </si>
  <si>
    <t>Notes</t>
  </si>
  <si>
    <t>Williams %R is Fast Stochastic Oscillator - 100</t>
  </si>
  <si>
    <t>where Fast variant is STOCH(14,1,1)</t>
  </si>
  <si>
    <t>-73.79214459506421519563</t>
  </si>
  <si>
    <t>-71.08098713938130686074</t>
  </si>
  <si>
    <t>-53.90127388535039187900</t>
  </si>
  <si>
    <t>-14.06896551724112498505</t>
  </si>
  <si>
    <t>-59.93121238177129583846</t>
  </si>
  <si>
    <t>-61.65090283748916988316</t>
  </si>
  <si>
    <t xml:space="preserve"> -2.55183413078165699517</t>
  </si>
  <si>
    <t xml:space="preserve"> -2.63326910725771767829</t>
  </si>
  <si>
    <t>-13.53431686978822767742</t>
  </si>
  <si>
    <t>-10.77613855035284018413</t>
  </si>
  <si>
    <t>-20.52597819114809851726</t>
  </si>
  <si>
    <t>-29.05708787684413607622</t>
  </si>
  <si>
    <t>-36.75432969852462150584</t>
  </si>
  <si>
    <t>-17.19050673508664317524</t>
  </si>
  <si>
    <t xml:space="preserve"> -3.19662243667069390085</t>
  </si>
  <si>
    <t>-23.52231604342583182188</t>
  </si>
  <si>
    <t>-23.10012062726181625294</t>
  </si>
  <si>
    <t>-20.26537997587460893101</t>
  </si>
  <si>
    <t>-31.47191736604266054655</t>
  </si>
  <si>
    <t>-72.41697416974162138104</t>
  </si>
  <si>
    <t>-80.06396588486134646701</t>
  </si>
  <si>
    <t>-44.13646055437118320697</t>
  </si>
  <si>
    <t>-43.60341151385933500251</t>
  </si>
  <si>
    <t>-53.73134328358202793652</t>
  </si>
  <si>
    <t>-78.35820895522385853837</t>
  </si>
  <si>
    <t>-54.15778251599162729235</t>
  </si>
  <si>
    <t>-55.11727078891277642470</t>
  </si>
  <si>
    <t>-76.86567164179116673495</t>
  </si>
  <si>
    <t>-71.80722891566254872941</t>
  </si>
  <si>
    <t>-41.07382550335579907141</t>
  </si>
  <si>
    <t>-62.01342281879210105444</t>
  </si>
  <si>
    <t>-78.30985915492966853435</t>
  </si>
  <si>
    <t>-89.58333333333322912040</t>
  </si>
  <si>
    <t>-83.64140480591512982755</t>
  </si>
  <si>
    <t>-94.61852861035427508796</t>
  </si>
  <si>
    <t>-93.09290953545217917053</t>
  </si>
  <si>
    <t>-85.36147400197783952080</t>
  </si>
  <si>
    <t>-85.90941114974665993032</t>
  </si>
  <si>
    <t>-80.34135587827546487460</t>
  </si>
  <si>
    <t>-81.53451057930502088311</t>
  </si>
  <si>
    <t>-93.72209821428576503877</t>
  </si>
  <si>
    <t>-71.58094347200555773725</t>
  </si>
  <si>
    <t>-60.09130702240479138254</t>
  </si>
  <si>
    <t>-63.65004397582101347552</t>
  </si>
  <si>
    <t>-73.83810403200980942984</t>
  </si>
  <si>
    <t>-65.76704545454546746441</t>
  </si>
  <si>
    <t>-77.84135968526958038183</t>
  </si>
  <si>
    <t>-91.54103852596321644342</t>
  </si>
  <si>
    <t>-81.53846153846163247181</t>
  </si>
  <si>
    <t>-65.59440559440560036819</t>
  </si>
  <si>
    <t>-86.17302606724585700704</t>
  </si>
  <si>
    <t>-65.09255761239138848850</t>
  </si>
  <si>
    <t>-92.59539100868894934138</t>
  </si>
  <si>
    <t>-82.31960710238004708117</t>
  </si>
  <si>
    <t>-63.65697015489234900087</t>
  </si>
  <si>
    <t>-88.43974310540234284872</t>
  </si>
  <si>
    <t>-89.05614801810379788094</t>
  </si>
  <si>
    <t>-75.77720207253879891596</t>
  </si>
  <si>
    <t>-64.80406386066766799559</t>
  </si>
  <si>
    <t>-67.99709724238029195931</t>
  </si>
  <si>
    <t>-50.52724077328648633056</t>
  </si>
  <si>
    <t>-44.90333919156403652551</t>
  </si>
  <si>
    <t>-11.07205623901573687817</t>
  </si>
  <si>
    <t xml:space="preserve"> -8.27783063748788094927</t>
  </si>
  <si>
    <t xml:space="preserve"> -8.26446280991739001820</t>
  </si>
  <si>
    <t>-10.67873303167425547144</t>
  </si>
  <si>
    <t>-11.22171945701364847991</t>
  </si>
  <si>
    <t>-11.31221719457012397925</t>
  </si>
  <si>
    <t>-12.04099060631935458332</t>
  </si>
  <si>
    <t>-22.80167491435079796247</t>
  </si>
  <si>
    <t xml:space="preserve"> -1.50829562594259414254</t>
  </si>
  <si>
    <t>-24.07806361677862128090</t>
  </si>
  <si>
    <t>-13.62311494107201781389</t>
  </si>
  <si>
    <t>-28.02291551316955064976</t>
  </si>
  <si>
    <t>-31.24999999999980104803</t>
  </si>
  <si>
    <t>-89.87915407855000182735</t>
  </si>
  <si>
    <t>-45.10367791736022269333</t>
  </si>
  <si>
    <t>-45.40638716512789585522</t>
  </si>
  <si>
    <t>-94.47278911564620784702</t>
  </si>
  <si>
    <t>-62.52804786836200889866</t>
  </si>
  <si>
    <t>-61.55572176514588278451</t>
  </si>
  <si>
    <t>-45.25056095736719186107</t>
  </si>
  <si>
    <t>-40.38893044128636233836</t>
  </si>
  <si>
    <t>-52.05684367988026650664</t>
  </si>
  <si>
    <t>-49.08256880733941329709</t>
  </si>
  <si>
    <t>-55.20186335403739263938</t>
  </si>
  <si>
    <t>-59.70496894409938448689</t>
  </si>
  <si>
    <t>-62.27727075184722593804</t>
  </si>
  <si>
    <t>-85.94632768361586272476</t>
  </si>
  <si>
    <t>-80.93220338983050510251</t>
  </si>
  <si>
    <t>-83.75706214689269302198</t>
  </si>
  <si>
    <t>-81.94915254237291435402</t>
  </si>
  <si>
    <t>-77.71186440677969642365</t>
  </si>
  <si>
    <t>-92.11864406779655212176</t>
  </si>
  <si>
    <t>-79.57627118644070662867</t>
  </si>
  <si>
    <t>-67.96610169491535202724</t>
  </si>
  <si>
    <t>-70.25423728813554191674</t>
  </si>
  <si>
    <t>-66.63685152057239236001</t>
  </si>
  <si>
    <t>-69.28838951310871152600</t>
  </si>
  <si>
    <t>-65.16071017040296453615</t>
  </si>
  <si>
    <t>-70.33000635454546056735</t>
  </si>
  <si>
    <t>-58.63301641376830986019</t>
  </si>
  <si>
    <t>-74.21827472928578117717</t>
  </si>
  <si>
    <t>-86.15345395975643327802</t>
  </si>
  <si>
    <t>-82.73512592772841856004</t>
  </si>
  <si>
    <t>-71.37932432980493047125</t>
  </si>
  <si>
    <t>-70.62613340749371104721</t>
  </si>
  <si>
    <t>-75.89846986367246017835</t>
  </si>
  <si>
    <t>-80.82317974032294216613</t>
  </si>
  <si>
    <t>-91.83135475871821995497</t>
  </si>
  <si>
    <t>-85.45820080069987056959</t>
  </si>
  <si>
    <t>-69.52531590565411079297</t>
  </si>
  <si>
    <t>-23.49352390558307490664</t>
  </si>
  <si>
    <t>-27.72413793103436319143</t>
  </si>
  <si>
    <t xml:space="preserve"> -6.72823218997349670190</t>
  </si>
  <si>
    <t>-22.68441486411538221546</t>
  </si>
  <si>
    <t>-55.62950637825846200712</t>
  </si>
  <si>
    <t>-53.74376039933442683605</t>
  </si>
  <si>
    <t>-49.86134220743194589431</t>
  </si>
  <si>
    <t>-41.65280088740982478157</t>
  </si>
  <si>
    <t>-53.30005546311694075712</t>
  </si>
  <si>
    <t>-68.05324459234597611612</t>
  </si>
  <si>
    <t>-75.48530227398771330627</t>
  </si>
  <si>
    <t>-56.84969495285634621951</t>
  </si>
  <si>
    <t>-39.18285331547214411785</t>
  </si>
  <si>
    <t>-51.64099129269929022712</t>
  </si>
  <si>
    <t>-49.22973878097783284602</t>
  </si>
  <si>
    <t>-63.09840425531905339085</t>
  </si>
  <si>
    <t>-82.11436170212766683107</t>
  </si>
  <si>
    <t>-47.93070259865251614428</t>
  </si>
  <si>
    <t>-45.62078922040410589034</t>
  </si>
  <si>
    <t>-16.36188642925881708834</t>
  </si>
  <si>
    <t>-29.14669223394072616884</t>
  </si>
  <si>
    <t>-21.47651006711416243888</t>
  </si>
  <si>
    <t>-50.23969319271338207500</t>
  </si>
  <si>
    <t>-25.11984659635669459021</t>
  </si>
  <si>
    <t xml:space="preserve"> -3.38321405335074132381</t>
  </si>
  <si>
    <t xml:space="preserve"> -3.81184103811848729038</t>
  </si>
  <si>
    <t xml:space="preserve"> -5.37761961249509568006</t>
  </si>
  <si>
    <t>-12.15871860211132116092</t>
  </si>
  <si>
    <t>-16.12090680100762085658</t>
  </si>
  <si>
    <t xml:space="preserve"> -8.31408775981533665345</t>
  </si>
  <si>
    <t>-24.85119047619051002584</t>
  </si>
  <si>
    <t>-31.95792880258902357582</t>
  </si>
  <si>
    <t>-66.69367909238251002080</t>
  </si>
  <si>
    <t>-60.94003241491081013237</t>
  </si>
  <si>
    <t>-18.55753646677476353943</t>
  </si>
  <si>
    <t>-40.11345218800649803370</t>
  </si>
  <si>
    <t>-30.83333333333335701809</t>
  </si>
  <si>
    <t>-34.40118284869390663516</t>
  </si>
  <si>
    <t>-17.29559748427678300686</t>
  </si>
  <si>
    <t>-24.84276729559751117904</t>
  </si>
  <si>
    <t>-24.63312368972739818673</t>
  </si>
  <si>
    <t>-32.91404612159327314203</t>
  </si>
  <si>
    <t>-35.11530398322842927428</t>
  </si>
  <si>
    <t>-45.59748427672947457268</t>
  </si>
  <si>
    <t>-89.70893970893976643310</t>
  </si>
  <si>
    <t>-95.01039501039511492309</t>
  </si>
  <si>
    <t>-98.03742583295296242341</t>
  </si>
  <si>
    <t>-90.63517915309442685157</t>
  </si>
  <si>
    <t>-97.55134281200629686737</t>
  </si>
  <si>
    <t>-85.78199052132704593987</t>
  </si>
  <si>
    <t>-82.93838862559246649653</t>
  </si>
  <si>
    <t>-81.43759873617688072045</t>
  </si>
  <si>
    <t>-79.54186413902053232050</t>
  </si>
  <si>
    <t>-62.95418641390210012787</t>
  </si>
  <si>
    <t>-49.85941893158380366913</t>
  </si>
  <si>
    <t>-64.94845360824747615425</t>
  </si>
  <si>
    <t>-53.50253807106604853061</t>
  </si>
  <si>
    <t>-77.95275590551175071141</t>
  </si>
  <si>
    <t>-80.27972027972035107268</t>
  </si>
  <si>
    <t>-97.76021080368904847546</t>
  </si>
  <si>
    <t>-97.19157472417251142360</t>
  </si>
  <si>
    <t>-95.66003616636537287832</t>
  </si>
  <si>
    <t>-93.92503231365792260021</t>
  </si>
  <si>
    <t>-69.82288828337871677832</t>
  </si>
  <si>
    <t>-59.94550408719351253239</t>
  </si>
  <si>
    <t>-52.92915531335154355475</t>
  </si>
  <si>
    <t>-74.86376021798368185500</t>
  </si>
  <si>
    <t>-77.45231607629426662243</t>
  </si>
  <si>
    <t>-76.36239782016350829963</t>
  </si>
  <si>
    <t>-95.02724795640324373380</t>
  </si>
  <si>
    <t>-82.19628412071070044931</t>
  </si>
  <si>
    <t>-77.24458204334366939747</t>
  </si>
  <si>
    <t>-86.60990712074300290624</t>
  </si>
  <si>
    <t>-88.39009287925696867205</t>
  </si>
  <si>
    <t>-76.78018575851393734411</t>
  </si>
  <si>
    <t>-78.17337461300314771506</t>
  </si>
  <si>
    <t>-85.29411764705878340465</t>
  </si>
  <si>
    <t>-91.02263856362212379736</t>
  </si>
  <si>
    <t>-80.01561280249802621256</t>
  </si>
  <si>
    <t>-74.63884430176568685056</t>
  </si>
  <si>
    <t>-60.21276595744673443278</t>
  </si>
  <si>
    <t>-46.59574468085098430947</t>
  </si>
  <si>
    <t>-10.67193675889312487470</t>
  </si>
  <si>
    <t xml:space="preserve"> -8.89328063241111976822</t>
  </si>
  <si>
    <t>-88.90909090909092071797</t>
  </si>
  <si>
    <t>-47.36091298145493055927</t>
  </si>
  <si>
    <t>-33.23823109843075940262</t>
  </si>
  <si>
    <t>-20.39942938659046944849</t>
  </si>
  <si>
    <t>-74.46504992867325256611</t>
  </si>
  <si>
    <t>-61.62624821683295550656</t>
  </si>
  <si>
    <t>-65.62054208273880817615</t>
  </si>
  <si>
    <t>-64.05135520684723360318</t>
  </si>
  <si>
    <t>-96.69421487603304399272</t>
  </si>
  <si>
    <t>-75.85454545454540209448</t>
  </si>
  <si>
    <t>-69.23636363636360613327</t>
  </si>
  <si>
    <t>-80.43636363636365160801</t>
  </si>
  <si>
    <t>-73.98809523809521238036</t>
  </si>
  <si>
    <t>-60.42168674698793040534</t>
  </si>
  <si>
    <t>-62.38361266294225515594</t>
  </si>
  <si>
    <t>-52.38981998758533364935</t>
  </si>
  <si>
    <t>-24.14649286157666097097</t>
  </si>
  <si>
    <t>-26.40603566529487977732</t>
  </si>
  <si>
    <t xml:space="preserve"> -5.76131687242791201697</t>
  </si>
  <si>
    <t>-14.75964793500332916665</t>
  </si>
  <si>
    <t>-25.93094109681787529098</t>
  </si>
  <si>
    <t>-20.98849018280294842498</t>
  </si>
  <si>
    <t>-27.82667569397428053435</t>
  </si>
  <si>
    <t xml:space="preserve"> -4.38992898644291074106</t>
  </si>
  <si>
    <t xml:space="preserve"> -5.19187358916478558513</t>
  </si>
  <si>
    <t xml:space="preserve"> -1.86230248306996770680</t>
  </si>
  <si>
    <t xml:space="preserve"> -9.60729312762967424533</t>
  </si>
  <si>
    <t xml:space="preserve"> -3.78681626928465675519</t>
  </si>
  <si>
    <t xml:space="preserve"> -3.45768880800729050407</t>
  </si>
  <si>
    <t xml:space="preserve"> -6.61661191928676828411</t>
  </si>
  <si>
    <t xml:space="preserve"> -0.66137566137562942004</t>
  </si>
  <si>
    <t xml:space="preserve"> -7.76014109347440239617</t>
  </si>
  <si>
    <t xml:space="preserve"> -9.08289241622576071222</t>
  </si>
  <si>
    <t xml:space="preserve"> -0.59221658206429594884</t>
  </si>
  <si>
    <t xml:space="preserve"> -2.66830870279142118306</t>
  </si>
  <si>
    <t xml:space="preserve"> -0.99773242630384118002</t>
  </si>
  <si>
    <t xml:space="preserve"> -1.72064777327936724305</t>
  </si>
  <si>
    <t xml:space="preserve"> -7.49021799888207340246</t>
  </si>
  <si>
    <t xml:space="preserve"> -4.80225988700561856604</t>
  </si>
  <si>
    <t xml:space="preserve"> -9.77541570081487520838</t>
  </si>
  <si>
    <t>-18.13473221047283345797</t>
  </si>
  <si>
    <t>-16.33065605846057621875</t>
  </si>
  <si>
    <t>-24.15044209864754520822</t>
  </si>
  <si>
    <t xml:space="preserve"> -2.84090909090893717348</t>
  </si>
  <si>
    <t xml:space="preserve"> -1.49253731343269180343</t>
  </si>
  <si>
    <t>-14.32432432432433699887</t>
  </si>
  <si>
    <t>-10.29301277235164491231</t>
  </si>
  <si>
    <t xml:space="preserve"> -0.70839089009311351219</t>
  </si>
  <si>
    <t>-19.78469595577539053011</t>
  </si>
  <si>
    <t>-14.87084990139986473423</t>
  </si>
  <si>
    <t>-10.79753014579908665382</t>
  </si>
  <si>
    <t>-10.02102312543802042910</t>
  </si>
  <si>
    <t xml:space="preserve"> -9.95094604064480847683</t>
  </si>
  <si>
    <t>-10.30133146461105297931</t>
  </si>
  <si>
    <t>-15.51966292134837033245</t>
  </si>
  <si>
    <t>-17.48595505617983292268</t>
  </si>
  <si>
    <t>-80.83400160384934451940</t>
  </si>
  <si>
    <t>-92.66968325791853544615</t>
  </si>
  <si>
    <t>-84.62757527733758422528</t>
  </si>
  <si>
    <t>-62.28209191759120955112</t>
  </si>
  <si>
    <t>-83.67670364500790469720</t>
  </si>
  <si>
    <t>-78.80434782608702448670</t>
  </si>
  <si>
    <t>-86.21373359976452377396</t>
  </si>
  <si>
    <t>-79.55295320414525406250</t>
  </si>
  <si>
    <t>-79.63040413897797975551</t>
  </si>
  <si>
    <t>-90.19287348806793147560</t>
  </si>
  <si>
    <t>-73.56339809827015585597</t>
  </si>
  <si>
    <t>-67.65342960288808171754</t>
  </si>
  <si>
    <t>-58.05054151624539571230</t>
  </si>
  <si>
    <t>-56.48312611012443085201</t>
  </si>
  <si>
    <t>-65.86187535092642519885</t>
  </si>
  <si>
    <t>-64.73891072431223392414</t>
  </si>
  <si>
    <t>-52.27400336889380128014</t>
  </si>
  <si>
    <t>-31.61145423919137442681</t>
  </si>
  <si>
    <t xml:space="preserve"> -3.08483290488442207788</t>
  </si>
  <si>
    <t>-57.36040609137062062928</t>
  </si>
  <si>
    <t>-19.92385786802020675168</t>
  </si>
  <si>
    <t>-20.93908629441628477252</t>
  </si>
  <si>
    <t>-25.94397076735685914173</t>
  </si>
  <si>
    <t xml:space="preserve"> -2.80177445715597173148</t>
  </si>
  <si>
    <t>-53.47177157689828419507</t>
  </si>
  <si>
    <t>-37.12660958232574159865</t>
  </si>
  <si>
    <t>-46.66971697496565951724</t>
  </si>
  <si>
    <t>-60.13464932348520619598</t>
  </si>
  <si>
    <t>-82.65895953757225811387</t>
  </si>
  <si>
    <t>-53.98843930635820242969</t>
  </si>
  <si>
    <t>-24.97109826589590397816</t>
  </si>
  <si>
    <t>-23.93063583815019512713</t>
  </si>
  <si>
    <t>-32.02312138728333934523</t>
  </si>
  <si>
    <t>-18.26589595375702401725</t>
  </si>
  <si>
    <t>-56.53179190751425409189</t>
  </si>
  <si>
    <t>-56.41618497109817553792</t>
  </si>
  <si>
    <t>-62.65895953757206626733</t>
  </si>
  <si>
    <t>-50.40462427745644191646</t>
  </si>
  <si>
    <t>-24.69879518072292512443</t>
  </si>
  <si>
    <t>-21.68674698795163635623</t>
  </si>
  <si>
    <t xml:space="preserve"> -7.05679862306362792879</t>
  </si>
  <si>
    <t xml:space="preserve"> -4.13657255416936209258</t>
  </si>
  <si>
    <t>-11.79177451826291189718</t>
  </si>
  <si>
    <t xml:space="preserve"> -6.62143826322929385242</t>
  </si>
  <si>
    <t xml:space="preserve"> -1.59999999999992326138</t>
  </si>
  <si>
    <t>-16.44139153556393750932</t>
  </si>
  <si>
    <t>-19.01174385109690945228</t>
  </si>
  <si>
    <t>-16.57434079326391440645</t>
  </si>
  <si>
    <t>-18.12048192771092658404</t>
  </si>
  <si>
    <t>-30.69879518072291091357</t>
  </si>
  <si>
    <t>-19.79719942056986781154</t>
  </si>
  <si>
    <t>-32.46599645180367588182</t>
  </si>
  <si>
    <t>-24.77823772915445488252</t>
  </si>
  <si>
    <t>-25.42874039030162691688</t>
  </si>
  <si>
    <t>-22.23962411902898850258</t>
  </si>
  <si>
    <t>-48.13519813519834400495</t>
  </si>
  <si>
    <t>-77.17948717948719661308</t>
  </si>
  <si>
    <t>-91.92307692307699085177</t>
  </si>
  <si>
    <t>-53.97435897435899931907</t>
  </si>
  <si>
    <t>-72.79874213836487228946</t>
  </si>
  <si>
    <t>-72.01257861635211554585</t>
  </si>
  <si>
    <t>-79.07284768211937375781</t>
  </si>
  <si>
    <t>-84.90066225165577407097</t>
  </si>
  <si>
    <t>-97.66925638179790780669</t>
  </si>
  <si>
    <t>-66.81465038845713877436</t>
  </si>
  <si>
    <t>-63.04106548279671784485</t>
  </si>
  <si>
    <t>-30.41065482796874164251</t>
  </si>
  <si>
    <t>-66.37069922308540981248</t>
  </si>
  <si>
    <t>-52.51533742331285736782</t>
  </si>
  <si>
    <t>-93.98207426376441731009</t>
  </si>
  <si>
    <t>-86.14318706697471839107</t>
  </si>
  <si>
    <t>-98.41700587969233993135</t>
  </si>
  <si>
    <t>-88.65631330182304736809</t>
  </si>
  <si>
    <t>-78.52278679937143124334</t>
  </si>
  <si>
    <t>-77.00366684127823191375</t>
  </si>
  <si>
    <t>-70.82242011524363078934</t>
  </si>
  <si>
    <t>-43.11157674174968690295</t>
  </si>
  <si>
    <t>-52.06914614981663902427</t>
  </si>
  <si>
    <t>-57.93609219486642558650</t>
  </si>
  <si>
    <t>-50.75955997904659966480</t>
  </si>
  <si>
    <t>-35.77667408802875570473</t>
  </si>
  <si>
    <t>-50.33396129474230207279</t>
  </si>
  <si>
    <t>-36.58088235294118106822</t>
  </si>
  <si>
    <t>-38.43058350100597664323</t>
  </si>
  <si>
    <t>-11.89532117367168950750</t>
  </si>
  <si>
    <t xml:space="preserve"> -6.54988575780645021496</t>
  </si>
  <si>
    <t xml:space="preserve"> -6.37219406227367812789</t>
  </si>
  <si>
    <t xml:space="preserve"> -1.78253119429581374789</t>
  </si>
  <si>
    <t xml:space="preserve"> -2.48175182481753608954</t>
  </si>
  <si>
    <t>-16.31888710540401632443</t>
  </si>
  <si>
    <t>-27.01979668271809487123</t>
  </si>
  <si>
    <t xml:space="preserve"> -8.18619582664527456473</t>
  </si>
  <si>
    <t xml:space="preserve"> -2.40409207161124527374</t>
  </si>
  <si>
    <t xml:space="preserve"> -2.83270978086585500932</t>
  </si>
  <si>
    <t xml:space="preserve"> -5.82726326742978528728</t>
  </si>
  <si>
    <t xml:space="preserve"> -3.69406867845998476696</t>
  </si>
  <si>
    <t xml:space="preserve"> -9.01287553648073469503</t>
  </si>
  <si>
    <t>-14.57537466940929959947</t>
  </si>
  <si>
    <t>-28.21040258595348859672</t>
  </si>
  <si>
    <t>-30.08338678640151897525</t>
  </si>
  <si>
    <t>-46.63618549967331716744</t>
  </si>
  <si>
    <t>-78.77094972067041567243</t>
  </si>
  <si>
    <t>-79.63394342762066457908</t>
  </si>
  <si>
    <t>-82.99500831946755852186</t>
  </si>
  <si>
    <t>-79.70049916805321288393</t>
  </si>
  <si>
    <t>-81.53078202995008894050</t>
  </si>
  <si>
    <t>-72.51247920133110369534</t>
  </si>
  <si>
    <t>-74.97504159733777839847</t>
  </si>
  <si>
    <t>-74.09780775716696155087</t>
  </si>
  <si>
    <t>-73.66269165247018690934</t>
  </si>
  <si>
    <t>-76.67009249743057353044</t>
  </si>
  <si>
    <t>-71.07103422892896560370</t>
  </si>
  <si>
    <t>-79.85127411060773283680</t>
  </si>
  <si>
    <t>-82.42564696794130441049</t>
  </si>
  <si>
    <t>-69.89396035039183630033</t>
  </si>
  <si>
    <t xml:space="preserve"> -2.83400809716599155763</t>
  </si>
  <si>
    <t>-40.94754653130316768284</t>
  </si>
  <si>
    <t>-32.14890016920485038554</t>
  </si>
  <si>
    <t>-31.05076741440372245506</t>
  </si>
  <si>
    <t>-35.65525383707213791240</t>
  </si>
  <si>
    <t>-54.54545454545460358986</t>
  </si>
  <si>
    <t>-81.58205430932700608082</t>
  </si>
  <si>
    <t>-86.69527896995701610194</t>
  </si>
  <si>
    <t>-96.81660249788713201724</t>
  </si>
  <si>
    <t>-97.22901385493069881250</t>
  </si>
  <si>
    <t>-94.37652811735944169413</t>
  </si>
  <si>
    <t>-91.30434782608696764328</t>
  </si>
  <si>
    <t>-93.71980676328513482076</t>
  </si>
  <si>
    <t>-90.70110701107007855626</t>
  </si>
  <si>
    <t>-78.52398523985243627976</t>
  </si>
  <si>
    <t>-50.84870848708493440427</t>
  </si>
  <si>
    <t>-40.44280442804438280291</t>
  </si>
  <si>
    <t>-42.19409282700424057566</t>
  </si>
  <si>
    <t xml:space="preserve"> -1.07980947472542254673</t>
  </si>
  <si>
    <t>-22.36011936923827647661</t>
  </si>
  <si>
    <t>-35.07842957963072194616</t>
  </si>
  <si>
    <t>-36.65782757961407867242</t>
  </si>
  <si>
    <t>-23.02512905344190130563</t>
  </si>
  <si>
    <t>-51.92592592592585987177</t>
  </si>
  <si>
    <t>-25.92592592592592382061</t>
  </si>
  <si>
    <t>-23.82963745160166979531</t>
  </si>
  <si>
    <t>-18.41289522628642316704</t>
  </si>
  <si>
    <t>-19.73148901545971511950</t>
  </si>
  <si>
    <t xml:space="preserve"> -6.44511581067459360384</t>
  </si>
  <si>
    <t>-18.81331403762658283085</t>
  </si>
  <si>
    <t xml:space="preserve"> -9.68660968660958587861</t>
  </si>
  <si>
    <t>-36.89458689458696483143</t>
  </si>
  <si>
    <t>-67.80626780626792537987</t>
  </si>
  <si>
    <t>-56.69515669515678268908</t>
  </si>
  <si>
    <t>-73.07692307692305178080</t>
  </si>
  <si>
    <t>-53.13390313390321750830</t>
  </si>
  <si>
    <t>-52.13675213675211495001</t>
  </si>
  <si>
    <t>-61.39601139601145973757</t>
  </si>
  <si>
    <t>-60.93189964157718208071</t>
  </si>
  <si>
    <t>-73.38709677419355159600</t>
  </si>
  <si>
    <t>-38.79928315412198713830</t>
  </si>
  <si>
    <t>-37.45519713261656136183</t>
  </si>
  <si>
    <t>-33.24372759856639447662</t>
  </si>
  <si>
    <t>-40.05376344086021589419</t>
  </si>
  <si>
    <t>-31.45400593471792660694</t>
  </si>
  <si>
    <t>-42.21146085552861393353</t>
  </si>
  <si>
    <t>-38.94557823129240858862</t>
  </si>
  <si>
    <t>-42.17687074829918003616</t>
  </si>
  <si>
    <t>-37.27506426735217814894</t>
  </si>
  <si>
    <t>-40.01823154056505416065</t>
  </si>
  <si>
    <t>-26.61804922515941029815</t>
  </si>
  <si>
    <t>-25.00000000000007105427</t>
  </si>
  <si>
    <t>-67.81609195402283774001</t>
  </si>
  <si>
    <t>-81.36160714285723827288</t>
  </si>
  <si>
    <t>-79.12946428571419232867</t>
  </si>
  <si>
    <t>-92.07589285714306015507</t>
  </si>
  <si>
    <t>-82.14285714285716721861</t>
  </si>
  <si>
    <t>-78.02313354363822384130</t>
  </si>
  <si>
    <t>-63.14312441534145392552</t>
  </si>
  <si>
    <t>-76.71381936887935637515</t>
  </si>
  <si>
    <t>-66.70293797606089469809</t>
  </si>
  <si>
    <t>-55.82154515778015735350</t>
  </si>
  <si>
    <t>-55.38628944504901596702</t>
  </si>
  <si>
    <t>-48.20457018498376555726</t>
  </si>
  <si>
    <t>-16.21327529923840415904</t>
  </si>
  <si>
    <t>-36.45266594124042569547</t>
  </si>
  <si>
    <t>-39.71708378672477124383</t>
  </si>
  <si>
    <t>-17.08378672470068693201</t>
  </si>
  <si>
    <t>-43.52557127312297069466</t>
  </si>
  <si>
    <t xml:space="preserve"> -1.73092053501179066188</t>
  </si>
  <si>
    <t>-12.76058117498426724978</t>
  </si>
  <si>
    <t>-10.10739102969058933468</t>
  </si>
  <si>
    <t>-22.23626026531906063610</t>
  </si>
  <si>
    <t>-25.81115566897571511618</t>
  </si>
  <si>
    <t>-43.57762017336477100571</t>
  </si>
  <si>
    <t>-40.26792750197007819679</t>
  </si>
  <si>
    <t>-48.93280632411085662170</t>
  </si>
  <si>
    <t>-44.83606557377041923473</t>
  </si>
  <si>
    <t>-43.27868852459011606015</t>
  </si>
  <si>
    <t>-63.94118108247008791523</t>
  </si>
  <si>
    <t>-57.58969641214366674831</t>
  </si>
  <si>
    <t>-53.63385464581426020914</t>
  </si>
  <si>
    <t>-57.65199161425564255978</t>
  </si>
  <si>
    <t>-94.24398625429540743426</t>
  </si>
  <si>
    <t>-92.38866396761136456917</t>
  </si>
  <si>
    <t>-79.93168232280083884689</t>
  </si>
  <si>
    <t>-95.27559055118118180872</t>
  </si>
  <si>
    <t>-89.91825613079006984663</t>
  </si>
  <si>
    <t>-89.08496732026151221362</t>
  </si>
  <si>
    <t>100.00000000000000000000</t>
  </si>
  <si>
    <t>-95.14731369150777595678</t>
  </si>
  <si>
    <t>-87.34835355285963487404</t>
  </si>
  <si>
    <t>-89.13922588099367771974</t>
  </si>
  <si>
    <t>-87.63720392836502526279</t>
  </si>
  <si>
    <t>-94.45407279029458891273</t>
  </si>
  <si>
    <t>-56.55690352397452613786</t>
  </si>
  <si>
    <t>-22.05826712069611517109</t>
  </si>
  <si>
    <t>-16.08497723823978731161</t>
  </si>
  <si>
    <t>-38.55685131195329518050</t>
  </si>
  <si>
    <t>-25.07288629737608687265</t>
  </si>
  <si>
    <t>-46.57434402332351908171</t>
  </si>
  <si>
    <t>-67.12827988338177931382</t>
  </si>
  <si>
    <t>-68.51311953352774253290</t>
  </si>
  <si>
    <t>-64.06705539358594592159</t>
  </si>
  <si>
    <t>-97.27479182437558336005</t>
  </si>
  <si>
    <t>-92.75362318840579689549</t>
  </si>
  <si>
    <t>-93.62318840579705181426</t>
  </si>
  <si>
    <t>-96.82451253481897879283</t>
  </si>
  <si>
    <t>-79.75797579757978894577</t>
  </si>
  <si>
    <t>-60.56105610561053254060</t>
  </si>
  <si>
    <t>-50.77007700770073483909</t>
  </si>
  <si>
    <t>-47.19471947194712413420</t>
  </si>
  <si>
    <t>-37.54940711462444369317</t>
  </si>
  <si>
    <t xml:space="preserve"> -6.09496810772510855259</t>
  </si>
  <si>
    <t xml:space="preserve"> -7.91974656810982935440</t>
  </si>
  <si>
    <t xml:space="preserve"> -2.90812954395239842142</t>
  </si>
  <si>
    <t xml:space="preserve"> -4.89094514210184172498</t>
  </si>
  <si>
    <t>-12.61415525114159663644</t>
  </si>
  <si>
    <t>-25.91324200913237518762</t>
  </si>
  <si>
    <t>-10.44520547945197108675</t>
  </si>
  <si>
    <t xml:space="preserve"> -2.89634146341460052554</t>
  </si>
  <si>
    <t>-14.84257871064465916788</t>
  </si>
  <si>
    <t>-19.80779498131343530076</t>
  </si>
  <si>
    <t>-21.30272290443143390348</t>
  </si>
  <si>
    <t>-31.50026695141487209639</t>
  </si>
  <si>
    <t>-38.60117458622539032831</t>
  </si>
  <si>
    <t>-79.13736521331460949114</t>
  </si>
  <si>
    <t>-99.16597164303591682710</t>
  </si>
  <si>
    <t>-88.17771084337354636773</t>
  </si>
  <si>
    <t>-78.23795180722902387060</t>
  </si>
  <si>
    <t>-77.56024096385550592458</t>
  </si>
  <si>
    <t>-66.26506024096393332457</t>
  </si>
  <si>
    <t>-68.29819277108427399980</t>
  </si>
  <si>
    <t>-70.48192771084347896249</t>
  </si>
  <si>
    <t>-78.91566265060254181662</t>
  </si>
  <si>
    <t>-77.27652464494570949682</t>
  </si>
  <si>
    <t>-82.07033184744921072706</t>
  </si>
  <si>
    <t>-53.98530243075190782065</t>
  </si>
  <si>
    <t>-42.17359942293806795988</t>
  </si>
  <si>
    <t>-33.14087759815248546147</t>
  </si>
  <si>
    <t>-37.87528868360279687977</t>
  </si>
  <si>
    <t>-32.44803695150119438040</t>
  </si>
  <si>
    <t xml:space="preserve"> -8.64381520119229662669</t>
  </si>
  <si>
    <t>-15.44554455445535268154</t>
  </si>
  <si>
    <t>-31.06584212440894532392</t>
  </si>
  <si>
    <t>-12.95016369588941529400</t>
  </si>
  <si>
    <t xml:space="preserve"> -7.00413880929636434303</t>
  </si>
  <si>
    <t xml:space="preserve"> -2.98653610771120270329</t>
  </si>
  <si>
    <t xml:space="preserve"> -5.52249464413232260540</t>
  </si>
  <si>
    <t xml:space="preserve"> -6.23661033087361715843</t>
  </si>
  <si>
    <t>-11.04498928826467363251</t>
  </si>
  <si>
    <t>-14.69739121305960338759</t>
  </si>
  <si>
    <t>-17.95181355309428283817</t>
  </si>
  <si>
    <t>-35.01128549682427149037</t>
  </si>
  <si>
    <t>-12.49278253110071545962</t>
  </si>
  <si>
    <t>-13.77672209026124505726</t>
  </si>
  <si>
    <t>-34.36675461741430126494</t>
  </si>
  <si>
    <t>-44.85488126649084961173</t>
  </si>
  <si>
    <t>-43.62416107382546925919</t>
  </si>
  <si>
    <t>-71.71775592828235801335</t>
  </si>
  <si>
    <t>-91.51643690349935411632</t>
  </si>
  <si>
    <t>-84.51290591174033295374</t>
  </si>
  <si>
    <t>-96.54621680974243247420</t>
  </si>
  <si>
    <t>-90.36697247706418067992</t>
  </si>
  <si>
    <t>-97.80652418447701279547</t>
  </si>
  <si>
    <t>-98.15668202764985039721</t>
  </si>
  <si>
    <t>-93.66834170854275498641</t>
  </si>
  <si>
    <t>-83.86934673366830850227</t>
  </si>
  <si>
    <t>-85.67839195979902910949</t>
  </si>
  <si>
    <t>-91.26717557251903656379</t>
  </si>
  <si>
    <t>-91.32545719372063786068</t>
  </si>
  <si>
    <t>-93.94594594594583725211</t>
  </si>
  <si>
    <t>-92.15444015444009551175</t>
  </si>
  <si>
    <t>-94.61350864171350849574</t>
  </si>
  <si>
    <t>-89.47305401171435335073</t>
  </si>
  <si>
    <t>-96.28232758620690390217</t>
  </si>
  <si>
    <t>-91.22615803814714752207</t>
  </si>
  <si>
    <t>-70.46117921774664694112</t>
  </si>
  <si>
    <t>-70.22767075306484230168</t>
  </si>
  <si>
    <t>-69.35201401050790082081</t>
  </si>
  <si>
    <t>-97.37302977232923240081</t>
  </si>
  <si>
    <t>-91.03169251517195448287</t>
  </si>
  <si>
    <t>-95.82542694497155366662</t>
  </si>
  <si>
    <t>-99.19069296914518929498</t>
  </si>
  <si>
    <t>-79.22279792746110160806</t>
  </si>
  <si>
    <t>-72.43523316062179162600</t>
  </si>
  <si>
    <t>-58.09187279151945659805</t>
  </si>
  <si>
    <t>-59.15721231766615773040</t>
  </si>
  <si>
    <t>-74.77696674776967711296</t>
  </si>
  <si>
    <t>-70.96512570965126087685</t>
  </si>
  <si>
    <t>-61.07055961070561522774</t>
  </si>
  <si>
    <t>-72.91159772911595382539</t>
  </si>
  <si>
    <t>-75.02287282708137183818</t>
  </si>
  <si>
    <t>-81.02066638549138133385</t>
  </si>
  <si>
    <t>-95.91078066914501221163</t>
  </si>
  <si>
    <t>-69.82193064667292503600</t>
  </si>
  <si>
    <t>-93.76693766937671625783</t>
  </si>
  <si>
    <t>-72.26027397260280338287</t>
  </si>
  <si>
    <t>-99.32705248990572499679</t>
  </si>
  <si>
    <t>-99.30491195551434202571</t>
  </si>
  <si>
    <t>-80.40123456790124123472</t>
  </si>
  <si>
    <t>-92.90465631929046708137</t>
  </si>
  <si>
    <t>-62.07142857142860492559</t>
  </si>
  <si>
    <t>-87.42857142857144481241</t>
  </si>
  <si>
    <t>-76.39984968057126479835</t>
  </si>
  <si>
    <t>-64.54876568191018293419</t>
  </si>
  <si>
    <t>-72.00836820083682709992</t>
  </si>
  <si>
    <t>-73.00904003443822887220</t>
  </si>
  <si>
    <t>-71.59624413145540700043</t>
  </si>
  <si>
    <t>-80.88345395557774963891</t>
  </si>
  <si>
    <t>-67.79404341241797737894</t>
  </si>
  <si>
    <t>-50.94447624499144922083</t>
  </si>
  <si>
    <t>-19.71190295678552217851</t>
  </si>
  <si>
    <t>-25.32221379833210050947</t>
  </si>
  <si>
    <t>-20.84912812736922660406</t>
  </si>
  <si>
    <t>-16.37604245640645217463</t>
  </si>
  <si>
    <t>-15.76893052302897046957</t>
  </si>
  <si>
    <t>-29.36802973977704311892</t>
  </si>
  <si>
    <t>-15.16503122212313314776</t>
  </si>
  <si>
    <t>-17.48438893844776487185</t>
  </si>
  <si>
    <t>-45.40588760035687698746</t>
  </si>
  <si>
    <t>-25.06690454950940250001</t>
  </si>
  <si>
    <t>-16.91240242844754959606</t>
  </si>
  <si>
    <t>-39.36507936507933180792</t>
  </si>
  <si>
    <t xml:space="preserve"> -1.27490039840635915880</t>
  </si>
  <si>
    <t>-10.64139941690957869014</t>
  </si>
  <si>
    <t>-41.94512700921853820546</t>
  </si>
  <si>
    <t>-35.05861361964527134205</t>
  </si>
  <si>
    <t>-24.33756436542344658847</t>
  </si>
  <si>
    <t>-26.92000688651337725332</t>
  </si>
  <si>
    <t>-26.60698355062363873458</t>
  </si>
  <si>
    <t>-63.63273453093815845705</t>
  </si>
  <si>
    <t>-57.48502994011971622967</t>
  </si>
  <si>
    <t>-66.66666666666665719276</t>
  </si>
  <si>
    <t>-46.48469809760128157450</t>
  </si>
  <si>
    <t>-58.08325266214909277096</t>
  </si>
  <si>
    <t>-36.37254901960781694470</t>
  </si>
  <si>
    <t>-51.10887096774185778258</t>
  </si>
  <si>
    <t>-59.87903225806448404001</t>
  </si>
  <si>
    <t>-42.64112903225795747630</t>
  </si>
  <si>
    <t>-20.66532258064512461715</t>
  </si>
  <si>
    <t>-30.74596774193544490572</t>
  </si>
  <si>
    <t>-11.99596774193545911658</t>
  </si>
  <si>
    <t>-15.17543859649124726729</t>
  </si>
  <si>
    <t xml:space="preserve"> -4.54222853087296130070</t>
  </si>
  <si>
    <t>-19.73350253807106469139</t>
  </si>
  <si>
    <t>-24.87309644670050090554</t>
  </si>
  <si>
    <t>-43.96024464831805289577</t>
  </si>
  <si>
    <t>-29.12844036697249805457</t>
  </si>
  <si>
    <t>-51.52905198776755213430</t>
  </si>
  <si>
    <t>-55.88685015290522528630</t>
  </si>
  <si>
    <t>-55.58103975535166085820</t>
  </si>
  <si>
    <t>-51.22324159021409428760</t>
  </si>
  <si>
    <t>-52.18702865761690645741</t>
  </si>
  <si>
    <t>-45.81066376496185910128</t>
  </si>
  <si>
    <t>-37.34939759036142703508</t>
  </si>
  <si>
    <t>-40.08762322015332557612</t>
  </si>
  <si>
    <t>-52.79299014238768705809</t>
  </si>
  <si>
    <t>-28.64693446088790551585</t>
  </si>
  <si>
    <t>-26.42706131078226405862</t>
  </si>
  <si>
    <t>-18.81606765327697416978</t>
  </si>
  <si>
    <t>-41.33192389006340761171</t>
  </si>
  <si>
    <t>-22.72727272727264846708</t>
  </si>
  <si>
    <t>-19.66173361522199058982</t>
  </si>
  <si>
    <t>-17.78563015312131767587</t>
  </si>
  <si>
    <t>-24.77424420887319911344</t>
  </si>
  <si>
    <t>-64.41966548403445358417</t>
  </si>
  <si>
    <t>-93.03688383316104193455</t>
  </si>
  <si>
    <t>-89.22813036020578181251</t>
  </si>
  <si>
    <t>-69.12521440823329044179</t>
  </si>
  <si>
    <t>-85.38593481989711619917</t>
  </si>
  <si>
    <t>-91.77558176601844763809</t>
  </si>
  <si>
    <t>-65.31718202103922976676</t>
  </si>
  <si>
    <t>-44.40548294548933938586</t>
  </si>
  <si>
    <t>-38.79502709595158904676</t>
  </si>
  <si>
    <t>-39.87886515779403850956</t>
  </si>
  <si>
    <t>-43.95919668473059971348</t>
  </si>
  <si>
    <t>-42.04654128147910796542</t>
  </si>
  <si>
    <t>-43.45468628969791069494</t>
  </si>
  <si>
    <t>-66.16666666666665719276</t>
  </si>
  <si>
    <t>-77.08333333333332859638</t>
  </si>
  <si>
    <t>-65.91666666666662877105</t>
  </si>
  <si>
    <t>-65.50000000000000000000</t>
  </si>
  <si>
    <t>-79.33333333333330017467</t>
  </si>
  <si>
    <t>-73.08333333333330017467</t>
  </si>
  <si>
    <t>-70.32871972318334030660</t>
  </si>
  <si>
    <t>-74.56747404844293214410</t>
  </si>
  <si>
    <t>-46.97231833910039711100</t>
  </si>
  <si>
    <t xml:space="preserve"> -7.33197556008144601947</t>
  </si>
  <si>
    <t>-19.83298538622121043318</t>
  </si>
  <si>
    <t>-14.00966183574871593009</t>
  </si>
  <si>
    <t>-24.91909385113257258126</t>
  </si>
  <si>
    <t xml:space="preserve"> -5.10638297872343116524</t>
  </si>
  <si>
    <t>-15.74468085106386183725</t>
  </si>
  <si>
    <t>-40.09324009324008386557</t>
  </si>
  <si>
    <t xml:space="preserve"> -7.91878172588833706413</t>
  </si>
  <si>
    <t>-33.09644670050754200474</t>
  </si>
  <si>
    <t>-44.43243243243243512097</t>
  </si>
  <si>
    <t>-41.24168514412416897130</t>
  </si>
  <si>
    <t xml:space="preserve"> -3.93827413946490878516</t>
  </si>
  <si>
    <t xml:space="preserve"> -5.37589248215036263900</t>
  </si>
  <si>
    <t>-11.75836030204965254597</t>
  </si>
  <si>
    <t>-11.65048543689319160421</t>
  </si>
  <si>
    <t xml:space="preserve"> -2.96610169491543729237</t>
  </si>
  <si>
    <t>-16.10594130279169178266</t>
  </si>
  <si>
    <t>-20.54402290622765292483</t>
  </si>
  <si>
    <t>-34.00143163922692224332</t>
  </si>
  <si>
    <t>-49.24838940586969471269</t>
  </si>
  <si>
    <t>-31.54783893609159406424</t>
  </si>
  <si>
    <t>-57.52409191994075854382</t>
  </si>
  <si>
    <t>-39.80726464047447166195</t>
  </si>
  <si>
    <t>-28.24314306893997184034</t>
  </si>
  <si>
    <t>-33.43750000000001421085</t>
  </si>
  <si>
    <t>-36.73913043478255247010</t>
  </si>
  <si>
    <t>-50.86956521739136150018</t>
  </si>
  <si>
    <t>-59.33926302414229780879</t>
  </si>
  <si>
    <t>-64.29479034307496476686</t>
  </si>
  <si>
    <t>-84.11689961880560417740</t>
  </si>
  <si>
    <t>-88.06451612903228465257</t>
  </si>
  <si>
    <t>-71.93548387096778640171</t>
  </si>
  <si>
    <t>-68.06451612903231307428</t>
  </si>
  <si>
    <t>-18.60215053763458570302</t>
  </si>
  <si>
    <t xml:space="preserve"> -2.19780219780207630720</t>
  </si>
  <si>
    <t xml:space="preserve"> -9.76837865055388476776</t>
  </si>
  <si>
    <t xml:space="preserve"> -6.49932765575981363781</t>
  </si>
  <si>
    <t xml:space="preserve"> -6.63379650380990426584</t>
  </si>
  <si>
    <t>-20.30479605558046785063</t>
  </si>
  <si>
    <t>-10.21963245181534318817</t>
  </si>
  <si>
    <t>-13.35723890631997790024</t>
  </si>
  <si>
    <t>-29.00044822949348599650</t>
  </si>
  <si>
    <t>-21.78395338413272952494</t>
  </si>
  <si>
    <t>-22.63558942178400457124</t>
  </si>
  <si>
    <t>-15.97028783658308270788</t>
  </si>
  <si>
    <t>-10.72159980725211880781</t>
  </si>
  <si>
    <t xml:space="preserve"> -6.91736578833354087692</t>
  </si>
  <si>
    <t xml:space="preserve"> -9.91188757608740900196</t>
  </si>
  <si>
    <t>-27.36389684813747180669</t>
  </si>
  <si>
    <t>-26.00286532951284357296</t>
  </si>
  <si>
    <t>-14.61318051575925380803</t>
  </si>
  <si>
    <t>-10.53008595988536910681</t>
  </si>
  <si>
    <t>-20.84527220630369015453</t>
  </si>
  <si>
    <t>-26.14613180515762280720</t>
  </si>
  <si>
    <t>-45.12893982808028425779</t>
  </si>
  <si>
    <t>-43.98280802292251223662</t>
  </si>
  <si>
    <t>-22.49283667621764948308</t>
  </si>
  <si>
    <t>-39.58847736625514102116</t>
  </si>
  <si>
    <t>-32.63358778625945433305</t>
  </si>
  <si>
    <t>-26.04961832061061954846</t>
  </si>
  <si>
    <t>-27.55311857436592504200</t>
  </si>
  <si>
    <t>-37.83413296778609691273</t>
  </si>
  <si>
    <t>-39.91323210412139133041</t>
  </si>
  <si>
    <t xml:space="preserve"> -7.15839048807821143328</t>
  </si>
  <si>
    <t>-10.98901098901079365078</t>
  </si>
  <si>
    <t>-55.23172479694233061309</t>
  </si>
  <si>
    <t>-55.90062111801250210874</t>
  </si>
  <si>
    <t>-77.87864309603436652196</t>
  </si>
  <si>
    <t>-71.03781174577633805711</t>
  </si>
  <si>
    <t>-66.53258246178597801190</t>
  </si>
  <si>
    <t>-61.22284794851164946294</t>
  </si>
  <si>
    <t>-11.42397425583257586368</t>
  </si>
  <si>
    <t xml:space="preserve">  0.00000000000001421085</t>
  </si>
  <si>
    <t>-15.32700948577145538820</t>
  </si>
  <si>
    <t>-29.45581627558664195021</t>
  </si>
  <si>
    <t>-33.79930104842740945514</t>
  </si>
  <si>
    <t>-50.77383924113836854985</t>
  </si>
  <si>
    <t>-57.21417873190218017498</t>
  </si>
  <si>
    <t>-54.96754867698461310965</t>
  </si>
  <si>
    <t>-59.66050923614586309895</t>
  </si>
  <si>
    <t>-73.78931602596105676639</t>
  </si>
  <si>
    <t>Diff</t>
  </si>
  <si>
    <t>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</si>
</sst>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_(* #,##0_);_(* \(#,##0\);_(* &quot;-&quot;??_);_(@_)"/>
    <numFmt numFmtId="166" formatCode="_(* #,##0.0000_);_(* \(#,##0.0000\);_(* &quot;-&quot;??_);_(@_)"/>
    <numFmt numFmtId="167" formatCode="_(* #,##0.000000000000000_);_(* \(#,##0.000000000000000\);_(* &quot;-&quot;??_);_(@_)"/>
    <numFmt numFmtId="188" formatCode="0.000000000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65" fontId="0" fillId="0" borderId="0" xfId="1" applyNumberFormat="1" applyFont="1" applyAlignment="1">
      <alignment horizontal="right"/>
    </xf>
    <xf numFmtId="44" fontId="0" fillId="0" borderId="0" xfId="2" applyFont="1" applyAlignment="1">
      <alignment horizontal="right"/>
    </xf>
    <xf numFmtId="164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44" fontId="0" fillId="0" borderId="0" xfId="2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166" fontId="0" fillId="0" borderId="0" xfId="1" applyNumberFormat="1" applyFont="1"/>
    <xf numFmtId="0" fontId="16" fillId="0" borderId="0" xfId="0" applyFont="1"/>
    <xf numFmtId="167" fontId="0" fillId="0" borderId="0" xfId="1" applyNumberFormat="1" applyFont="1" applyAlignment="1">
      <alignment horizontal="center"/>
    </xf>
    <xf numFmtId="167" fontId="0" fillId="0" borderId="0" xfId="1" applyNumberFormat="1" applyFont="1" applyAlignment="1">
      <alignment horizontal="right"/>
    </xf>
    <xf numFmtId="37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37" fontId="0" fillId="33" borderId="0" xfId="1" applyNumberFormat="1" applyFont="1" applyFill="1" applyAlignment="1">
      <alignment horizontal="center"/>
    </xf>
    <xf numFmtId="164" fontId="0" fillId="33" borderId="0" xfId="1" applyNumberFormat="1" applyFont="1" applyFill="1" applyAlignment="1">
      <alignment horizontal="center"/>
    </xf>
    <xf numFmtId="167" fontId="0" fillId="33" borderId="0" xfId="1" applyNumberFormat="1" applyFont="1" applyFill="1" applyAlignment="1">
      <alignment horizontal="right"/>
    </xf>
    <xf numFmtId="0" fontId="0" fillId="33" borderId="0" xfId="2" applyNumberFormat="1" applyFont="1" applyFill="1" applyAlignment="1">
      <alignment horizontal="center"/>
    </xf>
    <xf numFmtId="164" fontId="0" fillId="33" borderId="0" xfId="0" applyNumberFormat="1" applyFill="1" applyAlignment="1">
      <alignment horizontal="center"/>
    </xf>
    <xf numFmtId="44" fontId="0" fillId="33" borderId="0" xfId="2" applyFont="1" applyFill="1" applyAlignment="1">
      <alignment horizontal="right"/>
    </xf>
    <xf numFmtId="165" fontId="0" fillId="33" borderId="0" xfId="1" applyNumberFormat="1" applyFont="1" applyFill="1" applyAlignment="1">
      <alignment horizontal="right"/>
    </xf>
    <xf numFmtId="188" fontId="0" fillId="0" borderId="0" xfId="1" applyNumberFormat="1" applyFont="1" applyAlignment="1">
      <alignment horizontal="center"/>
    </xf>
    <xf numFmtId="188" fontId="0" fillId="0" borderId="0" xfId="1" applyNumberFormat="1" applyFont="1" applyAlignment="1">
      <alignment horizontal="right"/>
    </xf>
    <xf numFmtId="188" fontId="0" fillId="0" borderId="0" xfId="0" applyNumberFormat="1"/>
    <xf numFmtId="188" fontId="0" fillId="33" borderId="0" xfId="0" applyNumberFormat="1" applyFill="1"/>
    <xf numFmtId="188" fontId="0" fillId="0" borderId="0" xfId="1" applyNumberFormat="1" applyFont="1"/>
    <xf numFmtId="188" fontId="0" fillId="33" borderId="0" xfId="1" applyNumberFormat="1" applyFont="1" applyFill="1" applyAlignment="1">
      <alignment horizontal="right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8" formatCode="0.0000000000000000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8" formatCode="0.0000000000000000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8" formatCode="0.0000000000000000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8" formatCode="0.0000000000000000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8" formatCode="0.0000000000000000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numFmt numFmtId="164" formatCode="mm/dd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numFmt numFmtId="164" formatCode="mm/dd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(* #,##0.000000000000000_);_(* \(#,##0.000000000000000\);_(* &quot;-&quot;??_);_(@_)"/>
      <alignment horizontal="right" vertical="bottom" textRotation="0" wrapText="0" indent="0" justifyLastLine="0" shrinkToFit="0" readingOrder="0"/>
    </dxf>
    <dxf>
      <numFmt numFmtId="5" formatCode="#,##0_);\(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06CA2C-418F-4EC5-83A8-C6DBD7ADB292}" name="testdata4" displayName="testdata4" ref="A1:L750" totalsRowShown="0" headerRowDxfId="18" dataDxfId="17" headerRowCellStyle="Currency" dataCellStyle="Currency">
  <sortState xmlns:xlrd2="http://schemas.microsoft.com/office/spreadsheetml/2017/richdata2" ref="A2:F503">
    <sortCondition ref="A2"/>
  </sortState>
  <tableColumns count="12">
    <tableColumn id="9" xr3:uid="{B1FE7723-EE37-49A7-AA4B-9B929D8073C1}" name="i" dataDxfId="16" dataCellStyle="Currency"/>
    <tableColumn id="2" xr3:uid="{17651CAF-9892-48D9-A44C-2E561ED66B60}" name="date" dataDxfId="9"/>
    <tableColumn id="3" xr3:uid="{58007B00-9B84-438A-8945-6393D6ABC6D3}" name="open" dataDxfId="10" dataCellStyle="Currency"/>
    <tableColumn id="4" xr3:uid="{BE032FE9-30DB-4123-85FF-2FD9FABB4EC9}" name="high" dataDxfId="8" dataCellStyle="Currency"/>
    <tableColumn id="5" xr3:uid="{762898B9-C9CE-4481-BC6A-BAAE1E7A9D45}" name="low" dataDxfId="7" dataCellStyle="Currency"/>
    <tableColumn id="6" xr3:uid="{00A02885-D1EE-426F-AAFD-17C8EA5226F0}" name="close" dataDxfId="6" dataCellStyle="Currency"/>
    <tableColumn id="7" xr3:uid="{CAE79877-3B09-4D19-BC17-E7758050ACC2}" name="volume" dataDxfId="5" dataCellStyle="Comma"/>
    <tableColumn id="10" xr3:uid="{EA0E1A2D-4681-4138-8A69-04E18DD3BE78}" name="LL" dataDxfId="15" dataCellStyle="Currency"/>
    <tableColumn id="11" xr3:uid="{2D4C7EAE-0A6A-46AB-9206-465FD0B5B7F9}" name="HH" dataDxfId="14" dataCellStyle="Currency"/>
    <tableColumn id="12" xr3:uid="{D3BBA9F7-A788-4280-B33F-F5B54FD0C2AB}" name="K(14)'" dataDxfId="4" dataCellStyle="Comma">
      <calculatedColumnFormula>100*(testdata4[[#This Row],[close]]-testdata4[[#This Row],[LL]])/(testdata4[[#This Row],[HH]]-testdata4[[#This Row],[LL]])</calculatedColumnFormula>
    </tableColumn>
    <tableColumn id="15" xr3:uid="{08A9109D-3595-4530-80B5-E97A7D5CB6AF}" name="%K" dataDxfId="3" dataCellStyle="Comma"/>
    <tableColumn id="13" xr3:uid="{55695943-1BCE-47A1-9FE9-6179F1542E04}" name="%R" dataDxfId="2" dataCellStyle="Comm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36FDCB-88F4-456E-8971-FF31DD7B7CCD}" name="Table25" displayName="Table25" ref="N1:R750" totalsRowShown="0">
  <tableColumns count="5">
    <tableColumn id="3" xr3:uid="{9B53A0B0-5C00-444B-A350-3F9E196AA51E}" name="i" dataDxfId="13" dataCellStyle="Comma"/>
    <tableColumn id="1" xr3:uid="{87049EBA-FEBA-480F-826F-59C49329AD59}" name="Date" dataDxfId="11"/>
    <tableColumn id="2" xr3:uid="{290A1E41-D3CA-42CB-9169-C965C5956AC2}" name="%R" dataDxfId="1" dataCellStyle="Comma"/>
    <tableColumn id="4" xr3:uid="{014ECEDA-3699-4B12-BC14-498BDB1B9390}" name="Diff" dataDxfId="0" dataCellStyle="Comma">
      <calculatedColumnFormula>IF(testdata4[[#This Row],[%R]]&lt;&gt;Table25[[#This Row],[%R]],testdata4[[#This Row],[%R]]-Table25[[#This Row],[%R]],"")</calculatedColumnFormula>
    </tableColumn>
    <tableColumn id="5" xr3:uid="{7593F324-A155-453E-BF1E-AC69D475125C}" name="Err" dataDxfId="12" dataCellStyle="Comma">
      <calculatedColumnFormula>IF(OR(Table25[[#This Row],[%R]]&lt;-100,Table25[[#This Row],[%R]]&gt;0),"RANGE_ERR","")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1E923-8135-4610-ACE5-DB4115D1D954}">
  <dimension ref="A1:T750"/>
  <sheetViews>
    <sheetView tabSelected="1" workbookViewId="0">
      <selection activeCell="M1" sqref="M1"/>
    </sheetView>
  </sheetViews>
  <sheetFormatPr defaultRowHeight="14.5" x14ac:dyDescent="0.35"/>
  <cols>
    <col min="1" max="1" width="6" style="7" bestFit="1" customWidth="1"/>
    <col min="2" max="2" width="10.7265625" style="3" customWidth="1"/>
    <col min="3" max="6" width="10.7265625" style="2" customWidth="1"/>
    <col min="7" max="7" width="14.26953125" style="1" customWidth="1"/>
    <col min="10" max="11" width="26.7265625" style="25" bestFit="1" customWidth="1"/>
    <col min="12" max="12" width="27.36328125" style="25" bestFit="1" customWidth="1"/>
    <col min="13" max="13" width="3.7265625" customWidth="1"/>
    <col min="14" max="14" width="4.453125" style="12" bestFit="1" customWidth="1"/>
    <col min="15" max="15" width="11" style="8" customWidth="1"/>
    <col min="16" max="16" width="27" style="25" bestFit="1" customWidth="1"/>
    <col min="17" max="17" width="27.36328125" style="25" bestFit="1" customWidth="1"/>
    <col min="18" max="18" width="12.08984375" bestFit="1" customWidth="1"/>
  </cols>
  <sheetData>
    <row r="1" spans="1:20" x14ac:dyDescent="0.35">
      <c r="A1" s="6" t="s">
        <v>10</v>
      </c>
      <c r="B1" s="3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4" t="s">
        <v>5</v>
      </c>
      <c r="H1" s="5" t="s">
        <v>6</v>
      </c>
      <c r="I1" s="5" t="s">
        <v>7</v>
      </c>
      <c r="J1" s="21" t="s">
        <v>8</v>
      </c>
      <c r="K1" s="21" t="s">
        <v>9</v>
      </c>
      <c r="L1" s="21" t="s">
        <v>12</v>
      </c>
      <c r="N1" s="12" t="s">
        <v>10</v>
      </c>
      <c r="O1" s="3" t="s">
        <v>11</v>
      </c>
      <c r="P1" s="21" t="s">
        <v>12</v>
      </c>
      <c r="Q1" s="21" t="s">
        <v>752</v>
      </c>
      <c r="R1" s="10" t="s">
        <v>753</v>
      </c>
      <c r="T1" s="9" t="s">
        <v>13</v>
      </c>
    </row>
    <row r="2" spans="1:20" x14ac:dyDescent="0.35">
      <c r="A2" s="6">
        <v>0</v>
      </c>
      <c r="B2" s="3">
        <v>44907</v>
      </c>
      <c r="C2" s="2">
        <v>154.01</v>
      </c>
      <c r="D2" s="2">
        <v>155.97999999999999</v>
      </c>
      <c r="E2" s="2">
        <v>153.43</v>
      </c>
      <c r="F2" s="2">
        <v>155.33000000000001</v>
      </c>
      <c r="G2" s="1">
        <v>1071384</v>
      </c>
      <c r="H2" s="2"/>
      <c r="I2" s="2"/>
      <c r="J2" s="22"/>
      <c r="K2" s="22"/>
      <c r="L2" s="22"/>
      <c r="N2" s="12">
        <v>0</v>
      </c>
      <c r="O2" s="3">
        <v>44907</v>
      </c>
      <c r="P2" s="22"/>
      <c r="Q2" s="22" t="str">
        <f>IF(testdata4[[#This Row],[%R]]&lt;&gt;Table25[[#This Row],[%R]],testdata4[[#This Row],[%R]]-Table25[[#This Row],[%R]],"")</f>
        <v/>
      </c>
      <c r="R2" s="11" t="str">
        <f>IF(OR(Table25[[#This Row],[%R]]&lt;-100,Table25[[#This Row],[%R]]&gt;0),"RANGE_ERR","")</f>
        <v/>
      </c>
      <c r="T2" t="s">
        <v>14</v>
      </c>
    </row>
    <row r="3" spans="1:20" x14ac:dyDescent="0.35">
      <c r="A3" s="6">
        <v>1</v>
      </c>
      <c r="B3" s="3">
        <v>44908</v>
      </c>
      <c r="C3" s="2">
        <v>159.19999999999999</v>
      </c>
      <c r="D3" s="2">
        <v>160.26499999999999</v>
      </c>
      <c r="E3" s="2">
        <v>156.76</v>
      </c>
      <c r="F3" s="2">
        <v>157.66</v>
      </c>
      <c r="G3" s="1">
        <v>1534443</v>
      </c>
      <c r="H3" s="2"/>
      <c r="I3" s="2"/>
      <c r="J3" s="22"/>
      <c r="K3" s="22"/>
      <c r="L3" s="22"/>
      <c r="N3" s="12">
        <v>1</v>
      </c>
      <c r="O3" s="3">
        <v>44908</v>
      </c>
      <c r="P3" s="22"/>
      <c r="Q3" s="22" t="str">
        <f>IF(testdata4[[#This Row],[%R]]&lt;&gt;Table25[[#This Row],[%R]],testdata4[[#This Row],[%R]]-Table25[[#This Row],[%R]],"")</f>
        <v/>
      </c>
      <c r="R3" s="11" t="str">
        <f>IF(OR(Table25[[#This Row],[%R]]&lt;-100,Table25[[#This Row],[%R]]&gt;0),"RANGE_ERR","")</f>
        <v/>
      </c>
      <c r="T3" t="s">
        <v>15</v>
      </c>
    </row>
    <row r="4" spans="1:20" x14ac:dyDescent="0.35">
      <c r="A4" s="6">
        <v>2</v>
      </c>
      <c r="B4" s="3">
        <v>44909</v>
      </c>
      <c r="C4" s="2">
        <v>157.26</v>
      </c>
      <c r="D4" s="2">
        <v>158.44</v>
      </c>
      <c r="E4" s="2">
        <v>154.16</v>
      </c>
      <c r="F4" s="2">
        <v>154.81</v>
      </c>
      <c r="G4" s="1">
        <v>1344449</v>
      </c>
      <c r="H4" s="2"/>
      <c r="I4" s="2"/>
      <c r="J4" s="22"/>
      <c r="K4" s="22"/>
      <c r="L4" s="22"/>
      <c r="N4" s="12">
        <v>2</v>
      </c>
      <c r="O4" s="3">
        <v>44909</v>
      </c>
      <c r="P4" s="22"/>
      <c r="Q4" s="22" t="str">
        <f>IF(testdata4[[#This Row],[%R]]&lt;&gt;Table25[[#This Row],[%R]],testdata4[[#This Row],[%R]]-Table25[[#This Row],[%R]],"")</f>
        <v/>
      </c>
      <c r="R4" s="11" t="str">
        <f>IF(OR(Table25[[#This Row],[%R]]&lt;-100,Table25[[#This Row],[%R]]&gt;0),"RANGE_ERR","")</f>
        <v/>
      </c>
    </row>
    <row r="5" spans="1:20" x14ac:dyDescent="0.35">
      <c r="A5" s="6">
        <v>3</v>
      </c>
      <c r="B5" s="3">
        <v>44910</v>
      </c>
      <c r="C5" s="2">
        <v>152.81</v>
      </c>
      <c r="D5" s="2">
        <v>153.04</v>
      </c>
      <c r="E5" s="2">
        <v>150.24</v>
      </c>
      <c r="F5" s="2">
        <v>150.86000000000001</v>
      </c>
      <c r="G5" s="1">
        <v>1483896</v>
      </c>
      <c r="H5" s="2"/>
      <c r="I5" s="2"/>
      <c r="J5" s="22"/>
      <c r="K5" s="22"/>
      <c r="L5" s="22"/>
      <c r="N5" s="12">
        <v>3</v>
      </c>
      <c r="O5" s="3">
        <v>44910</v>
      </c>
      <c r="P5" s="22"/>
      <c r="Q5" s="22" t="str">
        <f>IF(testdata4[[#This Row],[%R]]&lt;&gt;Table25[[#This Row],[%R]],testdata4[[#This Row],[%R]]-Table25[[#This Row],[%R]],"")</f>
        <v/>
      </c>
      <c r="R5" s="11" t="str">
        <f>IF(OR(Table25[[#This Row],[%R]]&lt;-100,Table25[[#This Row],[%R]]&gt;0),"RANGE_ERR","")</f>
        <v/>
      </c>
    </row>
    <row r="6" spans="1:20" x14ac:dyDescent="0.35">
      <c r="A6" s="6">
        <v>4</v>
      </c>
      <c r="B6" s="3">
        <v>44911</v>
      </c>
      <c r="C6" s="2">
        <v>149.61000000000001</v>
      </c>
      <c r="D6" s="2">
        <v>149.94999999999999</v>
      </c>
      <c r="E6" s="2">
        <v>147.905</v>
      </c>
      <c r="F6" s="2">
        <v>149.30000000000001</v>
      </c>
      <c r="G6" s="1">
        <v>2436691</v>
      </c>
      <c r="H6" s="2"/>
      <c r="I6" s="2"/>
      <c r="J6" s="22"/>
      <c r="K6" s="22"/>
      <c r="L6" s="22"/>
      <c r="N6" s="12">
        <v>4</v>
      </c>
      <c r="O6" s="3">
        <v>44911</v>
      </c>
      <c r="P6" s="22"/>
      <c r="Q6" s="22" t="str">
        <f>IF(testdata4[[#This Row],[%R]]&lt;&gt;Table25[[#This Row],[%R]],testdata4[[#This Row],[%R]]-Table25[[#This Row],[%R]],"")</f>
        <v/>
      </c>
      <c r="R6" s="11" t="str">
        <f>IF(OR(Table25[[#This Row],[%R]]&lt;-100,Table25[[#This Row],[%R]]&gt;0),"RANGE_ERR","")</f>
        <v/>
      </c>
    </row>
    <row r="7" spans="1:20" x14ac:dyDescent="0.35">
      <c r="A7" s="6">
        <v>5</v>
      </c>
      <c r="B7" s="3">
        <v>44914</v>
      </c>
      <c r="C7" s="2">
        <v>148.91</v>
      </c>
      <c r="D7" s="2">
        <v>149.13</v>
      </c>
      <c r="E7" s="2">
        <v>146.24</v>
      </c>
      <c r="F7" s="2">
        <v>146.94999999999999</v>
      </c>
      <c r="G7" s="1">
        <v>1277354</v>
      </c>
      <c r="H7" s="2"/>
      <c r="I7" s="2"/>
      <c r="J7" s="22"/>
      <c r="K7" s="22"/>
      <c r="L7" s="22"/>
      <c r="N7" s="12">
        <v>5</v>
      </c>
      <c r="O7" s="3">
        <v>44914</v>
      </c>
      <c r="P7" s="22"/>
      <c r="Q7" s="22" t="str">
        <f>IF(testdata4[[#This Row],[%R]]&lt;&gt;Table25[[#This Row],[%R]],testdata4[[#This Row],[%R]]-Table25[[#This Row],[%R]],"")</f>
        <v/>
      </c>
      <c r="R7" s="11" t="str">
        <f>IF(OR(Table25[[#This Row],[%R]]&lt;-100,Table25[[#This Row],[%R]]&gt;0),"RANGE_ERR","")</f>
        <v/>
      </c>
    </row>
    <row r="8" spans="1:20" x14ac:dyDescent="0.35">
      <c r="A8" s="6">
        <v>6</v>
      </c>
      <c r="B8" s="3">
        <v>44915</v>
      </c>
      <c r="C8" s="2">
        <v>147.27000000000001</v>
      </c>
      <c r="D8" s="2">
        <v>149.17500000000001</v>
      </c>
      <c r="E8" s="2">
        <v>145.88</v>
      </c>
      <c r="F8" s="2">
        <v>147.93</v>
      </c>
      <c r="G8" s="1">
        <v>1548169</v>
      </c>
      <c r="H8" s="2"/>
      <c r="I8" s="2"/>
      <c r="J8" s="22"/>
      <c r="K8" s="22"/>
      <c r="L8" s="22"/>
      <c r="N8" s="12">
        <v>6</v>
      </c>
      <c r="O8" s="3">
        <v>44915</v>
      </c>
      <c r="P8" s="22"/>
      <c r="Q8" s="22" t="str">
        <f>IF(testdata4[[#This Row],[%R]]&lt;&gt;Table25[[#This Row],[%R]],testdata4[[#This Row],[%R]]-Table25[[#This Row],[%R]],"")</f>
        <v/>
      </c>
      <c r="R8" s="11" t="str">
        <f>IF(OR(Table25[[#This Row],[%R]]&lt;-100,Table25[[#This Row],[%R]]&gt;0),"RANGE_ERR","")</f>
        <v/>
      </c>
    </row>
    <row r="9" spans="1:20" x14ac:dyDescent="0.35">
      <c r="A9" s="6">
        <v>7</v>
      </c>
      <c r="B9" s="3">
        <v>44916</v>
      </c>
      <c r="C9" s="2">
        <v>148.94</v>
      </c>
      <c r="D9" s="2">
        <v>150.27000000000001</v>
      </c>
      <c r="E9" s="2">
        <v>147.88999999999999</v>
      </c>
      <c r="F9" s="2">
        <v>150.09</v>
      </c>
      <c r="G9" s="1">
        <v>1248131</v>
      </c>
      <c r="H9" s="2"/>
      <c r="I9" s="2"/>
      <c r="J9" s="22"/>
      <c r="K9" s="22"/>
      <c r="L9" s="22"/>
      <c r="N9" s="12">
        <v>7</v>
      </c>
      <c r="O9" s="3">
        <v>44916</v>
      </c>
      <c r="P9" s="22"/>
      <c r="Q9" s="22" t="str">
        <f>IF(testdata4[[#This Row],[%R]]&lt;&gt;Table25[[#This Row],[%R]],testdata4[[#This Row],[%R]]-Table25[[#This Row],[%R]],"")</f>
        <v/>
      </c>
      <c r="R9" s="11" t="str">
        <f>IF(OR(Table25[[#This Row],[%R]]&lt;-100,Table25[[#This Row],[%R]]&gt;0),"RANGE_ERR","")</f>
        <v/>
      </c>
    </row>
    <row r="10" spans="1:20" x14ac:dyDescent="0.35">
      <c r="A10" s="6">
        <v>8</v>
      </c>
      <c r="B10" s="3">
        <v>44917</v>
      </c>
      <c r="C10" s="2">
        <v>148.41</v>
      </c>
      <c r="D10" s="2">
        <v>149.19</v>
      </c>
      <c r="E10" s="2">
        <v>146.61000000000001</v>
      </c>
      <c r="F10" s="2">
        <v>149.01</v>
      </c>
      <c r="G10" s="1">
        <v>1166795</v>
      </c>
      <c r="H10" s="2"/>
      <c r="I10" s="2"/>
      <c r="J10" s="22"/>
      <c r="K10" s="22"/>
      <c r="L10" s="22"/>
      <c r="N10" s="12">
        <v>8</v>
      </c>
      <c r="O10" s="3">
        <v>44917</v>
      </c>
      <c r="P10" s="22"/>
      <c r="Q10" s="22" t="str">
        <f>IF(testdata4[[#This Row],[%R]]&lt;&gt;Table25[[#This Row],[%R]],testdata4[[#This Row],[%R]]-Table25[[#This Row],[%R]],"")</f>
        <v/>
      </c>
      <c r="R10" s="11" t="str">
        <f>IF(OR(Table25[[#This Row],[%R]]&lt;-100,Table25[[#This Row],[%R]]&gt;0),"RANGE_ERR","")</f>
        <v/>
      </c>
    </row>
    <row r="11" spans="1:20" x14ac:dyDescent="0.35">
      <c r="A11" s="6">
        <v>9</v>
      </c>
      <c r="B11" s="3">
        <v>44918</v>
      </c>
      <c r="C11" s="2">
        <v>149.01</v>
      </c>
      <c r="D11" s="2">
        <v>150.25</v>
      </c>
      <c r="E11" s="2">
        <v>148.22</v>
      </c>
      <c r="F11" s="2">
        <v>149.22999999999999</v>
      </c>
      <c r="G11" s="1">
        <v>779426</v>
      </c>
      <c r="H11" s="2"/>
      <c r="I11" s="2"/>
      <c r="J11" s="22"/>
      <c r="K11" s="22"/>
      <c r="L11" s="22"/>
      <c r="N11" s="12">
        <v>9</v>
      </c>
      <c r="O11" s="3">
        <v>44918</v>
      </c>
      <c r="P11" s="22"/>
      <c r="Q11" s="22" t="str">
        <f>IF(testdata4[[#This Row],[%R]]&lt;&gt;Table25[[#This Row],[%R]],testdata4[[#This Row],[%R]]-Table25[[#This Row],[%R]],"")</f>
        <v/>
      </c>
      <c r="R11" s="11" t="str">
        <f>IF(OR(Table25[[#This Row],[%R]]&lt;-100,Table25[[#This Row],[%R]]&gt;0),"RANGE_ERR","")</f>
        <v/>
      </c>
    </row>
    <row r="12" spans="1:20" x14ac:dyDescent="0.35">
      <c r="A12" s="6">
        <v>10</v>
      </c>
      <c r="B12" s="3">
        <v>44922</v>
      </c>
      <c r="C12" s="2">
        <v>149.22999999999999</v>
      </c>
      <c r="D12" s="2">
        <v>149.81</v>
      </c>
      <c r="E12" s="2">
        <v>147.30000000000001</v>
      </c>
      <c r="F12" s="2">
        <v>149.55000000000001</v>
      </c>
      <c r="G12" s="1">
        <v>879543</v>
      </c>
      <c r="H12" s="2"/>
      <c r="I12" s="2"/>
      <c r="J12" s="22"/>
      <c r="K12" s="22"/>
      <c r="L12" s="22"/>
      <c r="N12" s="12">
        <v>10</v>
      </c>
      <c r="O12" s="3">
        <v>44922</v>
      </c>
      <c r="P12" s="22"/>
      <c r="Q12" s="22" t="str">
        <f>IF(testdata4[[#This Row],[%R]]&lt;&gt;Table25[[#This Row],[%R]],testdata4[[#This Row],[%R]]-Table25[[#This Row],[%R]],"")</f>
        <v/>
      </c>
      <c r="R12" s="11" t="str">
        <f>IF(OR(Table25[[#This Row],[%R]]&lt;-100,Table25[[#This Row],[%R]]&gt;0),"RANGE_ERR","")</f>
        <v/>
      </c>
    </row>
    <row r="13" spans="1:20" x14ac:dyDescent="0.35">
      <c r="A13" s="6">
        <v>11</v>
      </c>
      <c r="B13" s="3">
        <v>44923</v>
      </c>
      <c r="C13" s="2">
        <v>149.78</v>
      </c>
      <c r="D13" s="2">
        <v>151.37</v>
      </c>
      <c r="E13" s="2">
        <v>147.63999999999999</v>
      </c>
      <c r="F13" s="2">
        <v>148.09</v>
      </c>
      <c r="G13" s="1">
        <v>784312</v>
      </c>
      <c r="H13" s="2"/>
      <c r="I13" s="2"/>
      <c r="J13" s="22"/>
      <c r="K13" s="22"/>
      <c r="L13" s="22"/>
      <c r="N13" s="12">
        <v>11</v>
      </c>
      <c r="O13" s="3">
        <v>44923</v>
      </c>
      <c r="P13" s="22"/>
      <c r="Q13" s="22" t="str">
        <f>IF(testdata4[[#This Row],[%R]]&lt;&gt;Table25[[#This Row],[%R]],testdata4[[#This Row],[%R]]-Table25[[#This Row],[%R]],"")</f>
        <v/>
      </c>
      <c r="R13" s="11" t="str">
        <f>IF(OR(Table25[[#This Row],[%R]]&lt;-100,Table25[[#This Row],[%R]]&gt;0),"RANGE_ERR","")</f>
        <v/>
      </c>
    </row>
    <row r="14" spans="1:20" x14ac:dyDescent="0.35">
      <c r="A14" s="6">
        <v>12</v>
      </c>
      <c r="B14" s="3">
        <v>44924</v>
      </c>
      <c r="C14" s="2">
        <v>149.61000000000001</v>
      </c>
      <c r="D14" s="2">
        <v>151.9</v>
      </c>
      <c r="E14" s="2">
        <v>149.02000000000001</v>
      </c>
      <c r="F14" s="2">
        <v>151.09</v>
      </c>
      <c r="G14" s="1">
        <v>854392</v>
      </c>
      <c r="H14" s="2"/>
      <c r="I14" s="2"/>
      <c r="J14" s="22"/>
      <c r="K14" s="22"/>
      <c r="L14" s="22"/>
      <c r="N14" s="12">
        <v>12</v>
      </c>
      <c r="O14" s="3">
        <v>44924</v>
      </c>
      <c r="P14" s="22"/>
      <c r="Q14" s="22" t="str">
        <f>IF(testdata4[[#This Row],[%R]]&lt;&gt;Table25[[#This Row],[%R]],testdata4[[#This Row],[%R]]-Table25[[#This Row],[%R]],"")</f>
        <v/>
      </c>
      <c r="R14" s="11" t="str">
        <f>IF(OR(Table25[[#This Row],[%R]]&lt;-100,Table25[[#This Row],[%R]]&gt;0),"RANGE_ERR","")</f>
        <v/>
      </c>
    </row>
    <row r="15" spans="1:20" x14ac:dyDescent="0.35">
      <c r="A15" s="6">
        <v>13</v>
      </c>
      <c r="B15" s="3">
        <v>44925</v>
      </c>
      <c r="C15" s="2">
        <v>149.76</v>
      </c>
      <c r="D15" s="2">
        <v>149.85</v>
      </c>
      <c r="E15" s="2">
        <v>147.83000000000001</v>
      </c>
      <c r="F15" s="2">
        <v>149.65</v>
      </c>
      <c r="G15" s="1">
        <v>699759</v>
      </c>
      <c r="H15" s="2">
        <f t="shared" ref="H15" si="0">MIN(E2:E15)</f>
        <v>145.88</v>
      </c>
      <c r="I15" s="2">
        <f t="shared" ref="I15" si="1">MAX(D2:D15)</f>
        <v>160.26499999999999</v>
      </c>
      <c r="J15" s="22">
        <f>100*(testdata4[[#This Row],[close]]-testdata4[[#This Row],[LL]])/(testdata4[[#This Row],[HH]]-testdata4[[#This Row],[LL]])</f>
        <v>26.207855404935785</v>
      </c>
      <c r="K15" s="22">
        <f>testdata4[[#This Row],[K(14)'']]</f>
        <v>26.207855404935785</v>
      </c>
      <c r="L15" s="22">
        <f>testdata4[[#This Row],[%K]]-100</f>
        <v>-73.792144595064215</v>
      </c>
      <c r="N15" s="12">
        <v>13</v>
      </c>
      <c r="O15" s="3">
        <v>44925</v>
      </c>
      <c r="P15" s="23" t="s">
        <v>16</v>
      </c>
      <c r="Q15" s="22">
        <f>IF(testdata4[[#This Row],[%R]]&lt;&gt;Table25[[#This Row],[%R]],testdata4[[#This Row],[%R]]-Table25[[#This Row],[%R]],"")</f>
        <v>-1.4210854715202004E-14</v>
      </c>
      <c r="R15" s="11" t="str">
        <f>IF(OR(Table25[[#This Row],[%R]]&lt;-100,Table25[[#This Row],[%R]]&gt;0),"RANGE_ERR","")</f>
        <v>RANGE_ERR</v>
      </c>
    </row>
    <row r="16" spans="1:20" x14ac:dyDescent="0.35">
      <c r="A16" s="6">
        <v>14</v>
      </c>
      <c r="B16" s="3">
        <v>44929</v>
      </c>
      <c r="C16" s="2">
        <v>151.96</v>
      </c>
      <c r="D16" s="2">
        <v>153.13</v>
      </c>
      <c r="E16" s="2">
        <v>148.47</v>
      </c>
      <c r="F16" s="2">
        <v>150.04</v>
      </c>
      <c r="G16" s="1">
        <v>1414284</v>
      </c>
      <c r="H16" s="2">
        <f t="shared" ref="H16:H79" si="2">MIN(E3:E16)</f>
        <v>145.88</v>
      </c>
      <c r="I16" s="2">
        <f t="shared" ref="I16:I79" si="3">MAX(D3:D16)</f>
        <v>160.26499999999999</v>
      </c>
      <c r="J16" s="22">
        <f>100*(testdata4[[#This Row],[close]]-testdata4[[#This Row],[LL]])/(testdata4[[#This Row],[HH]]-testdata4[[#This Row],[LL]])</f>
        <v>28.919012860618693</v>
      </c>
      <c r="K16" s="22">
        <f>testdata4[[#This Row],[K(14)'']]</f>
        <v>28.919012860618693</v>
      </c>
      <c r="L16" s="22">
        <f>testdata4[[#This Row],[%K]]-100</f>
        <v>-71.080987139381307</v>
      </c>
      <c r="N16" s="12">
        <v>14</v>
      </c>
      <c r="O16" s="3">
        <v>44929</v>
      </c>
      <c r="P16" s="23" t="s">
        <v>17</v>
      </c>
      <c r="Q16" s="22">
        <f>IF(testdata4[[#This Row],[%R]]&lt;&gt;Table25[[#This Row],[%R]],testdata4[[#This Row],[%R]]-Table25[[#This Row],[%R]],"")</f>
        <v>0</v>
      </c>
      <c r="R16" s="11" t="str">
        <f>IF(OR(Table25[[#This Row],[%R]]&lt;-100,Table25[[#This Row],[%R]]&gt;0),"RANGE_ERR","")</f>
        <v>RANGE_ERR</v>
      </c>
    </row>
    <row r="17" spans="1:18" x14ac:dyDescent="0.35">
      <c r="A17" s="6">
        <v>15</v>
      </c>
      <c r="B17" s="3">
        <v>44930</v>
      </c>
      <c r="C17" s="2">
        <v>151.65</v>
      </c>
      <c r="D17" s="2">
        <v>153.04</v>
      </c>
      <c r="E17" s="2">
        <v>150.24</v>
      </c>
      <c r="F17" s="2">
        <v>151.66999999999999</v>
      </c>
      <c r="G17" s="1">
        <v>1247420</v>
      </c>
      <c r="H17" s="2">
        <f t="shared" si="2"/>
        <v>145.88</v>
      </c>
      <c r="I17" s="2">
        <f t="shared" si="3"/>
        <v>158.44</v>
      </c>
      <c r="J17" s="22">
        <f>100*(testdata4[[#This Row],[close]]-testdata4[[#This Row],[LL]])/(testdata4[[#This Row],[HH]]-testdata4[[#This Row],[LL]])</f>
        <v>46.098726114649608</v>
      </c>
      <c r="K17" s="22">
        <f>testdata4[[#This Row],[K(14)'']]</f>
        <v>46.098726114649608</v>
      </c>
      <c r="L17" s="22">
        <f>testdata4[[#This Row],[%K]]-100</f>
        <v>-53.901273885350392</v>
      </c>
      <c r="N17" s="12">
        <v>15</v>
      </c>
      <c r="O17" s="3">
        <v>44930</v>
      </c>
      <c r="P17" s="23" t="s">
        <v>18</v>
      </c>
      <c r="Q17" s="22">
        <f>IF(testdata4[[#This Row],[%R]]&lt;&gt;Table25[[#This Row],[%R]],testdata4[[#This Row],[%R]]-Table25[[#This Row],[%R]],"")</f>
        <v>-9.2370555648813024E-14</v>
      </c>
      <c r="R17" s="11" t="str">
        <f>IF(OR(Table25[[#This Row],[%R]]&lt;-100,Table25[[#This Row],[%R]]&gt;0),"RANGE_ERR","")</f>
        <v>RANGE_ERR</v>
      </c>
    </row>
    <row r="18" spans="1:18" x14ac:dyDescent="0.35">
      <c r="A18" s="6">
        <v>16</v>
      </c>
      <c r="B18" s="3">
        <v>44931</v>
      </c>
      <c r="C18" s="2">
        <v>150</v>
      </c>
      <c r="D18" s="2">
        <v>153.07</v>
      </c>
      <c r="E18" s="2">
        <v>148.77000000000001</v>
      </c>
      <c r="F18" s="2">
        <v>152.11000000000001</v>
      </c>
      <c r="G18" s="1">
        <v>1714636</v>
      </c>
      <c r="H18" s="2">
        <f t="shared" si="2"/>
        <v>145.88</v>
      </c>
      <c r="I18" s="2">
        <f t="shared" si="3"/>
        <v>153.13</v>
      </c>
      <c r="J18" s="22">
        <f>100*(testdata4[[#This Row],[close]]-testdata4[[#This Row],[LL]])/(testdata4[[#This Row],[HH]]-testdata4[[#This Row],[LL]])</f>
        <v>85.931034482758875</v>
      </c>
      <c r="K18" s="22">
        <f>testdata4[[#This Row],[K(14)'']]</f>
        <v>85.931034482758875</v>
      </c>
      <c r="L18" s="22">
        <f>testdata4[[#This Row],[%K]]-100</f>
        <v>-14.068965517241125</v>
      </c>
      <c r="N18" s="12">
        <v>16</v>
      </c>
      <c r="O18" s="3">
        <v>44931</v>
      </c>
      <c r="P18" s="23" t="s">
        <v>19</v>
      </c>
      <c r="Q18" s="22">
        <f>IF(testdata4[[#This Row],[%R]]&lt;&gt;Table25[[#This Row],[%R]],testdata4[[#This Row],[%R]]-Table25[[#This Row],[%R]],"")</f>
        <v>-2.4868995751603507E-14</v>
      </c>
      <c r="R18" s="11" t="str">
        <f>IF(OR(Table25[[#This Row],[%R]]&lt;-100,Table25[[#This Row],[%R]]&gt;0),"RANGE_ERR","")</f>
        <v>RANGE_ERR</v>
      </c>
    </row>
    <row r="19" spans="1:18" x14ac:dyDescent="0.35">
      <c r="A19" s="6">
        <v>17</v>
      </c>
      <c r="B19" s="3">
        <v>44932</v>
      </c>
      <c r="C19" s="2">
        <v>154.36000000000001</v>
      </c>
      <c r="D19" s="2">
        <v>154.63999999999999</v>
      </c>
      <c r="E19" s="2">
        <v>143.01</v>
      </c>
      <c r="F19" s="2">
        <v>147.66999999999999</v>
      </c>
      <c r="G19" s="1">
        <v>2444397</v>
      </c>
      <c r="H19" s="2">
        <f t="shared" si="2"/>
        <v>143.01</v>
      </c>
      <c r="I19" s="2">
        <f t="shared" si="3"/>
        <v>154.63999999999999</v>
      </c>
      <c r="J19" s="22">
        <f>100*(testdata4[[#This Row],[close]]-testdata4[[#This Row],[LL]])/(testdata4[[#This Row],[HH]]-testdata4[[#This Row],[LL]])</f>
        <v>40.068787618228704</v>
      </c>
      <c r="K19" s="22">
        <f>testdata4[[#This Row],[K(14)'']]</f>
        <v>40.068787618228704</v>
      </c>
      <c r="L19" s="22">
        <f>testdata4[[#This Row],[%K]]-100</f>
        <v>-59.931212381771296</v>
      </c>
      <c r="N19" s="12">
        <v>17</v>
      </c>
      <c r="O19" s="3">
        <v>44932</v>
      </c>
      <c r="P19" s="23" t="s">
        <v>20</v>
      </c>
      <c r="Q19" s="22">
        <f>IF(testdata4[[#This Row],[%R]]&lt;&gt;Table25[[#This Row],[%R]],testdata4[[#This Row],[%R]]-Table25[[#This Row],[%R]],"")</f>
        <v>-9.2370555648813024E-14</v>
      </c>
      <c r="R19" s="11" t="str">
        <f>IF(OR(Table25[[#This Row],[%R]]&lt;-100,Table25[[#This Row],[%R]]&gt;0),"RANGE_ERR","")</f>
        <v>RANGE_ERR</v>
      </c>
    </row>
    <row r="20" spans="1:18" x14ac:dyDescent="0.35">
      <c r="A20" s="6">
        <v>18</v>
      </c>
      <c r="B20" s="3">
        <v>44935</v>
      </c>
      <c r="C20" s="2">
        <v>149.69</v>
      </c>
      <c r="D20" s="2">
        <v>151.28</v>
      </c>
      <c r="E20" s="2">
        <v>147.19800000000001</v>
      </c>
      <c r="F20" s="2">
        <v>147.47</v>
      </c>
      <c r="G20" s="1">
        <v>1269574</v>
      </c>
      <c r="H20" s="2">
        <f t="shared" si="2"/>
        <v>143.01</v>
      </c>
      <c r="I20" s="2">
        <f t="shared" si="3"/>
        <v>154.63999999999999</v>
      </c>
      <c r="J20" s="22">
        <f>100*(testdata4[[#This Row],[close]]-testdata4[[#This Row],[LL]])/(testdata4[[#This Row],[HH]]-testdata4[[#This Row],[LL]])</f>
        <v>38.34909716251083</v>
      </c>
      <c r="K20" s="22">
        <f>testdata4[[#This Row],[K(14)'']]</f>
        <v>38.34909716251083</v>
      </c>
      <c r="L20" s="22">
        <f>testdata4[[#This Row],[%K]]-100</f>
        <v>-61.65090283748917</v>
      </c>
      <c r="N20" s="12">
        <v>18</v>
      </c>
      <c r="O20" s="3">
        <v>44935</v>
      </c>
      <c r="P20" s="23" t="s">
        <v>21</v>
      </c>
      <c r="Q20" s="22">
        <f>IF(testdata4[[#This Row],[%R]]&lt;&gt;Table25[[#This Row],[%R]],testdata4[[#This Row],[%R]]-Table25[[#This Row],[%R]],"")</f>
        <v>-7.1054273576010019E-14</v>
      </c>
      <c r="R20" s="11" t="str">
        <f>IF(OR(Table25[[#This Row],[%R]]&lt;-100,Table25[[#This Row],[%R]]&gt;0),"RANGE_ERR","")</f>
        <v>RANGE_ERR</v>
      </c>
    </row>
    <row r="21" spans="1:18" x14ac:dyDescent="0.35">
      <c r="A21" s="6">
        <v>19</v>
      </c>
      <c r="B21" s="3">
        <v>44936</v>
      </c>
      <c r="C21" s="2">
        <v>150.18</v>
      </c>
      <c r="D21" s="2">
        <v>155.55000000000001</v>
      </c>
      <c r="E21" s="2">
        <v>148.75</v>
      </c>
      <c r="F21" s="2">
        <v>155.22999999999999</v>
      </c>
      <c r="G21" s="1">
        <v>1565749</v>
      </c>
      <c r="H21" s="2">
        <f t="shared" si="2"/>
        <v>143.01</v>
      </c>
      <c r="I21" s="2">
        <f t="shared" si="3"/>
        <v>155.55000000000001</v>
      </c>
      <c r="J21" s="22">
        <f>100*(testdata4[[#This Row],[close]]-testdata4[[#This Row],[LL]])/(testdata4[[#This Row],[HH]]-testdata4[[#This Row],[LL]])</f>
        <v>97.448165869218343</v>
      </c>
      <c r="K21" s="22">
        <f>testdata4[[#This Row],[K(14)'']]</f>
        <v>97.448165869218343</v>
      </c>
      <c r="L21" s="22">
        <f>testdata4[[#This Row],[%K]]-100</f>
        <v>-2.551834130781657</v>
      </c>
      <c r="N21" s="12">
        <v>19</v>
      </c>
      <c r="O21" s="3">
        <v>44936</v>
      </c>
      <c r="P21" s="23" t="s">
        <v>22</v>
      </c>
      <c r="Q21" s="22">
        <f>IF(testdata4[[#This Row],[%R]]&lt;&gt;Table25[[#This Row],[%R]],testdata4[[#This Row],[%R]]-Table25[[#This Row],[%R]],"")</f>
        <v>-7.1054273576010019E-15</v>
      </c>
      <c r="R21" s="11" t="str">
        <f>IF(OR(Table25[[#This Row],[%R]]&lt;-100,Table25[[#This Row],[%R]]&gt;0),"RANGE_ERR","")</f>
        <v>RANGE_ERR</v>
      </c>
    </row>
    <row r="22" spans="1:18" x14ac:dyDescent="0.35">
      <c r="A22" s="6">
        <v>20</v>
      </c>
      <c r="B22" s="3">
        <v>44937</v>
      </c>
      <c r="C22" s="2">
        <v>155.22999999999999</v>
      </c>
      <c r="D22" s="2">
        <v>158.58000000000001</v>
      </c>
      <c r="E22" s="2">
        <v>155.22999999999999</v>
      </c>
      <c r="F22" s="2">
        <v>158.16999999999999</v>
      </c>
      <c r="G22" s="1">
        <v>1241899</v>
      </c>
      <c r="H22" s="2">
        <f t="shared" si="2"/>
        <v>143.01</v>
      </c>
      <c r="I22" s="2">
        <f t="shared" si="3"/>
        <v>158.58000000000001</v>
      </c>
      <c r="J22" s="22">
        <f>100*(testdata4[[#This Row],[close]]-testdata4[[#This Row],[LL]])/(testdata4[[#This Row],[HH]]-testdata4[[#This Row],[LL]])</f>
        <v>97.366730892742282</v>
      </c>
      <c r="K22" s="22">
        <f>testdata4[[#This Row],[K(14)'']]</f>
        <v>97.366730892742282</v>
      </c>
      <c r="L22" s="22">
        <f>testdata4[[#This Row],[%K]]-100</f>
        <v>-2.6332691072577177</v>
      </c>
      <c r="N22" s="12">
        <v>20</v>
      </c>
      <c r="O22" s="3">
        <v>44937</v>
      </c>
      <c r="P22" s="23" t="s">
        <v>23</v>
      </c>
      <c r="Q22" s="22">
        <f>IF(testdata4[[#This Row],[%R]]&lt;&gt;Table25[[#This Row],[%R]],testdata4[[#This Row],[%R]]-Table25[[#This Row],[%R]],"")</f>
        <v>-7.5495165674510645E-15</v>
      </c>
      <c r="R22" s="11" t="str">
        <f>IF(OR(Table25[[#This Row],[%R]]&lt;-100,Table25[[#This Row],[%R]]&gt;0),"RANGE_ERR","")</f>
        <v>RANGE_ERR</v>
      </c>
    </row>
    <row r="23" spans="1:18" x14ac:dyDescent="0.35">
      <c r="A23" s="6">
        <v>21</v>
      </c>
      <c r="B23" s="3">
        <v>44938</v>
      </c>
      <c r="C23" s="2">
        <v>158.16</v>
      </c>
      <c r="D23" s="2">
        <v>158.6</v>
      </c>
      <c r="E23" s="2">
        <v>155.58250000000001</v>
      </c>
      <c r="F23" s="2">
        <v>156.49</v>
      </c>
      <c r="G23" s="1">
        <v>809123</v>
      </c>
      <c r="H23" s="2">
        <f t="shared" si="2"/>
        <v>143.01</v>
      </c>
      <c r="I23" s="2">
        <f t="shared" si="3"/>
        <v>158.6</v>
      </c>
      <c r="J23" s="22">
        <f>100*(testdata4[[#This Row],[close]]-testdata4[[#This Row],[LL]])/(testdata4[[#This Row],[HH]]-testdata4[[#This Row],[LL]])</f>
        <v>86.465683130211772</v>
      </c>
      <c r="K23" s="22">
        <f>testdata4[[#This Row],[K(14)'']]</f>
        <v>86.465683130211772</v>
      </c>
      <c r="L23" s="22">
        <f>testdata4[[#This Row],[%K]]-100</f>
        <v>-13.534316869788228</v>
      </c>
      <c r="N23" s="12">
        <v>21</v>
      </c>
      <c r="O23" s="3">
        <v>44938</v>
      </c>
      <c r="P23" s="23" t="s">
        <v>24</v>
      </c>
      <c r="Q23" s="22">
        <f>IF(testdata4[[#This Row],[%R]]&lt;&gt;Table25[[#This Row],[%R]],testdata4[[#This Row],[%R]]-Table25[[#This Row],[%R]],"")</f>
        <v>-2.8421709430404007E-14</v>
      </c>
      <c r="R23" s="11" t="str">
        <f>IF(OR(Table25[[#This Row],[%R]]&lt;-100,Table25[[#This Row],[%R]]&gt;0),"RANGE_ERR","")</f>
        <v>RANGE_ERR</v>
      </c>
    </row>
    <row r="24" spans="1:18" x14ac:dyDescent="0.35">
      <c r="A24" s="6">
        <v>22</v>
      </c>
      <c r="B24" s="3">
        <v>44939</v>
      </c>
      <c r="C24" s="2">
        <v>155.54</v>
      </c>
      <c r="D24" s="2">
        <v>157.28</v>
      </c>
      <c r="E24" s="2">
        <v>154.5</v>
      </c>
      <c r="F24" s="2">
        <v>156.91999999999999</v>
      </c>
      <c r="G24" s="1">
        <v>921744</v>
      </c>
      <c r="H24" s="2">
        <f t="shared" si="2"/>
        <v>143.01</v>
      </c>
      <c r="I24" s="2">
        <f t="shared" si="3"/>
        <v>158.6</v>
      </c>
      <c r="J24" s="22">
        <f>100*(testdata4[[#This Row],[close]]-testdata4[[#This Row],[LL]])/(testdata4[[#This Row],[HH]]-testdata4[[#This Row],[LL]])</f>
        <v>89.22386144964716</v>
      </c>
      <c r="K24" s="22">
        <f>testdata4[[#This Row],[K(14)'']]</f>
        <v>89.22386144964716</v>
      </c>
      <c r="L24" s="22">
        <f>testdata4[[#This Row],[%K]]-100</f>
        <v>-10.77613855035284</v>
      </c>
      <c r="N24" s="12">
        <v>22</v>
      </c>
      <c r="O24" s="3">
        <v>44939</v>
      </c>
      <c r="P24" s="23" t="s">
        <v>25</v>
      </c>
      <c r="Q24" s="22">
        <f>IF(testdata4[[#This Row],[%R]]&lt;&gt;Table25[[#This Row],[%R]],testdata4[[#This Row],[%R]]-Table25[[#This Row],[%R]],"")</f>
        <v>-4.0856207306205761E-14</v>
      </c>
      <c r="R24" s="11" t="str">
        <f>IF(OR(Table25[[#This Row],[%R]]&lt;-100,Table25[[#This Row],[%R]]&gt;0),"RANGE_ERR","")</f>
        <v>RANGE_ERR</v>
      </c>
    </row>
    <row r="25" spans="1:18" x14ac:dyDescent="0.35">
      <c r="A25" s="6">
        <v>23</v>
      </c>
      <c r="B25" s="3">
        <v>44943</v>
      </c>
      <c r="C25" s="2">
        <v>156.68</v>
      </c>
      <c r="D25" s="2">
        <v>158.11000000000001</v>
      </c>
      <c r="E25" s="2">
        <v>155.03</v>
      </c>
      <c r="F25" s="2">
        <v>155.4</v>
      </c>
      <c r="G25" s="1">
        <v>1602206</v>
      </c>
      <c r="H25" s="2">
        <f t="shared" si="2"/>
        <v>143.01</v>
      </c>
      <c r="I25" s="2">
        <f t="shared" si="3"/>
        <v>158.6</v>
      </c>
      <c r="J25" s="22">
        <f>100*(testdata4[[#This Row],[close]]-testdata4[[#This Row],[LL]])/(testdata4[[#This Row],[HH]]-testdata4[[#This Row],[LL]])</f>
        <v>79.474021808851901</v>
      </c>
      <c r="K25" s="22">
        <f>testdata4[[#This Row],[K(14)'']]</f>
        <v>79.474021808851901</v>
      </c>
      <c r="L25" s="22">
        <f>testdata4[[#This Row],[%K]]-100</f>
        <v>-20.525978191148099</v>
      </c>
      <c r="N25" s="12">
        <v>23</v>
      </c>
      <c r="O25" s="3">
        <v>44943</v>
      </c>
      <c r="P25" s="23" t="s">
        <v>26</v>
      </c>
      <c r="Q25" s="22">
        <f>IF(testdata4[[#This Row],[%R]]&lt;&gt;Table25[[#This Row],[%R]],testdata4[[#This Row],[%R]]-Table25[[#This Row],[%R]],"")</f>
        <v>-9.9475983006414026E-14</v>
      </c>
      <c r="R25" s="11" t="str">
        <f>IF(OR(Table25[[#This Row],[%R]]&lt;-100,Table25[[#This Row],[%R]]&gt;0),"RANGE_ERR","")</f>
        <v>RANGE_ERR</v>
      </c>
    </row>
    <row r="26" spans="1:18" x14ac:dyDescent="0.35">
      <c r="A26" s="6">
        <v>24</v>
      </c>
      <c r="B26" s="3">
        <v>44944</v>
      </c>
      <c r="C26" s="2">
        <v>156.26</v>
      </c>
      <c r="D26" s="2">
        <v>158.16</v>
      </c>
      <c r="E26" s="2">
        <v>153.63999999999999</v>
      </c>
      <c r="F26" s="2">
        <v>154.07</v>
      </c>
      <c r="G26" s="1">
        <v>1150652</v>
      </c>
      <c r="H26" s="2">
        <f t="shared" si="2"/>
        <v>143.01</v>
      </c>
      <c r="I26" s="2">
        <f t="shared" si="3"/>
        <v>158.6</v>
      </c>
      <c r="J26" s="22">
        <f>100*(testdata4[[#This Row],[close]]-testdata4[[#This Row],[LL]])/(testdata4[[#This Row],[HH]]-testdata4[[#This Row],[LL]])</f>
        <v>70.942912123155864</v>
      </c>
      <c r="K26" s="22">
        <f>testdata4[[#This Row],[K(14)'']]</f>
        <v>70.942912123155864</v>
      </c>
      <c r="L26" s="22">
        <f>testdata4[[#This Row],[%K]]-100</f>
        <v>-29.057087876844136</v>
      </c>
      <c r="N26" s="12">
        <v>24</v>
      </c>
      <c r="O26" s="3">
        <v>44944</v>
      </c>
      <c r="P26" s="23" t="s">
        <v>27</v>
      </c>
      <c r="Q26" s="22">
        <f>IF(testdata4[[#This Row],[%R]]&lt;&gt;Table25[[#This Row],[%R]],testdata4[[#This Row],[%R]]-Table25[[#This Row],[%R]],"")</f>
        <v>-3.5527136788005009E-14</v>
      </c>
      <c r="R26" s="11" t="str">
        <f>IF(OR(Table25[[#This Row],[%R]]&lt;-100,Table25[[#This Row],[%R]]&gt;0),"RANGE_ERR","")</f>
        <v>RANGE_ERR</v>
      </c>
    </row>
    <row r="27" spans="1:18" x14ac:dyDescent="0.35">
      <c r="A27" s="6">
        <v>25</v>
      </c>
      <c r="B27" s="3">
        <v>44945</v>
      </c>
      <c r="C27" s="2">
        <v>153.58000000000001</v>
      </c>
      <c r="D27" s="2">
        <v>154.91999999999999</v>
      </c>
      <c r="E27" s="2">
        <v>152.13999999999999</v>
      </c>
      <c r="F27" s="2">
        <v>152.87</v>
      </c>
      <c r="G27" s="1">
        <v>1017395</v>
      </c>
      <c r="H27" s="2">
        <f t="shared" si="2"/>
        <v>143.01</v>
      </c>
      <c r="I27" s="2">
        <f t="shared" si="3"/>
        <v>158.6</v>
      </c>
      <c r="J27" s="22">
        <f>100*(testdata4[[#This Row],[close]]-testdata4[[#This Row],[LL]])/(testdata4[[#This Row],[HH]]-testdata4[[#This Row],[LL]])</f>
        <v>63.245670301475378</v>
      </c>
      <c r="K27" s="22">
        <f>testdata4[[#This Row],[K(14)'']]</f>
        <v>63.245670301475378</v>
      </c>
      <c r="L27" s="22">
        <f>testdata4[[#This Row],[%K]]-100</f>
        <v>-36.754329698524622</v>
      </c>
      <c r="N27" s="12">
        <v>25</v>
      </c>
      <c r="O27" s="3">
        <v>44945</v>
      </c>
      <c r="P27" s="23" t="s">
        <v>28</v>
      </c>
      <c r="Q27" s="22">
        <f>IF(testdata4[[#This Row],[%R]]&lt;&gt;Table25[[#This Row],[%R]],testdata4[[#This Row],[%R]]-Table25[[#This Row],[%R]],"")</f>
        <v>-2.1316282072803006E-14</v>
      </c>
      <c r="R27" s="11" t="str">
        <f>IF(OR(Table25[[#This Row],[%R]]&lt;-100,Table25[[#This Row],[%R]]&gt;0),"RANGE_ERR","")</f>
        <v>RANGE_ERR</v>
      </c>
    </row>
    <row r="28" spans="1:18" x14ac:dyDescent="0.35">
      <c r="A28" s="6">
        <v>26</v>
      </c>
      <c r="B28" s="3">
        <v>44946</v>
      </c>
      <c r="C28" s="2">
        <v>153.5</v>
      </c>
      <c r="D28" s="2">
        <v>156.01</v>
      </c>
      <c r="E28" s="2">
        <v>152.41</v>
      </c>
      <c r="F28" s="2">
        <v>155.91999999999999</v>
      </c>
      <c r="G28" s="1">
        <v>1343723</v>
      </c>
      <c r="H28" s="2">
        <f t="shared" si="2"/>
        <v>143.01</v>
      </c>
      <c r="I28" s="2">
        <f t="shared" si="3"/>
        <v>158.6</v>
      </c>
      <c r="J28" s="22">
        <f>100*(testdata4[[#This Row],[close]]-testdata4[[#This Row],[LL]])/(testdata4[[#This Row],[HH]]-testdata4[[#This Row],[LL]])</f>
        <v>82.809493264913357</v>
      </c>
      <c r="K28" s="22">
        <f>testdata4[[#This Row],[K(14)'']]</f>
        <v>82.809493264913357</v>
      </c>
      <c r="L28" s="22">
        <f>testdata4[[#This Row],[%K]]-100</f>
        <v>-17.190506735086643</v>
      </c>
      <c r="N28" s="12">
        <v>26</v>
      </c>
      <c r="O28" s="3">
        <v>44946</v>
      </c>
      <c r="P28" s="23" t="s">
        <v>29</v>
      </c>
      <c r="Q28" s="22">
        <f>IF(testdata4[[#This Row],[%R]]&lt;&gt;Table25[[#This Row],[%R]],testdata4[[#This Row],[%R]]-Table25[[#This Row],[%R]],"")</f>
        <v>-4.2632564145606011E-14</v>
      </c>
      <c r="R28" s="11" t="str">
        <f>IF(OR(Table25[[#This Row],[%R]]&lt;-100,Table25[[#This Row],[%R]]&gt;0),"RANGE_ERR","")</f>
        <v>RANGE_ERR</v>
      </c>
    </row>
    <row r="29" spans="1:18" x14ac:dyDescent="0.35">
      <c r="A29" s="6">
        <v>27</v>
      </c>
      <c r="B29" s="3">
        <v>44949</v>
      </c>
      <c r="C29" s="2">
        <v>156</v>
      </c>
      <c r="D29" s="2">
        <v>159.59</v>
      </c>
      <c r="E29" s="2">
        <v>155.66999999999999</v>
      </c>
      <c r="F29" s="2">
        <v>159.06</v>
      </c>
      <c r="G29" s="1">
        <v>974865</v>
      </c>
      <c r="H29" s="2">
        <f t="shared" si="2"/>
        <v>143.01</v>
      </c>
      <c r="I29" s="2">
        <f t="shared" si="3"/>
        <v>159.59</v>
      </c>
      <c r="J29" s="22">
        <f>100*(testdata4[[#This Row],[close]]-testdata4[[#This Row],[LL]])/(testdata4[[#This Row],[HH]]-testdata4[[#This Row],[LL]])</f>
        <v>96.803377563329306</v>
      </c>
      <c r="K29" s="22">
        <f>testdata4[[#This Row],[K(14)'']]</f>
        <v>96.803377563329306</v>
      </c>
      <c r="L29" s="22">
        <f>testdata4[[#This Row],[%K]]-100</f>
        <v>-3.1966224366706939</v>
      </c>
      <c r="N29" s="12">
        <v>27</v>
      </c>
      <c r="O29" s="3">
        <v>44949</v>
      </c>
      <c r="P29" s="23" t="s">
        <v>30</v>
      </c>
      <c r="Q29" s="22">
        <f>IF(testdata4[[#This Row],[%R]]&lt;&gt;Table25[[#This Row],[%R]],testdata4[[#This Row],[%R]]-Table25[[#This Row],[%R]],"")</f>
        <v>-3.9968028886505635E-15</v>
      </c>
      <c r="R29" s="11" t="str">
        <f>IF(OR(Table25[[#This Row],[%R]]&lt;-100,Table25[[#This Row],[%R]]&gt;0),"RANGE_ERR","")</f>
        <v>RANGE_ERR</v>
      </c>
    </row>
    <row r="30" spans="1:18" x14ac:dyDescent="0.35">
      <c r="A30" s="6">
        <v>28</v>
      </c>
      <c r="B30" s="3">
        <v>44950</v>
      </c>
      <c r="C30" s="2">
        <v>156.27000000000001</v>
      </c>
      <c r="D30" s="2">
        <v>158.51</v>
      </c>
      <c r="E30" s="2">
        <v>154.46</v>
      </c>
      <c r="F30" s="2">
        <v>155.69</v>
      </c>
      <c r="G30" s="1">
        <v>1121545</v>
      </c>
      <c r="H30" s="2">
        <f t="shared" si="2"/>
        <v>143.01</v>
      </c>
      <c r="I30" s="2">
        <f t="shared" si="3"/>
        <v>159.59</v>
      </c>
      <c r="J30" s="22">
        <f>100*(testdata4[[#This Row],[close]]-testdata4[[#This Row],[LL]])/(testdata4[[#This Row],[HH]]-testdata4[[#This Row],[LL]])</f>
        <v>76.477683956574168</v>
      </c>
      <c r="K30" s="22">
        <f>testdata4[[#This Row],[K(14)'']]</f>
        <v>76.477683956574168</v>
      </c>
      <c r="L30" s="22">
        <f>testdata4[[#This Row],[%K]]-100</f>
        <v>-23.522316043425832</v>
      </c>
      <c r="N30" s="12">
        <v>28</v>
      </c>
      <c r="O30" s="3">
        <v>44950</v>
      </c>
      <c r="P30" s="23" t="s">
        <v>31</v>
      </c>
      <c r="Q30" s="22">
        <f>IF(testdata4[[#This Row],[%R]]&lt;&gt;Table25[[#This Row],[%R]],testdata4[[#This Row],[%R]]-Table25[[#This Row],[%R]],"")</f>
        <v>-3.1974423109204508E-14</v>
      </c>
      <c r="R30" s="11" t="str">
        <f>IF(OR(Table25[[#This Row],[%R]]&lt;-100,Table25[[#This Row],[%R]]&gt;0),"RANGE_ERR","")</f>
        <v>RANGE_ERR</v>
      </c>
    </row>
    <row r="31" spans="1:18" x14ac:dyDescent="0.35">
      <c r="A31" s="6">
        <v>29</v>
      </c>
      <c r="B31" s="3">
        <v>44951</v>
      </c>
      <c r="C31" s="2">
        <v>154</v>
      </c>
      <c r="D31" s="2">
        <v>156.54499999999999</v>
      </c>
      <c r="E31" s="2">
        <v>152.83000000000001</v>
      </c>
      <c r="F31" s="2">
        <v>155.76</v>
      </c>
      <c r="G31" s="1">
        <v>736164</v>
      </c>
      <c r="H31" s="2">
        <f t="shared" si="2"/>
        <v>143.01</v>
      </c>
      <c r="I31" s="2">
        <f t="shared" si="3"/>
        <v>159.59</v>
      </c>
      <c r="J31" s="22">
        <f>100*(testdata4[[#This Row],[close]]-testdata4[[#This Row],[LL]])/(testdata4[[#This Row],[HH]]-testdata4[[#This Row],[LL]])</f>
        <v>76.899879372738184</v>
      </c>
      <c r="K31" s="22">
        <f>testdata4[[#This Row],[K(14)'']]</f>
        <v>76.899879372738184</v>
      </c>
      <c r="L31" s="22">
        <f>testdata4[[#This Row],[%K]]-100</f>
        <v>-23.100120627261816</v>
      </c>
      <c r="N31" s="12">
        <v>29</v>
      </c>
      <c r="O31" s="3">
        <v>44951</v>
      </c>
      <c r="P31" s="23" t="s">
        <v>32</v>
      </c>
      <c r="Q31" s="22">
        <f>IF(testdata4[[#This Row],[%R]]&lt;&gt;Table25[[#This Row],[%R]],testdata4[[#This Row],[%R]]-Table25[[#This Row],[%R]],"")</f>
        <v>-1.7763568394002505E-14</v>
      </c>
      <c r="R31" s="11" t="str">
        <f>IF(OR(Table25[[#This Row],[%R]]&lt;-100,Table25[[#This Row],[%R]]&gt;0),"RANGE_ERR","")</f>
        <v>RANGE_ERR</v>
      </c>
    </row>
    <row r="32" spans="1:18" x14ac:dyDescent="0.35">
      <c r="A32" s="6">
        <v>30</v>
      </c>
      <c r="B32" s="3">
        <v>44952</v>
      </c>
      <c r="C32" s="2">
        <v>156.97</v>
      </c>
      <c r="D32" s="2">
        <v>157.66</v>
      </c>
      <c r="E32" s="2">
        <v>155.19</v>
      </c>
      <c r="F32" s="2">
        <v>156.22999999999999</v>
      </c>
      <c r="G32" s="1">
        <v>776264</v>
      </c>
      <c r="H32" s="2">
        <f t="shared" si="2"/>
        <v>143.01</v>
      </c>
      <c r="I32" s="2">
        <f t="shared" si="3"/>
        <v>159.59</v>
      </c>
      <c r="J32" s="22">
        <f>100*(testdata4[[#This Row],[close]]-testdata4[[#This Row],[LL]])/(testdata4[[#This Row],[HH]]-testdata4[[#This Row],[LL]])</f>
        <v>79.734620024125391</v>
      </c>
      <c r="K32" s="22">
        <f>testdata4[[#This Row],[K(14)'']]</f>
        <v>79.734620024125391</v>
      </c>
      <c r="L32" s="22">
        <f>testdata4[[#This Row],[%K]]-100</f>
        <v>-20.265379975874609</v>
      </c>
      <c r="N32" s="12">
        <v>30</v>
      </c>
      <c r="O32" s="3">
        <v>44952</v>
      </c>
      <c r="P32" s="23" t="s">
        <v>33</v>
      </c>
      <c r="Q32" s="22">
        <f>IF(testdata4[[#This Row],[%R]]&lt;&gt;Table25[[#This Row],[%R]],testdata4[[#This Row],[%R]]-Table25[[#This Row],[%R]],"")</f>
        <v>-1.0658141036401503E-14</v>
      </c>
      <c r="R32" s="11" t="str">
        <f>IF(OR(Table25[[#This Row],[%R]]&lt;-100,Table25[[#This Row],[%R]]&gt;0),"RANGE_ERR","")</f>
        <v>RANGE_ERR</v>
      </c>
    </row>
    <row r="33" spans="1:18" x14ac:dyDescent="0.35">
      <c r="A33" s="6">
        <v>31</v>
      </c>
      <c r="B33" s="3">
        <v>44953</v>
      </c>
      <c r="C33" s="2">
        <v>155.75</v>
      </c>
      <c r="D33" s="2">
        <v>156.96</v>
      </c>
      <c r="E33" s="2">
        <v>154.81</v>
      </c>
      <c r="F33" s="2">
        <v>155.69</v>
      </c>
      <c r="G33" s="1">
        <v>646223</v>
      </c>
      <c r="H33" s="2">
        <f t="shared" si="2"/>
        <v>147.19800000000001</v>
      </c>
      <c r="I33" s="2">
        <f t="shared" si="3"/>
        <v>159.59</v>
      </c>
      <c r="J33" s="22">
        <f>100*(testdata4[[#This Row],[close]]-testdata4[[#This Row],[LL]])/(testdata4[[#This Row],[HH]]-testdata4[[#This Row],[LL]])</f>
        <v>68.528082633957339</v>
      </c>
      <c r="K33" s="22">
        <f>testdata4[[#This Row],[K(14)'']]</f>
        <v>68.528082633957339</v>
      </c>
      <c r="L33" s="22">
        <f>testdata4[[#This Row],[%K]]-100</f>
        <v>-31.471917366042661</v>
      </c>
      <c r="N33" s="12">
        <v>31</v>
      </c>
      <c r="O33" s="3">
        <v>44953</v>
      </c>
      <c r="P33" s="23" t="s">
        <v>34</v>
      </c>
      <c r="Q33" s="22">
        <f>IF(testdata4[[#This Row],[%R]]&lt;&gt;Table25[[#This Row],[%R]],testdata4[[#This Row],[%R]]-Table25[[#This Row],[%R]],"")</f>
        <v>-6.0396132539608516E-14</v>
      </c>
      <c r="R33" s="11" t="str">
        <f>IF(OR(Table25[[#This Row],[%R]]&lt;-100,Table25[[#This Row],[%R]]&gt;0),"RANGE_ERR","")</f>
        <v>RANGE_ERR</v>
      </c>
    </row>
    <row r="34" spans="1:18" x14ac:dyDescent="0.35">
      <c r="A34" s="6">
        <v>32</v>
      </c>
      <c r="B34" s="3">
        <v>44956</v>
      </c>
      <c r="C34" s="2">
        <v>154.5</v>
      </c>
      <c r="D34" s="2">
        <v>155.52000000000001</v>
      </c>
      <c r="E34" s="2">
        <v>150.88</v>
      </c>
      <c r="F34" s="2">
        <v>151.74</v>
      </c>
      <c r="G34" s="1">
        <v>1401052</v>
      </c>
      <c r="H34" s="2">
        <f t="shared" si="2"/>
        <v>148.75</v>
      </c>
      <c r="I34" s="2">
        <f t="shared" si="3"/>
        <v>159.59</v>
      </c>
      <c r="J34" s="22">
        <f>100*(testdata4[[#This Row],[close]]-testdata4[[#This Row],[LL]])/(testdata4[[#This Row],[HH]]-testdata4[[#This Row],[LL]])</f>
        <v>27.583025830258379</v>
      </c>
      <c r="K34" s="22">
        <f>testdata4[[#This Row],[K(14)'']]</f>
        <v>27.583025830258379</v>
      </c>
      <c r="L34" s="22">
        <f>testdata4[[#This Row],[%K]]-100</f>
        <v>-72.416974169741621</v>
      </c>
      <c r="N34" s="12">
        <v>32</v>
      </c>
      <c r="O34" s="3">
        <v>44956</v>
      </c>
      <c r="P34" s="23" t="s">
        <v>35</v>
      </c>
      <c r="Q34" s="22">
        <f>IF(testdata4[[#This Row],[%R]]&lt;&gt;Table25[[#This Row],[%R]],testdata4[[#This Row],[%R]]-Table25[[#This Row],[%R]],"")</f>
        <v>-2.8421709430404007E-14</v>
      </c>
      <c r="R34" s="11" t="str">
        <f>IF(OR(Table25[[#This Row],[%R]]&lt;-100,Table25[[#This Row],[%R]]&gt;0),"RANGE_ERR","")</f>
        <v>RANGE_ERR</v>
      </c>
    </row>
    <row r="35" spans="1:18" x14ac:dyDescent="0.35">
      <c r="A35" s="6">
        <v>33</v>
      </c>
      <c r="B35" s="3">
        <v>44957</v>
      </c>
      <c r="C35" s="2">
        <v>151.61000000000001</v>
      </c>
      <c r="D35" s="2">
        <v>153.46</v>
      </c>
      <c r="E35" s="2">
        <v>150.21</v>
      </c>
      <c r="F35" s="2">
        <v>152.08000000000001</v>
      </c>
      <c r="G35" s="1">
        <v>1995389</v>
      </c>
      <c r="H35" s="2">
        <f t="shared" si="2"/>
        <v>150.21</v>
      </c>
      <c r="I35" s="2">
        <f t="shared" si="3"/>
        <v>159.59</v>
      </c>
      <c r="J35" s="22">
        <f>100*(testdata4[[#This Row],[close]]-testdata4[[#This Row],[LL]])/(testdata4[[#This Row],[HH]]-testdata4[[#This Row],[LL]])</f>
        <v>19.93603411513865</v>
      </c>
      <c r="K35" s="22">
        <f>testdata4[[#This Row],[K(14)'']]</f>
        <v>19.93603411513865</v>
      </c>
      <c r="L35" s="22">
        <f>testdata4[[#This Row],[%K]]-100</f>
        <v>-80.063965884861346</v>
      </c>
      <c r="N35" s="12">
        <v>33</v>
      </c>
      <c r="O35" s="3">
        <v>44957</v>
      </c>
      <c r="P35" s="23" t="s">
        <v>36</v>
      </c>
      <c r="Q35" s="22">
        <f>IF(testdata4[[#This Row],[%R]]&lt;&gt;Table25[[#This Row],[%R]],testdata4[[#This Row],[%R]]-Table25[[#This Row],[%R]],"")</f>
        <v>-4.2632564145606011E-14</v>
      </c>
      <c r="R35" s="11" t="str">
        <f>IF(OR(Table25[[#This Row],[%R]]&lt;-100,Table25[[#This Row],[%R]]&gt;0),"RANGE_ERR","")</f>
        <v>RANGE_ERR</v>
      </c>
    </row>
    <row r="36" spans="1:18" x14ac:dyDescent="0.35">
      <c r="A36" s="6">
        <v>34</v>
      </c>
      <c r="B36" s="3">
        <v>44958</v>
      </c>
      <c r="C36" s="2">
        <v>153.31</v>
      </c>
      <c r="D36" s="2">
        <v>156.29</v>
      </c>
      <c r="E36" s="2">
        <v>151.72</v>
      </c>
      <c r="F36" s="2">
        <v>155.44999999999999</v>
      </c>
      <c r="G36" s="1">
        <v>1499912</v>
      </c>
      <c r="H36" s="2">
        <f t="shared" si="2"/>
        <v>150.21</v>
      </c>
      <c r="I36" s="2">
        <f t="shared" si="3"/>
        <v>159.59</v>
      </c>
      <c r="J36" s="22">
        <f>100*(testdata4[[#This Row],[close]]-testdata4[[#This Row],[LL]])/(testdata4[[#This Row],[HH]]-testdata4[[#This Row],[LL]])</f>
        <v>55.863539445628817</v>
      </c>
      <c r="K36" s="22">
        <f>testdata4[[#This Row],[K(14)'']]</f>
        <v>55.863539445628817</v>
      </c>
      <c r="L36" s="22">
        <f>testdata4[[#This Row],[%K]]-100</f>
        <v>-44.136460554371183</v>
      </c>
      <c r="N36" s="12">
        <v>34</v>
      </c>
      <c r="O36" s="3">
        <v>44958</v>
      </c>
      <c r="P36" s="23" t="s">
        <v>37</v>
      </c>
      <c r="Q36" s="22">
        <f>IF(testdata4[[#This Row],[%R]]&lt;&gt;Table25[[#This Row],[%R]],testdata4[[#This Row],[%R]]-Table25[[#This Row],[%R]],"")</f>
        <v>-8.5265128291212022E-14</v>
      </c>
      <c r="R36" s="11" t="str">
        <f>IF(OR(Table25[[#This Row],[%R]]&lt;-100,Table25[[#This Row],[%R]]&gt;0),"RANGE_ERR","")</f>
        <v>RANGE_ERR</v>
      </c>
    </row>
    <row r="37" spans="1:18" x14ac:dyDescent="0.35">
      <c r="A37" s="6">
        <v>35</v>
      </c>
      <c r="B37" s="3">
        <v>44959</v>
      </c>
      <c r="C37" s="2">
        <v>156.66</v>
      </c>
      <c r="D37" s="2">
        <v>157.31</v>
      </c>
      <c r="E37" s="2">
        <v>154.77000000000001</v>
      </c>
      <c r="F37" s="2">
        <v>155.5</v>
      </c>
      <c r="G37" s="1">
        <v>1725558</v>
      </c>
      <c r="H37" s="2">
        <f t="shared" si="2"/>
        <v>150.21</v>
      </c>
      <c r="I37" s="2">
        <f t="shared" si="3"/>
        <v>159.59</v>
      </c>
      <c r="J37" s="22">
        <f>100*(testdata4[[#This Row],[close]]-testdata4[[#This Row],[LL]])/(testdata4[[#This Row],[HH]]-testdata4[[#This Row],[LL]])</f>
        <v>56.396588486140665</v>
      </c>
      <c r="K37" s="22">
        <f>testdata4[[#This Row],[K(14)'']]</f>
        <v>56.396588486140665</v>
      </c>
      <c r="L37" s="22">
        <f>testdata4[[#This Row],[%K]]-100</f>
        <v>-43.603411513859335</v>
      </c>
      <c r="N37" s="12">
        <v>35</v>
      </c>
      <c r="O37" s="3">
        <v>44959</v>
      </c>
      <c r="P37" s="23" t="s">
        <v>38</v>
      </c>
      <c r="Q37" s="22">
        <f>IF(testdata4[[#This Row],[%R]]&lt;&gt;Table25[[#This Row],[%R]],testdata4[[#This Row],[%R]]-Table25[[#This Row],[%R]],"")</f>
        <v>-3.5527136788005009E-14</v>
      </c>
      <c r="R37" s="11" t="str">
        <f>IF(OR(Table25[[#This Row],[%R]]&lt;-100,Table25[[#This Row],[%R]]&gt;0),"RANGE_ERR","")</f>
        <v>RANGE_ERR</v>
      </c>
    </row>
    <row r="38" spans="1:18" x14ac:dyDescent="0.35">
      <c r="A38" s="6">
        <v>36</v>
      </c>
      <c r="B38" s="3">
        <v>44960</v>
      </c>
      <c r="C38" s="2">
        <v>153.16999999999999</v>
      </c>
      <c r="D38" s="2">
        <v>155.41999999999999</v>
      </c>
      <c r="E38" s="2">
        <v>152.73500000000001</v>
      </c>
      <c r="F38" s="2">
        <v>154.55000000000001</v>
      </c>
      <c r="G38" s="1">
        <v>992819</v>
      </c>
      <c r="H38" s="2">
        <f t="shared" si="2"/>
        <v>150.21</v>
      </c>
      <c r="I38" s="2">
        <f t="shared" si="3"/>
        <v>159.59</v>
      </c>
      <c r="J38" s="22">
        <f>100*(testdata4[[#This Row],[close]]-testdata4[[#This Row],[LL]])/(testdata4[[#This Row],[HH]]-testdata4[[#This Row],[LL]])</f>
        <v>46.268656716417972</v>
      </c>
      <c r="K38" s="22">
        <f>testdata4[[#This Row],[K(14)'']]</f>
        <v>46.268656716417972</v>
      </c>
      <c r="L38" s="22">
        <f>testdata4[[#This Row],[%K]]-100</f>
        <v>-53.731343283582028</v>
      </c>
      <c r="N38" s="12">
        <v>36</v>
      </c>
      <c r="O38" s="3">
        <v>44960</v>
      </c>
      <c r="P38" s="23" t="s">
        <v>39</v>
      </c>
      <c r="Q38" s="22">
        <f>IF(testdata4[[#This Row],[%R]]&lt;&gt;Table25[[#This Row],[%R]],testdata4[[#This Row],[%R]]-Table25[[#This Row],[%R]],"")</f>
        <v>-2.8421709430404007E-14</v>
      </c>
      <c r="R38" s="11" t="str">
        <f>IF(OR(Table25[[#This Row],[%R]]&lt;-100,Table25[[#This Row],[%R]]&gt;0),"RANGE_ERR","")</f>
        <v>RANGE_ERR</v>
      </c>
    </row>
    <row r="39" spans="1:18" x14ac:dyDescent="0.35">
      <c r="A39" s="6">
        <v>37</v>
      </c>
      <c r="B39" s="3">
        <v>44963</v>
      </c>
      <c r="C39" s="2">
        <v>152.72999999999999</v>
      </c>
      <c r="D39" s="2">
        <v>154.4</v>
      </c>
      <c r="E39" s="2">
        <v>151.36000000000001</v>
      </c>
      <c r="F39" s="2">
        <v>152.24</v>
      </c>
      <c r="G39" s="1">
        <v>771456</v>
      </c>
      <c r="H39" s="2">
        <f t="shared" si="2"/>
        <v>150.21</v>
      </c>
      <c r="I39" s="2">
        <f t="shared" si="3"/>
        <v>159.59</v>
      </c>
      <c r="J39" s="22">
        <f>100*(testdata4[[#This Row],[close]]-testdata4[[#This Row],[LL]])/(testdata4[[#This Row],[HH]]-testdata4[[#This Row],[LL]])</f>
        <v>21.641791044776141</v>
      </c>
      <c r="K39" s="22">
        <f>testdata4[[#This Row],[K(14)'']]</f>
        <v>21.641791044776141</v>
      </c>
      <c r="L39" s="22">
        <f>testdata4[[#This Row],[%K]]-100</f>
        <v>-78.358208955223859</v>
      </c>
      <c r="N39" s="12">
        <v>37</v>
      </c>
      <c r="O39" s="3">
        <v>44963</v>
      </c>
      <c r="P39" s="23" t="s">
        <v>40</v>
      </c>
      <c r="Q39" s="22">
        <f>IF(testdata4[[#This Row],[%R]]&lt;&gt;Table25[[#This Row],[%R]],testdata4[[#This Row],[%R]]-Table25[[#This Row],[%R]],"")</f>
        <v>-5.6843418860808015E-14</v>
      </c>
      <c r="R39" s="11" t="str">
        <f>IF(OR(Table25[[#This Row],[%R]]&lt;-100,Table25[[#This Row],[%R]]&gt;0),"RANGE_ERR","")</f>
        <v>RANGE_ERR</v>
      </c>
    </row>
    <row r="40" spans="1:18" x14ac:dyDescent="0.35">
      <c r="A40" s="6">
        <v>38</v>
      </c>
      <c r="B40" s="3">
        <v>44964</v>
      </c>
      <c r="C40" s="2">
        <v>151.49</v>
      </c>
      <c r="D40" s="2">
        <v>154.96</v>
      </c>
      <c r="E40" s="2">
        <v>151.13</v>
      </c>
      <c r="F40" s="2">
        <v>154.51</v>
      </c>
      <c r="G40" s="1">
        <v>1126669</v>
      </c>
      <c r="H40" s="2">
        <f t="shared" si="2"/>
        <v>150.21</v>
      </c>
      <c r="I40" s="2">
        <f t="shared" si="3"/>
        <v>159.59</v>
      </c>
      <c r="J40" s="22">
        <f>100*(testdata4[[#This Row],[close]]-testdata4[[#This Row],[LL]])/(testdata4[[#This Row],[HH]]-testdata4[[#This Row],[LL]])</f>
        <v>45.842217484008373</v>
      </c>
      <c r="K40" s="22">
        <f>testdata4[[#This Row],[K(14)'']]</f>
        <v>45.842217484008373</v>
      </c>
      <c r="L40" s="22">
        <f>testdata4[[#This Row],[%K]]-100</f>
        <v>-54.157782515991627</v>
      </c>
      <c r="N40" s="12">
        <v>38</v>
      </c>
      <c r="O40" s="3">
        <v>44964</v>
      </c>
      <c r="P40" s="23" t="s">
        <v>41</v>
      </c>
      <c r="Q40" s="22">
        <f>IF(testdata4[[#This Row],[%R]]&lt;&gt;Table25[[#This Row],[%R]],testdata4[[#This Row],[%R]]-Table25[[#This Row],[%R]],"")</f>
        <v>-2.8421709430404007E-14</v>
      </c>
      <c r="R40" s="11" t="str">
        <f>IF(OR(Table25[[#This Row],[%R]]&lt;-100,Table25[[#This Row],[%R]]&gt;0),"RANGE_ERR","")</f>
        <v>RANGE_ERR</v>
      </c>
    </row>
    <row r="41" spans="1:18" x14ac:dyDescent="0.35">
      <c r="A41" s="6">
        <v>39</v>
      </c>
      <c r="B41" s="3">
        <v>44965</v>
      </c>
      <c r="C41" s="2">
        <v>153.63999999999999</v>
      </c>
      <c r="D41" s="2">
        <v>155.16999999999999</v>
      </c>
      <c r="E41" s="2">
        <v>153.22499999999999</v>
      </c>
      <c r="F41" s="2">
        <v>154.41999999999999</v>
      </c>
      <c r="G41" s="1">
        <v>1073479</v>
      </c>
      <c r="H41" s="2">
        <f t="shared" si="2"/>
        <v>150.21</v>
      </c>
      <c r="I41" s="2">
        <f t="shared" si="3"/>
        <v>159.59</v>
      </c>
      <c r="J41" s="22">
        <f>100*(testdata4[[#This Row],[close]]-testdata4[[#This Row],[LL]])/(testdata4[[#This Row],[HH]]-testdata4[[#This Row],[LL]])</f>
        <v>44.882729211087224</v>
      </c>
      <c r="K41" s="22">
        <f>testdata4[[#This Row],[K(14)'']]</f>
        <v>44.882729211087224</v>
      </c>
      <c r="L41" s="22">
        <f>testdata4[[#This Row],[%K]]-100</f>
        <v>-55.117270788912776</v>
      </c>
      <c r="N41" s="12">
        <v>39</v>
      </c>
      <c r="O41" s="3">
        <v>44965</v>
      </c>
      <c r="P41" s="23" t="s">
        <v>42</v>
      </c>
      <c r="Q41" s="22">
        <f>IF(testdata4[[#This Row],[%R]]&lt;&gt;Table25[[#This Row],[%R]],testdata4[[#This Row],[%R]]-Table25[[#This Row],[%R]],"")</f>
        <v>-7.815970093361102E-14</v>
      </c>
      <c r="R41" s="11" t="str">
        <f>IF(OR(Table25[[#This Row],[%R]]&lt;-100,Table25[[#This Row],[%R]]&gt;0),"RANGE_ERR","")</f>
        <v>RANGE_ERR</v>
      </c>
    </row>
    <row r="42" spans="1:18" x14ac:dyDescent="0.35">
      <c r="A42" s="6">
        <v>40</v>
      </c>
      <c r="B42" s="3">
        <v>44966</v>
      </c>
      <c r="C42" s="2">
        <v>155.66999999999999</v>
      </c>
      <c r="D42" s="2">
        <v>156.32040000000001</v>
      </c>
      <c r="E42" s="2">
        <v>151.54</v>
      </c>
      <c r="F42" s="2">
        <v>152.38</v>
      </c>
      <c r="G42" s="1">
        <v>852195</v>
      </c>
      <c r="H42" s="2">
        <f t="shared" si="2"/>
        <v>150.21</v>
      </c>
      <c r="I42" s="2">
        <f t="shared" si="3"/>
        <v>159.59</v>
      </c>
      <c r="J42" s="22">
        <f>100*(testdata4[[#This Row],[close]]-testdata4[[#This Row],[LL]])/(testdata4[[#This Row],[HH]]-testdata4[[#This Row],[LL]])</f>
        <v>23.134328358208833</v>
      </c>
      <c r="K42" s="22">
        <f>testdata4[[#This Row],[K(14)'']]</f>
        <v>23.134328358208833</v>
      </c>
      <c r="L42" s="22">
        <f>testdata4[[#This Row],[%K]]-100</f>
        <v>-76.865671641791167</v>
      </c>
      <c r="N42" s="12">
        <v>40</v>
      </c>
      <c r="O42" s="3">
        <v>44966</v>
      </c>
      <c r="P42" s="23" t="s">
        <v>43</v>
      </c>
      <c r="Q42" s="22">
        <f>IF(testdata4[[#This Row],[%R]]&lt;&gt;Table25[[#This Row],[%R]],testdata4[[#This Row],[%R]]-Table25[[#This Row],[%R]],"")</f>
        <v>-7.1054273576010019E-14</v>
      </c>
      <c r="R42" s="11" t="str">
        <f>IF(OR(Table25[[#This Row],[%R]]&lt;-100,Table25[[#This Row],[%R]]&gt;0),"RANGE_ERR","")</f>
        <v>RANGE_ERR</v>
      </c>
    </row>
    <row r="43" spans="1:18" x14ac:dyDescent="0.35">
      <c r="A43" s="6">
        <v>41</v>
      </c>
      <c r="B43" s="3">
        <v>44967</v>
      </c>
      <c r="C43" s="2">
        <v>151.80000000000001</v>
      </c>
      <c r="D43" s="2">
        <v>152.99</v>
      </c>
      <c r="E43" s="2">
        <v>151.07</v>
      </c>
      <c r="F43" s="2">
        <v>152.55000000000001</v>
      </c>
      <c r="G43" s="1">
        <v>934821</v>
      </c>
      <c r="H43" s="2">
        <f t="shared" si="2"/>
        <v>150.21</v>
      </c>
      <c r="I43" s="2">
        <f t="shared" si="3"/>
        <v>158.51</v>
      </c>
      <c r="J43" s="22">
        <f>100*(testdata4[[#This Row],[close]]-testdata4[[#This Row],[LL]])/(testdata4[[#This Row],[HH]]-testdata4[[#This Row],[LL]])</f>
        <v>28.192771084337448</v>
      </c>
      <c r="K43" s="22">
        <f>testdata4[[#This Row],[K(14)'']]</f>
        <v>28.192771084337448</v>
      </c>
      <c r="L43" s="22">
        <f>testdata4[[#This Row],[%K]]-100</f>
        <v>-71.807228915662549</v>
      </c>
      <c r="N43" s="12">
        <v>41</v>
      </c>
      <c r="O43" s="3">
        <v>44967</v>
      </c>
      <c r="P43" s="23" t="s">
        <v>44</v>
      </c>
      <c r="Q43" s="22">
        <f>IF(testdata4[[#This Row],[%R]]&lt;&gt;Table25[[#This Row],[%R]],testdata4[[#This Row],[%R]]-Table25[[#This Row],[%R]],"")</f>
        <v>-4.2632564145606011E-14</v>
      </c>
      <c r="R43" s="11" t="str">
        <f>IF(OR(Table25[[#This Row],[%R]]&lt;-100,Table25[[#This Row],[%R]]&gt;0),"RANGE_ERR","")</f>
        <v>RANGE_ERR</v>
      </c>
    </row>
    <row r="44" spans="1:18" x14ac:dyDescent="0.35">
      <c r="A44" s="6">
        <v>42</v>
      </c>
      <c r="B44" s="3">
        <v>44970</v>
      </c>
      <c r="C44" s="2">
        <v>153.27000000000001</v>
      </c>
      <c r="D44" s="2">
        <v>154.66</v>
      </c>
      <c r="E44" s="2">
        <v>152.01</v>
      </c>
      <c r="F44" s="2">
        <v>154.6</v>
      </c>
      <c r="G44" s="1">
        <v>925379</v>
      </c>
      <c r="H44" s="2">
        <f t="shared" si="2"/>
        <v>150.21</v>
      </c>
      <c r="I44" s="2">
        <f t="shared" si="3"/>
        <v>157.66</v>
      </c>
      <c r="J44" s="22">
        <f>100*(testdata4[[#This Row],[close]]-testdata4[[#This Row],[LL]])/(testdata4[[#This Row],[HH]]-testdata4[[#This Row],[LL]])</f>
        <v>58.926174496644201</v>
      </c>
      <c r="K44" s="22">
        <f>testdata4[[#This Row],[K(14)'']]</f>
        <v>58.926174496644201</v>
      </c>
      <c r="L44" s="22">
        <f>testdata4[[#This Row],[%K]]-100</f>
        <v>-41.073825503355799</v>
      </c>
      <c r="N44" s="12">
        <v>42</v>
      </c>
      <c r="O44" s="3">
        <v>44970</v>
      </c>
      <c r="P44" s="23" t="s">
        <v>45</v>
      </c>
      <c r="Q44" s="22">
        <f>IF(testdata4[[#This Row],[%R]]&lt;&gt;Table25[[#This Row],[%R]],testdata4[[#This Row],[%R]]-Table25[[#This Row],[%R]],"")</f>
        <v>-9.9475983006414026E-14</v>
      </c>
      <c r="R44" s="11" t="str">
        <f>IF(OR(Table25[[#This Row],[%R]]&lt;-100,Table25[[#This Row],[%R]]&gt;0),"RANGE_ERR","")</f>
        <v>RANGE_ERR</v>
      </c>
    </row>
    <row r="45" spans="1:18" x14ac:dyDescent="0.35">
      <c r="A45" s="6">
        <v>43</v>
      </c>
      <c r="B45" s="3">
        <v>44971</v>
      </c>
      <c r="C45" s="2">
        <v>154.34</v>
      </c>
      <c r="D45" s="2">
        <v>155.7499</v>
      </c>
      <c r="E45" s="2">
        <v>151.44999999999999</v>
      </c>
      <c r="F45" s="2">
        <v>153.04</v>
      </c>
      <c r="G45" s="1">
        <v>895375</v>
      </c>
      <c r="H45" s="2">
        <f t="shared" si="2"/>
        <v>150.21</v>
      </c>
      <c r="I45" s="2">
        <f t="shared" si="3"/>
        <v>157.66</v>
      </c>
      <c r="J45" s="22">
        <f>100*(testdata4[[#This Row],[close]]-testdata4[[#This Row],[LL]])/(testdata4[[#This Row],[HH]]-testdata4[[#This Row],[LL]])</f>
        <v>37.986577181207899</v>
      </c>
      <c r="K45" s="22">
        <f>testdata4[[#This Row],[K(14)'']]</f>
        <v>37.986577181207899</v>
      </c>
      <c r="L45" s="22">
        <f>testdata4[[#This Row],[%K]]-100</f>
        <v>-62.013422818792101</v>
      </c>
      <c r="N45" s="12">
        <v>43</v>
      </c>
      <c r="O45" s="3">
        <v>44971</v>
      </c>
      <c r="P45" s="23" t="s">
        <v>46</v>
      </c>
      <c r="Q45" s="22">
        <f>IF(testdata4[[#This Row],[%R]]&lt;&gt;Table25[[#This Row],[%R]],testdata4[[#This Row],[%R]]-Table25[[#This Row],[%R]],"")</f>
        <v>0</v>
      </c>
      <c r="R45" s="11" t="str">
        <f>IF(OR(Table25[[#This Row],[%R]]&lt;-100,Table25[[#This Row],[%R]]&gt;0),"RANGE_ERR","")</f>
        <v>RANGE_ERR</v>
      </c>
    </row>
    <row r="46" spans="1:18" x14ac:dyDescent="0.35">
      <c r="A46" s="6">
        <v>44</v>
      </c>
      <c r="B46" s="3">
        <v>44972</v>
      </c>
      <c r="C46" s="2">
        <v>152.22</v>
      </c>
      <c r="D46" s="2">
        <v>152.32499999999999</v>
      </c>
      <c r="E46" s="2">
        <v>150.30000000000001</v>
      </c>
      <c r="F46" s="2">
        <v>151.75</v>
      </c>
      <c r="G46" s="1">
        <v>982411</v>
      </c>
      <c r="H46" s="2">
        <f t="shared" si="2"/>
        <v>150.21</v>
      </c>
      <c r="I46" s="2">
        <f t="shared" si="3"/>
        <v>157.31</v>
      </c>
      <c r="J46" s="22">
        <f>100*(testdata4[[#This Row],[close]]-testdata4[[#This Row],[LL]])/(testdata4[[#This Row],[HH]]-testdata4[[#This Row],[LL]])</f>
        <v>21.690140845070328</v>
      </c>
      <c r="K46" s="22">
        <f>testdata4[[#This Row],[K(14)'']]</f>
        <v>21.690140845070328</v>
      </c>
      <c r="L46" s="22">
        <f>testdata4[[#This Row],[%K]]-100</f>
        <v>-78.309859154929669</v>
      </c>
      <c r="N46" s="12">
        <v>44</v>
      </c>
      <c r="O46" s="3">
        <v>44972</v>
      </c>
      <c r="P46" s="23" t="s">
        <v>47</v>
      </c>
      <c r="Q46" s="22">
        <f>IF(testdata4[[#This Row],[%R]]&lt;&gt;Table25[[#This Row],[%R]],testdata4[[#This Row],[%R]]-Table25[[#This Row],[%R]],"")</f>
        <v>-7.1054273576010019E-14</v>
      </c>
      <c r="R46" s="11" t="str">
        <f>IF(OR(Table25[[#This Row],[%R]]&lt;-100,Table25[[#This Row],[%R]]&gt;0),"RANGE_ERR","")</f>
        <v>RANGE_ERR</v>
      </c>
    </row>
    <row r="47" spans="1:18" x14ac:dyDescent="0.35">
      <c r="A47" s="6">
        <v>45</v>
      </c>
      <c r="B47" s="3">
        <v>44973</v>
      </c>
      <c r="C47" s="2">
        <v>148.81</v>
      </c>
      <c r="D47" s="2">
        <v>150.16</v>
      </c>
      <c r="E47" s="2">
        <v>147.22999999999999</v>
      </c>
      <c r="F47" s="2">
        <v>148.28</v>
      </c>
      <c r="G47" s="1">
        <v>1101687</v>
      </c>
      <c r="H47" s="2">
        <f t="shared" si="2"/>
        <v>147.22999999999999</v>
      </c>
      <c r="I47" s="2">
        <f t="shared" si="3"/>
        <v>157.31</v>
      </c>
      <c r="J47" s="22">
        <f>100*(testdata4[[#This Row],[close]]-testdata4[[#This Row],[LL]])/(testdata4[[#This Row],[HH]]-testdata4[[#This Row],[LL]])</f>
        <v>10.416666666666767</v>
      </c>
      <c r="K47" s="22">
        <f>testdata4[[#This Row],[K(14)'']]</f>
        <v>10.416666666666767</v>
      </c>
      <c r="L47" s="22">
        <f>testdata4[[#This Row],[%K]]-100</f>
        <v>-89.583333333333229</v>
      </c>
      <c r="N47" s="12">
        <v>45</v>
      </c>
      <c r="O47" s="3">
        <v>44973</v>
      </c>
      <c r="P47" s="23" t="s">
        <v>48</v>
      </c>
      <c r="Q47" s="22">
        <f>IF(testdata4[[#This Row],[%R]]&lt;&gt;Table25[[#This Row],[%R]],testdata4[[#This Row],[%R]]-Table25[[#This Row],[%R]],"")</f>
        <v>-2.8421709430404007E-14</v>
      </c>
      <c r="R47" s="11" t="str">
        <f>IF(OR(Table25[[#This Row],[%R]]&lt;-100,Table25[[#This Row],[%R]]&gt;0),"RANGE_ERR","")</f>
        <v>RANGE_ERR</v>
      </c>
    </row>
    <row r="48" spans="1:18" x14ac:dyDescent="0.35">
      <c r="A48" s="6">
        <v>46</v>
      </c>
      <c r="B48" s="3">
        <v>44974</v>
      </c>
      <c r="C48" s="2">
        <v>147.26</v>
      </c>
      <c r="D48" s="2">
        <v>148.9418</v>
      </c>
      <c r="E48" s="2">
        <v>146.49</v>
      </c>
      <c r="F48" s="2">
        <v>148.26</v>
      </c>
      <c r="G48" s="1">
        <v>1194761</v>
      </c>
      <c r="H48" s="2">
        <f t="shared" si="2"/>
        <v>146.49</v>
      </c>
      <c r="I48" s="2">
        <f t="shared" si="3"/>
        <v>157.31</v>
      </c>
      <c r="J48" s="22">
        <f>100*(testdata4[[#This Row],[close]]-testdata4[[#This Row],[LL]])/(testdata4[[#This Row],[HH]]-testdata4[[#This Row],[LL]])</f>
        <v>16.35859519408487</v>
      </c>
      <c r="K48" s="22">
        <f>testdata4[[#This Row],[K(14)'']]</f>
        <v>16.35859519408487</v>
      </c>
      <c r="L48" s="22">
        <f>testdata4[[#This Row],[%K]]-100</f>
        <v>-83.64140480591513</v>
      </c>
      <c r="N48" s="12">
        <v>46</v>
      </c>
      <c r="O48" s="3">
        <v>44974</v>
      </c>
      <c r="P48" s="23" t="s">
        <v>49</v>
      </c>
      <c r="Q48" s="22">
        <f>IF(testdata4[[#This Row],[%R]]&lt;&gt;Table25[[#This Row],[%R]],testdata4[[#This Row],[%R]]-Table25[[#This Row],[%R]],"")</f>
        <v>-2.8421709430404007E-14</v>
      </c>
      <c r="R48" s="11" t="str">
        <f>IF(OR(Table25[[#This Row],[%R]]&lt;-100,Table25[[#This Row],[%R]]&gt;0),"RANGE_ERR","")</f>
        <v>RANGE_ERR</v>
      </c>
    </row>
    <row r="49" spans="1:18" x14ac:dyDescent="0.35">
      <c r="A49" s="6">
        <v>47</v>
      </c>
      <c r="B49" s="3">
        <v>44978</v>
      </c>
      <c r="C49" s="2">
        <v>146.6</v>
      </c>
      <c r="D49" s="2">
        <v>146.65</v>
      </c>
      <c r="E49" s="2">
        <v>142.63</v>
      </c>
      <c r="F49" s="2">
        <v>143.41999999999999</v>
      </c>
      <c r="G49" s="1">
        <v>1693824</v>
      </c>
      <c r="H49" s="2">
        <f t="shared" si="2"/>
        <v>142.63</v>
      </c>
      <c r="I49" s="2">
        <f t="shared" si="3"/>
        <v>157.31</v>
      </c>
      <c r="J49" s="22">
        <f>100*(testdata4[[#This Row],[close]]-testdata4[[#This Row],[LL]])/(testdata4[[#This Row],[HH]]-testdata4[[#This Row],[LL]])</f>
        <v>5.3814713896457196</v>
      </c>
      <c r="K49" s="22">
        <f>testdata4[[#This Row],[K(14)'']]</f>
        <v>5.3814713896457196</v>
      </c>
      <c r="L49" s="22">
        <f>testdata4[[#This Row],[%K]]-100</f>
        <v>-94.618528610354275</v>
      </c>
      <c r="N49" s="12">
        <v>47</v>
      </c>
      <c r="O49" s="3">
        <v>44978</v>
      </c>
      <c r="P49" s="23" t="s">
        <v>50</v>
      </c>
      <c r="Q49" s="22">
        <f>IF(testdata4[[#This Row],[%R]]&lt;&gt;Table25[[#This Row],[%R]],testdata4[[#This Row],[%R]]-Table25[[#This Row],[%R]],"")</f>
        <v>-7.1054273576010019E-14</v>
      </c>
      <c r="R49" s="11" t="str">
        <f>IF(OR(Table25[[#This Row],[%R]]&lt;-100,Table25[[#This Row],[%R]]&gt;0),"RANGE_ERR","")</f>
        <v>RANGE_ERR</v>
      </c>
    </row>
    <row r="50" spans="1:18" x14ac:dyDescent="0.35">
      <c r="A50" s="6">
        <v>48</v>
      </c>
      <c r="B50" s="3">
        <v>44979</v>
      </c>
      <c r="C50" s="2">
        <v>143.37</v>
      </c>
      <c r="D50" s="2">
        <v>143.44</v>
      </c>
      <c r="E50" s="2">
        <v>140.94999999999999</v>
      </c>
      <c r="F50" s="2">
        <v>142.08000000000001</v>
      </c>
      <c r="G50" s="1">
        <v>1691273</v>
      </c>
      <c r="H50" s="2">
        <f t="shared" si="2"/>
        <v>140.94999999999999</v>
      </c>
      <c r="I50" s="2">
        <f t="shared" si="3"/>
        <v>157.31</v>
      </c>
      <c r="J50" s="22">
        <f>100*(testdata4[[#This Row],[close]]-testdata4[[#This Row],[LL]])/(testdata4[[#This Row],[HH]]-testdata4[[#This Row],[LL]])</f>
        <v>6.9070904645478173</v>
      </c>
      <c r="K50" s="22">
        <f>testdata4[[#This Row],[K(14)'']]</f>
        <v>6.9070904645478173</v>
      </c>
      <c r="L50" s="22">
        <f>testdata4[[#This Row],[%K]]-100</f>
        <v>-93.092909535452179</v>
      </c>
      <c r="N50" s="12">
        <v>48</v>
      </c>
      <c r="O50" s="3">
        <v>44979</v>
      </c>
      <c r="P50" s="23" t="s">
        <v>51</v>
      </c>
      <c r="Q50" s="22">
        <f>IF(testdata4[[#This Row],[%R]]&lt;&gt;Table25[[#This Row],[%R]],testdata4[[#This Row],[%R]]-Table25[[#This Row],[%R]],"")</f>
        <v>-8.5265128291212022E-14</v>
      </c>
      <c r="R50" s="11" t="str">
        <f>IF(OR(Table25[[#This Row],[%R]]&lt;-100,Table25[[#This Row],[%R]]&gt;0),"RANGE_ERR","")</f>
        <v>RANGE_ERR</v>
      </c>
    </row>
    <row r="51" spans="1:18" x14ac:dyDescent="0.35">
      <c r="A51" s="6">
        <v>49</v>
      </c>
      <c r="B51" s="3">
        <v>44980</v>
      </c>
      <c r="C51" s="2">
        <v>142.09</v>
      </c>
      <c r="D51" s="2">
        <v>143.58000000000001</v>
      </c>
      <c r="E51" s="2">
        <v>141.31</v>
      </c>
      <c r="F51" s="2">
        <v>143.19999999999999</v>
      </c>
      <c r="G51" s="1">
        <v>1511552</v>
      </c>
      <c r="H51" s="2">
        <f t="shared" si="2"/>
        <v>140.94999999999999</v>
      </c>
      <c r="I51" s="2">
        <f t="shared" si="3"/>
        <v>156.32040000000001</v>
      </c>
      <c r="J51" s="22">
        <f>100*(testdata4[[#This Row],[close]]-testdata4[[#This Row],[LL]])/(testdata4[[#This Row],[HH]]-testdata4[[#This Row],[LL]])</f>
        <v>14.638525998022155</v>
      </c>
      <c r="K51" s="22">
        <f>testdata4[[#This Row],[K(14)'']]</f>
        <v>14.638525998022155</v>
      </c>
      <c r="L51" s="22">
        <f>testdata4[[#This Row],[%K]]-100</f>
        <v>-85.36147400197784</v>
      </c>
      <c r="N51" s="12">
        <v>49</v>
      </c>
      <c r="O51" s="3">
        <v>44980</v>
      </c>
      <c r="P51" s="23" t="s">
        <v>52</v>
      </c>
      <c r="Q51" s="22">
        <f>IF(testdata4[[#This Row],[%R]]&lt;&gt;Table25[[#This Row],[%R]],testdata4[[#This Row],[%R]]-Table25[[#This Row],[%R]],"")</f>
        <v>-4.2632564145606011E-14</v>
      </c>
      <c r="R51" s="11" t="str">
        <f>IF(OR(Table25[[#This Row],[%R]]&lt;-100,Table25[[#This Row],[%R]]&gt;0),"RANGE_ERR","")</f>
        <v>RANGE_ERR</v>
      </c>
    </row>
    <row r="52" spans="1:18" x14ac:dyDescent="0.35">
      <c r="A52" s="6">
        <v>50</v>
      </c>
      <c r="B52" s="3">
        <v>44981</v>
      </c>
      <c r="C52" s="2">
        <v>141.46</v>
      </c>
      <c r="D52" s="2">
        <v>142.24039999999999</v>
      </c>
      <c r="E52" s="2">
        <v>138.72</v>
      </c>
      <c r="F52" s="2">
        <v>141.19999999999999</v>
      </c>
      <c r="G52" s="1">
        <v>1522068</v>
      </c>
      <c r="H52" s="2">
        <f t="shared" si="2"/>
        <v>138.72</v>
      </c>
      <c r="I52" s="2">
        <f t="shared" si="3"/>
        <v>156.32040000000001</v>
      </c>
      <c r="J52" s="22">
        <f>100*(testdata4[[#This Row],[close]]-testdata4[[#This Row],[LL]])/(testdata4[[#This Row],[HH]]-testdata4[[#This Row],[LL]])</f>
        <v>14.090588850253338</v>
      </c>
      <c r="K52" s="22">
        <f>testdata4[[#This Row],[K(14)'']]</f>
        <v>14.090588850253338</v>
      </c>
      <c r="L52" s="22">
        <f>testdata4[[#This Row],[%K]]-100</f>
        <v>-85.90941114974666</v>
      </c>
      <c r="N52" s="12">
        <v>50</v>
      </c>
      <c r="O52" s="3">
        <v>44981</v>
      </c>
      <c r="P52" s="23" t="s">
        <v>53</v>
      </c>
      <c r="Q52" s="22">
        <f>IF(testdata4[[#This Row],[%R]]&lt;&gt;Table25[[#This Row],[%R]],testdata4[[#This Row],[%R]]-Table25[[#This Row],[%R]],"")</f>
        <v>-5.6843418860808015E-14</v>
      </c>
      <c r="R52" s="11" t="str">
        <f>IF(OR(Table25[[#This Row],[%R]]&lt;-100,Table25[[#This Row],[%R]]&gt;0),"RANGE_ERR","")</f>
        <v>RANGE_ERR</v>
      </c>
    </row>
    <row r="53" spans="1:18" x14ac:dyDescent="0.35">
      <c r="A53" s="6">
        <v>51</v>
      </c>
      <c r="B53" s="3">
        <v>44984</v>
      </c>
      <c r="C53" s="2">
        <v>142.88</v>
      </c>
      <c r="D53" s="2">
        <v>143.76499999999999</v>
      </c>
      <c r="E53" s="2">
        <v>141.81</v>
      </c>
      <c r="F53" s="2">
        <v>142.18</v>
      </c>
      <c r="G53" s="1">
        <v>1149572</v>
      </c>
      <c r="H53" s="2">
        <f t="shared" si="2"/>
        <v>138.72</v>
      </c>
      <c r="I53" s="2">
        <f t="shared" si="3"/>
        <v>156.32040000000001</v>
      </c>
      <c r="J53" s="22">
        <f>100*(testdata4[[#This Row],[close]]-testdata4[[#This Row],[LL]])/(testdata4[[#This Row],[HH]]-testdata4[[#This Row],[LL]])</f>
        <v>19.658644121724542</v>
      </c>
      <c r="K53" s="22">
        <f>testdata4[[#This Row],[K(14)'']]</f>
        <v>19.658644121724542</v>
      </c>
      <c r="L53" s="22">
        <f>testdata4[[#This Row],[%K]]-100</f>
        <v>-80.341355878275465</v>
      </c>
      <c r="N53" s="12">
        <v>51</v>
      </c>
      <c r="O53" s="3">
        <v>44984</v>
      </c>
      <c r="P53" s="23" t="s">
        <v>54</v>
      </c>
      <c r="Q53" s="22">
        <f>IF(testdata4[[#This Row],[%R]]&lt;&gt;Table25[[#This Row],[%R]],testdata4[[#This Row],[%R]]-Table25[[#This Row],[%R]],"")</f>
        <v>-7.1054273576010019E-14</v>
      </c>
      <c r="R53" s="11" t="str">
        <f>IF(OR(Table25[[#This Row],[%R]]&lt;-100,Table25[[#This Row],[%R]]&gt;0),"RANGE_ERR","")</f>
        <v>RANGE_ERR</v>
      </c>
    </row>
    <row r="54" spans="1:18" x14ac:dyDescent="0.35">
      <c r="A54" s="6">
        <v>52</v>
      </c>
      <c r="B54" s="3">
        <v>44985</v>
      </c>
      <c r="C54" s="2">
        <v>141.75</v>
      </c>
      <c r="D54" s="2">
        <v>143.38</v>
      </c>
      <c r="E54" s="2">
        <v>141.38999999999999</v>
      </c>
      <c r="F54" s="2">
        <v>141.97</v>
      </c>
      <c r="G54" s="1">
        <v>2342545</v>
      </c>
      <c r="H54" s="2">
        <f t="shared" si="2"/>
        <v>138.72</v>
      </c>
      <c r="I54" s="2">
        <f t="shared" si="3"/>
        <v>156.32040000000001</v>
      </c>
      <c r="J54" s="22">
        <f>100*(testdata4[[#This Row],[close]]-testdata4[[#This Row],[LL]])/(testdata4[[#This Row],[HH]]-testdata4[[#This Row],[LL]])</f>
        <v>18.465489420694976</v>
      </c>
      <c r="K54" s="22">
        <f>testdata4[[#This Row],[K(14)'']]</f>
        <v>18.465489420694976</v>
      </c>
      <c r="L54" s="22">
        <f>testdata4[[#This Row],[%K]]-100</f>
        <v>-81.534510579305021</v>
      </c>
      <c r="N54" s="12">
        <v>52</v>
      </c>
      <c r="O54" s="3">
        <v>44985</v>
      </c>
      <c r="P54" s="23" t="s">
        <v>55</v>
      </c>
      <c r="Q54" s="22">
        <f>IF(testdata4[[#This Row],[%R]]&lt;&gt;Table25[[#This Row],[%R]],testdata4[[#This Row],[%R]]-Table25[[#This Row],[%R]],"")</f>
        <v>-1.4210854715202004E-14</v>
      </c>
      <c r="R54" s="11" t="str">
        <f>IF(OR(Table25[[#This Row],[%R]]&lt;-100,Table25[[#This Row],[%R]]&gt;0),"RANGE_ERR","")</f>
        <v>RANGE_ERR</v>
      </c>
    </row>
    <row r="55" spans="1:18" x14ac:dyDescent="0.35">
      <c r="A55" s="6">
        <v>53</v>
      </c>
      <c r="B55" s="3">
        <v>44986</v>
      </c>
      <c r="C55" s="2">
        <v>138.58000000000001</v>
      </c>
      <c r="D55" s="2">
        <v>139.99</v>
      </c>
      <c r="E55" s="2">
        <v>136.25</v>
      </c>
      <c r="F55" s="2">
        <v>137.51</v>
      </c>
      <c r="G55" s="1">
        <v>3133003</v>
      </c>
      <c r="H55" s="2">
        <f t="shared" si="2"/>
        <v>136.25</v>
      </c>
      <c r="I55" s="2">
        <f t="shared" si="3"/>
        <v>156.32040000000001</v>
      </c>
      <c r="J55" s="22">
        <f>100*(testdata4[[#This Row],[close]]-testdata4[[#This Row],[LL]])/(testdata4[[#This Row],[HH]]-testdata4[[#This Row],[LL]])</f>
        <v>6.2779017857142385</v>
      </c>
      <c r="K55" s="22">
        <f>testdata4[[#This Row],[K(14)'']]</f>
        <v>6.2779017857142385</v>
      </c>
      <c r="L55" s="22">
        <f>testdata4[[#This Row],[%K]]-100</f>
        <v>-93.722098214285765</v>
      </c>
      <c r="N55" s="12">
        <v>53</v>
      </c>
      <c r="O55" s="3">
        <v>44986</v>
      </c>
      <c r="P55" s="23" t="s">
        <v>56</v>
      </c>
      <c r="Q55" s="22">
        <f>IF(testdata4[[#This Row],[%R]]&lt;&gt;Table25[[#This Row],[%R]],testdata4[[#This Row],[%R]]-Table25[[#This Row],[%R]],"")</f>
        <v>-7.1054273576010019E-14</v>
      </c>
      <c r="R55" s="11" t="str">
        <f>IF(OR(Table25[[#This Row],[%R]]&lt;-100,Table25[[#This Row],[%R]]&gt;0),"RANGE_ERR","")</f>
        <v>RANGE_ERR</v>
      </c>
    </row>
    <row r="56" spans="1:18" x14ac:dyDescent="0.35">
      <c r="A56" s="6">
        <v>54</v>
      </c>
      <c r="B56" s="3">
        <v>44987</v>
      </c>
      <c r="C56" s="2">
        <v>136.30000000000001</v>
      </c>
      <c r="D56" s="2">
        <v>141.72</v>
      </c>
      <c r="E56" s="2">
        <v>136.08000000000001</v>
      </c>
      <c r="F56" s="2">
        <v>141.66999999999999</v>
      </c>
      <c r="G56" s="1">
        <v>1879178</v>
      </c>
      <c r="H56" s="2">
        <f t="shared" si="2"/>
        <v>136.08000000000001</v>
      </c>
      <c r="I56" s="2">
        <f t="shared" si="3"/>
        <v>155.7499</v>
      </c>
      <c r="J56" s="22">
        <f>100*(testdata4[[#This Row],[close]]-testdata4[[#This Row],[LL]])/(testdata4[[#This Row],[HH]]-testdata4[[#This Row],[LL]])</f>
        <v>28.419056527994446</v>
      </c>
      <c r="K56" s="22">
        <f>testdata4[[#This Row],[K(14)'']]</f>
        <v>28.419056527994446</v>
      </c>
      <c r="L56" s="22">
        <f>testdata4[[#This Row],[%K]]-100</f>
        <v>-71.580943472005558</v>
      </c>
      <c r="N56" s="12">
        <v>54</v>
      </c>
      <c r="O56" s="3">
        <v>44987</v>
      </c>
      <c r="P56" s="23" t="s">
        <v>57</v>
      </c>
      <c r="Q56" s="22">
        <f>IF(testdata4[[#This Row],[%R]]&lt;&gt;Table25[[#This Row],[%R]],testdata4[[#This Row],[%R]]-Table25[[#This Row],[%R]],"")</f>
        <v>-5.6843418860808015E-14</v>
      </c>
      <c r="R56" s="11" t="str">
        <f>IF(OR(Table25[[#This Row],[%R]]&lt;-100,Table25[[#This Row],[%R]]&gt;0),"RANGE_ERR","")</f>
        <v>RANGE_ERR</v>
      </c>
    </row>
    <row r="57" spans="1:18" x14ac:dyDescent="0.35">
      <c r="A57" s="6">
        <v>55</v>
      </c>
      <c r="B57" s="3">
        <v>44988</v>
      </c>
      <c r="C57" s="2">
        <v>142.54</v>
      </c>
      <c r="D57" s="2">
        <v>144.44</v>
      </c>
      <c r="E57" s="2">
        <v>141.97999999999999</v>
      </c>
      <c r="F57" s="2">
        <v>143.93</v>
      </c>
      <c r="G57" s="1">
        <v>1147777</v>
      </c>
      <c r="H57" s="2">
        <f t="shared" si="2"/>
        <v>136.08000000000001</v>
      </c>
      <c r="I57" s="2">
        <f t="shared" si="3"/>
        <v>155.7499</v>
      </c>
      <c r="J57" s="22">
        <f>100*(testdata4[[#This Row],[close]]-testdata4[[#This Row],[LL]])/(testdata4[[#This Row],[HH]]-testdata4[[#This Row],[LL]])</f>
        <v>39.908692977595209</v>
      </c>
      <c r="K57" s="22">
        <f>testdata4[[#This Row],[K(14)'']]</f>
        <v>39.908692977595209</v>
      </c>
      <c r="L57" s="22">
        <f>testdata4[[#This Row],[%K]]-100</f>
        <v>-60.091307022404791</v>
      </c>
      <c r="N57" s="12">
        <v>55</v>
      </c>
      <c r="O57" s="3">
        <v>44988</v>
      </c>
      <c r="P57" s="23" t="s">
        <v>58</v>
      </c>
      <c r="Q57" s="22">
        <f>IF(testdata4[[#This Row],[%R]]&lt;&gt;Table25[[#This Row],[%R]],testdata4[[#This Row],[%R]]-Table25[[#This Row],[%R]],"")</f>
        <v>-9.2370555648813024E-14</v>
      </c>
      <c r="R57" s="11" t="str">
        <f>IF(OR(Table25[[#This Row],[%R]]&lt;-100,Table25[[#This Row],[%R]]&gt;0),"RANGE_ERR","")</f>
        <v>RANGE_ERR</v>
      </c>
    </row>
    <row r="58" spans="1:18" x14ac:dyDescent="0.35">
      <c r="A58" s="6">
        <v>56</v>
      </c>
      <c r="B58" s="3">
        <v>44991</v>
      </c>
      <c r="C58" s="2">
        <v>143.35</v>
      </c>
      <c r="D58" s="2">
        <v>145.435</v>
      </c>
      <c r="E58" s="2">
        <v>142.68</v>
      </c>
      <c r="F58" s="2">
        <v>143.22999999999999</v>
      </c>
      <c r="G58" s="1">
        <v>1153577</v>
      </c>
      <c r="H58" s="2">
        <f t="shared" si="2"/>
        <v>136.08000000000001</v>
      </c>
      <c r="I58" s="2">
        <f t="shared" si="3"/>
        <v>155.7499</v>
      </c>
      <c r="J58" s="22">
        <f>100*(testdata4[[#This Row],[close]]-testdata4[[#This Row],[LL]])/(testdata4[[#This Row],[HH]]-testdata4[[#This Row],[LL]])</f>
        <v>36.349956024178987</v>
      </c>
      <c r="K58" s="22">
        <f>testdata4[[#This Row],[K(14)'']]</f>
        <v>36.349956024178987</v>
      </c>
      <c r="L58" s="22">
        <f>testdata4[[#This Row],[%K]]-100</f>
        <v>-63.650043975821013</v>
      </c>
      <c r="N58" s="12">
        <v>56</v>
      </c>
      <c r="O58" s="3">
        <v>44991</v>
      </c>
      <c r="P58" s="23" t="s">
        <v>59</v>
      </c>
      <c r="Q58" s="22">
        <f>IF(testdata4[[#This Row],[%R]]&lt;&gt;Table25[[#This Row],[%R]],testdata4[[#This Row],[%R]]-Table25[[#This Row],[%R]],"")</f>
        <v>-1.4210854715202004E-14</v>
      </c>
      <c r="R58" s="11" t="str">
        <f>IF(OR(Table25[[#This Row],[%R]]&lt;-100,Table25[[#This Row],[%R]]&gt;0),"RANGE_ERR","")</f>
        <v>RANGE_ERR</v>
      </c>
    </row>
    <row r="59" spans="1:18" x14ac:dyDescent="0.35">
      <c r="A59" s="6">
        <v>57</v>
      </c>
      <c r="B59" s="3">
        <v>44992</v>
      </c>
      <c r="C59" s="2">
        <v>143.56</v>
      </c>
      <c r="D59" s="2">
        <v>143.66</v>
      </c>
      <c r="E59" s="2">
        <v>140.22999999999999</v>
      </c>
      <c r="F59" s="2">
        <v>140.33000000000001</v>
      </c>
      <c r="G59" s="1">
        <v>1088388</v>
      </c>
      <c r="H59" s="2">
        <f t="shared" si="2"/>
        <v>136.08000000000001</v>
      </c>
      <c r="I59" s="2">
        <f t="shared" si="3"/>
        <v>152.32499999999999</v>
      </c>
      <c r="J59" s="22">
        <f>100*(testdata4[[#This Row],[close]]-testdata4[[#This Row],[LL]])/(testdata4[[#This Row],[HH]]-testdata4[[#This Row],[LL]])</f>
        <v>26.161895967990191</v>
      </c>
      <c r="K59" s="22">
        <f>testdata4[[#This Row],[K(14)'']]</f>
        <v>26.161895967990191</v>
      </c>
      <c r="L59" s="22">
        <f>testdata4[[#This Row],[%K]]-100</f>
        <v>-73.838104032009809</v>
      </c>
      <c r="N59" s="12">
        <v>57</v>
      </c>
      <c r="O59" s="3">
        <v>44992</v>
      </c>
      <c r="P59" s="23" t="s">
        <v>60</v>
      </c>
      <c r="Q59" s="22">
        <f>IF(testdata4[[#This Row],[%R]]&lt;&gt;Table25[[#This Row],[%R]],testdata4[[#This Row],[%R]]-Table25[[#This Row],[%R]],"")</f>
        <v>-1.4210854715202004E-14</v>
      </c>
      <c r="R59" s="11" t="str">
        <f>IF(OR(Table25[[#This Row],[%R]]&lt;-100,Table25[[#This Row],[%R]]&gt;0),"RANGE_ERR","")</f>
        <v>RANGE_ERR</v>
      </c>
    </row>
    <row r="60" spans="1:18" x14ac:dyDescent="0.35">
      <c r="A60" s="6">
        <v>58</v>
      </c>
      <c r="B60" s="3">
        <v>44993</v>
      </c>
      <c r="C60" s="2">
        <v>140.15</v>
      </c>
      <c r="D60" s="2">
        <v>141.58000000000001</v>
      </c>
      <c r="E60" s="2">
        <v>139.375</v>
      </c>
      <c r="F60" s="2">
        <v>140.9</v>
      </c>
      <c r="G60" s="1">
        <v>1136076</v>
      </c>
      <c r="H60" s="2">
        <f t="shared" si="2"/>
        <v>136.08000000000001</v>
      </c>
      <c r="I60" s="2">
        <f t="shared" si="3"/>
        <v>150.16</v>
      </c>
      <c r="J60" s="22">
        <f>100*(testdata4[[#This Row],[close]]-testdata4[[#This Row],[LL]])/(testdata4[[#This Row],[HH]]-testdata4[[#This Row],[LL]])</f>
        <v>34.232954545454533</v>
      </c>
      <c r="K60" s="22">
        <f>testdata4[[#This Row],[K(14)'']]</f>
        <v>34.232954545454533</v>
      </c>
      <c r="L60" s="22">
        <f>testdata4[[#This Row],[%K]]-100</f>
        <v>-65.767045454545467</v>
      </c>
      <c r="N60" s="12">
        <v>58</v>
      </c>
      <c r="O60" s="3">
        <v>44993</v>
      </c>
      <c r="P60" s="23" t="s">
        <v>61</v>
      </c>
      <c r="Q60" s="22">
        <f>IF(testdata4[[#This Row],[%R]]&lt;&gt;Table25[[#This Row],[%R]],testdata4[[#This Row],[%R]]-Table25[[#This Row],[%R]],"")</f>
        <v>-7.1054273576010019E-14</v>
      </c>
      <c r="R60" s="11" t="str">
        <f>IF(OR(Table25[[#This Row],[%R]]&lt;-100,Table25[[#This Row],[%R]]&gt;0),"RANGE_ERR","")</f>
        <v>RANGE_ERR</v>
      </c>
    </row>
    <row r="61" spans="1:18" x14ac:dyDescent="0.35">
      <c r="A61" s="6">
        <v>59</v>
      </c>
      <c r="B61" s="3">
        <v>44994</v>
      </c>
      <c r="C61" s="2">
        <v>141.26</v>
      </c>
      <c r="D61" s="2">
        <v>142</v>
      </c>
      <c r="E61" s="2">
        <v>138.30000000000001</v>
      </c>
      <c r="F61" s="2">
        <v>138.93</v>
      </c>
      <c r="G61" s="1">
        <v>1328860</v>
      </c>
      <c r="H61" s="2">
        <f t="shared" si="2"/>
        <v>136.08000000000001</v>
      </c>
      <c r="I61" s="2">
        <f t="shared" si="3"/>
        <v>148.9418</v>
      </c>
      <c r="J61" s="22">
        <f>100*(testdata4[[#This Row],[close]]-testdata4[[#This Row],[LL]])/(testdata4[[#This Row],[HH]]-testdata4[[#This Row],[LL]])</f>
        <v>22.15864031473042</v>
      </c>
      <c r="K61" s="22">
        <f>testdata4[[#This Row],[K(14)'']]</f>
        <v>22.15864031473042</v>
      </c>
      <c r="L61" s="22">
        <f>testdata4[[#This Row],[%K]]-100</f>
        <v>-77.84135968526958</v>
      </c>
      <c r="N61" s="12">
        <v>59</v>
      </c>
      <c r="O61" s="3">
        <v>44994</v>
      </c>
      <c r="P61" s="23" t="s">
        <v>62</v>
      </c>
      <c r="Q61" s="22">
        <f>IF(testdata4[[#This Row],[%R]]&lt;&gt;Table25[[#This Row],[%R]],testdata4[[#This Row],[%R]]-Table25[[#This Row],[%R]],"")</f>
        <v>-8.5265128291212022E-14</v>
      </c>
      <c r="R61" s="11" t="str">
        <f>IF(OR(Table25[[#This Row],[%R]]&lt;-100,Table25[[#This Row],[%R]]&gt;0),"RANGE_ERR","")</f>
        <v>RANGE_ERR</v>
      </c>
    </row>
    <row r="62" spans="1:18" x14ac:dyDescent="0.35">
      <c r="A62" s="6">
        <v>60</v>
      </c>
      <c r="B62" s="3">
        <v>44995</v>
      </c>
      <c r="C62" s="2">
        <v>139.19</v>
      </c>
      <c r="D62" s="2">
        <v>139.44</v>
      </c>
      <c r="E62" s="2">
        <v>134.71</v>
      </c>
      <c r="F62" s="2">
        <v>135.72</v>
      </c>
      <c r="G62" s="1">
        <v>1895989</v>
      </c>
      <c r="H62" s="2">
        <f t="shared" si="2"/>
        <v>134.71</v>
      </c>
      <c r="I62" s="2">
        <f t="shared" si="3"/>
        <v>146.65</v>
      </c>
      <c r="J62" s="22">
        <f>100*(testdata4[[#This Row],[close]]-testdata4[[#This Row],[LL]])/(testdata4[[#This Row],[HH]]-testdata4[[#This Row],[LL]])</f>
        <v>8.4589614740367765</v>
      </c>
      <c r="K62" s="22">
        <f>testdata4[[#This Row],[K(14)'']]</f>
        <v>8.4589614740367765</v>
      </c>
      <c r="L62" s="22">
        <f>testdata4[[#This Row],[%K]]-100</f>
        <v>-91.541038525963216</v>
      </c>
      <c r="N62" s="12">
        <v>60</v>
      </c>
      <c r="O62" s="3">
        <v>44995</v>
      </c>
      <c r="P62" s="23" t="s">
        <v>63</v>
      </c>
      <c r="Q62" s="22">
        <f>IF(testdata4[[#This Row],[%R]]&lt;&gt;Table25[[#This Row],[%R]],testdata4[[#This Row],[%R]]-Table25[[#This Row],[%R]],"")</f>
        <v>-1.4210854715202004E-14</v>
      </c>
      <c r="R62" s="11" t="str">
        <f>IF(OR(Table25[[#This Row],[%R]]&lt;-100,Table25[[#This Row],[%R]]&gt;0),"RANGE_ERR","")</f>
        <v>RANGE_ERR</v>
      </c>
    </row>
    <row r="63" spans="1:18" x14ac:dyDescent="0.35">
      <c r="A63" s="6">
        <v>61</v>
      </c>
      <c r="B63" s="3">
        <v>44998</v>
      </c>
      <c r="C63" s="2">
        <v>135.55000000000001</v>
      </c>
      <c r="D63" s="2">
        <v>138.28</v>
      </c>
      <c r="E63" s="2">
        <v>134.76</v>
      </c>
      <c r="F63" s="2">
        <v>136.69</v>
      </c>
      <c r="G63" s="1">
        <v>1770964</v>
      </c>
      <c r="H63" s="2">
        <f t="shared" si="2"/>
        <v>134.71</v>
      </c>
      <c r="I63" s="2">
        <f t="shared" si="3"/>
        <v>145.435</v>
      </c>
      <c r="J63" s="22">
        <f>100*(testdata4[[#This Row],[close]]-testdata4[[#This Row],[LL]])/(testdata4[[#This Row],[HH]]-testdata4[[#This Row],[LL]])</f>
        <v>18.461538461538375</v>
      </c>
      <c r="K63" s="22">
        <f>testdata4[[#This Row],[K(14)'']]</f>
        <v>18.461538461538375</v>
      </c>
      <c r="L63" s="22">
        <f>testdata4[[#This Row],[%K]]-100</f>
        <v>-81.538461538461632</v>
      </c>
      <c r="N63" s="12">
        <v>61</v>
      </c>
      <c r="O63" s="3">
        <v>44998</v>
      </c>
      <c r="P63" s="23" t="s">
        <v>64</v>
      </c>
      <c r="Q63" s="22">
        <f>IF(testdata4[[#This Row],[%R]]&lt;&gt;Table25[[#This Row],[%R]],testdata4[[#This Row],[%R]]-Table25[[#This Row],[%R]],"")</f>
        <v>-2.8421709430404007E-14</v>
      </c>
      <c r="R63" s="11" t="str">
        <f>IF(OR(Table25[[#This Row],[%R]]&lt;-100,Table25[[#This Row],[%R]]&gt;0),"RANGE_ERR","")</f>
        <v>RANGE_ERR</v>
      </c>
    </row>
    <row r="64" spans="1:18" x14ac:dyDescent="0.35">
      <c r="A64" s="6">
        <v>62</v>
      </c>
      <c r="B64" s="3">
        <v>44999</v>
      </c>
      <c r="C64" s="2">
        <v>138.44</v>
      </c>
      <c r="D64" s="2">
        <v>139.6</v>
      </c>
      <c r="E64" s="2">
        <v>136.43</v>
      </c>
      <c r="F64" s="2">
        <v>138.4</v>
      </c>
      <c r="G64" s="1">
        <v>1255370</v>
      </c>
      <c r="H64" s="2">
        <f t="shared" si="2"/>
        <v>134.71</v>
      </c>
      <c r="I64" s="2">
        <f t="shared" si="3"/>
        <v>145.435</v>
      </c>
      <c r="J64" s="22">
        <f>100*(testdata4[[#This Row],[close]]-testdata4[[#This Row],[LL]])/(testdata4[[#This Row],[HH]]-testdata4[[#This Row],[LL]])</f>
        <v>34.4055944055944</v>
      </c>
      <c r="K64" s="22">
        <f>testdata4[[#This Row],[K(14)'']]</f>
        <v>34.4055944055944</v>
      </c>
      <c r="L64" s="22">
        <f>testdata4[[#This Row],[%K]]-100</f>
        <v>-65.5944055944056</v>
      </c>
      <c r="N64" s="12">
        <v>62</v>
      </c>
      <c r="O64" s="3">
        <v>44999</v>
      </c>
      <c r="P64" s="23" t="s">
        <v>65</v>
      </c>
      <c r="Q64" s="22">
        <f>IF(testdata4[[#This Row],[%R]]&lt;&gt;Table25[[#This Row],[%R]],testdata4[[#This Row],[%R]]-Table25[[#This Row],[%R]],"")</f>
        <v>0</v>
      </c>
      <c r="R64" s="11" t="str">
        <f>IF(OR(Table25[[#This Row],[%R]]&lt;-100,Table25[[#This Row],[%R]]&gt;0),"RANGE_ERR","")</f>
        <v>RANGE_ERR</v>
      </c>
    </row>
    <row r="65" spans="1:18" x14ac:dyDescent="0.35">
      <c r="A65" s="6">
        <v>63</v>
      </c>
      <c r="B65" s="3">
        <v>45000</v>
      </c>
      <c r="C65" s="2">
        <v>135.93</v>
      </c>
      <c r="D65" s="2">
        <v>135.93</v>
      </c>
      <c r="E65" s="2">
        <v>132.19999999999999</v>
      </c>
      <c r="F65" s="2">
        <v>134.03</v>
      </c>
      <c r="G65" s="1">
        <v>2016723</v>
      </c>
      <c r="H65" s="2">
        <f t="shared" si="2"/>
        <v>132.19999999999999</v>
      </c>
      <c r="I65" s="2">
        <f t="shared" si="3"/>
        <v>145.435</v>
      </c>
      <c r="J65" s="22">
        <f>100*(testdata4[[#This Row],[close]]-testdata4[[#This Row],[LL]])/(testdata4[[#This Row],[HH]]-testdata4[[#This Row],[LL]])</f>
        <v>13.826973932754141</v>
      </c>
      <c r="K65" s="22">
        <f>testdata4[[#This Row],[K(14)'']]</f>
        <v>13.826973932754141</v>
      </c>
      <c r="L65" s="22">
        <f>testdata4[[#This Row],[%K]]-100</f>
        <v>-86.173026067245857</v>
      </c>
      <c r="N65" s="12">
        <v>63</v>
      </c>
      <c r="O65" s="3">
        <v>45000</v>
      </c>
      <c r="P65" s="23" t="s">
        <v>66</v>
      </c>
      <c r="Q65" s="22">
        <f>IF(testdata4[[#This Row],[%R]]&lt;&gt;Table25[[#This Row],[%R]],testdata4[[#This Row],[%R]]-Table25[[#This Row],[%R]],"")</f>
        <v>-5.6843418860808015E-14</v>
      </c>
      <c r="R65" s="11" t="str">
        <f>IF(OR(Table25[[#This Row],[%R]]&lt;-100,Table25[[#This Row],[%R]]&gt;0),"RANGE_ERR","")</f>
        <v>RANGE_ERR</v>
      </c>
    </row>
    <row r="66" spans="1:18" x14ac:dyDescent="0.35">
      <c r="A66" s="6">
        <v>64</v>
      </c>
      <c r="B66" s="3">
        <v>45001</v>
      </c>
      <c r="C66" s="2">
        <v>133.97</v>
      </c>
      <c r="D66" s="2">
        <v>137.05000000000001</v>
      </c>
      <c r="E66" s="2">
        <v>132.37</v>
      </c>
      <c r="F66" s="2">
        <v>136.82</v>
      </c>
      <c r="G66" s="1">
        <v>1789312</v>
      </c>
      <c r="H66" s="2">
        <f t="shared" si="2"/>
        <v>132.19999999999999</v>
      </c>
      <c r="I66" s="2">
        <f t="shared" si="3"/>
        <v>145.435</v>
      </c>
      <c r="J66" s="22">
        <f>100*(testdata4[[#This Row],[close]]-testdata4[[#This Row],[LL]])/(testdata4[[#This Row],[HH]]-testdata4[[#This Row],[LL]])</f>
        <v>34.907442387608612</v>
      </c>
      <c r="K66" s="22">
        <f>testdata4[[#This Row],[K(14)'']]</f>
        <v>34.907442387608612</v>
      </c>
      <c r="L66" s="22">
        <f>testdata4[[#This Row],[%K]]-100</f>
        <v>-65.092557612391388</v>
      </c>
      <c r="N66" s="12">
        <v>64</v>
      </c>
      <c r="O66" s="3">
        <v>45001</v>
      </c>
      <c r="P66" s="23" t="s">
        <v>67</v>
      </c>
      <c r="Q66" s="22">
        <f>IF(testdata4[[#This Row],[%R]]&lt;&gt;Table25[[#This Row],[%R]],testdata4[[#This Row],[%R]]-Table25[[#This Row],[%R]],"")</f>
        <v>-8.5265128291212022E-14</v>
      </c>
      <c r="R66" s="11" t="str">
        <f>IF(OR(Table25[[#This Row],[%R]]&lt;-100,Table25[[#This Row],[%R]]&gt;0),"RANGE_ERR","")</f>
        <v>RANGE_ERR</v>
      </c>
    </row>
    <row r="67" spans="1:18" x14ac:dyDescent="0.35">
      <c r="A67" s="6">
        <v>65</v>
      </c>
      <c r="B67" s="3">
        <v>45002</v>
      </c>
      <c r="C67" s="2">
        <v>136.88999999999999</v>
      </c>
      <c r="D67" s="2">
        <v>136.91999999999999</v>
      </c>
      <c r="E67" s="2">
        <v>132.72999999999999</v>
      </c>
      <c r="F67" s="2">
        <v>133.18</v>
      </c>
      <c r="G67" s="1">
        <v>2045953</v>
      </c>
      <c r="H67" s="2">
        <f t="shared" si="2"/>
        <v>132.19999999999999</v>
      </c>
      <c r="I67" s="2">
        <f t="shared" si="3"/>
        <v>145.435</v>
      </c>
      <c r="J67" s="22">
        <f>100*(testdata4[[#This Row],[close]]-testdata4[[#This Row],[LL]])/(testdata4[[#This Row],[HH]]-testdata4[[#This Row],[LL]])</f>
        <v>7.404608991311048</v>
      </c>
      <c r="K67" s="22">
        <f>testdata4[[#This Row],[K(14)'']]</f>
        <v>7.404608991311048</v>
      </c>
      <c r="L67" s="22">
        <f>testdata4[[#This Row],[%K]]-100</f>
        <v>-92.595391008688949</v>
      </c>
      <c r="N67" s="12">
        <v>65</v>
      </c>
      <c r="O67" s="3">
        <v>45002</v>
      </c>
      <c r="P67" s="23" t="s">
        <v>68</v>
      </c>
      <c r="Q67" s="22">
        <f>IF(testdata4[[#This Row],[%R]]&lt;&gt;Table25[[#This Row],[%R]],testdata4[[#This Row],[%R]]-Table25[[#This Row],[%R]],"")</f>
        <v>-4.2632564145606011E-14</v>
      </c>
      <c r="R67" s="11" t="str">
        <f>IF(OR(Table25[[#This Row],[%R]]&lt;-100,Table25[[#This Row],[%R]]&gt;0),"RANGE_ERR","")</f>
        <v>RANGE_ERR</v>
      </c>
    </row>
    <row r="68" spans="1:18" x14ac:dyDescent="0.35">
      <c r="A68" s="6">
        <v>66</v>
      </c>
      <c r="B68" s="3">
        <v>45005</v>
      </c>
      <c r="C68" s="2">
        <v>133.13999999999999</v>
      </c>
      <c r="D68" s="2">
        <v>135.38</v>
      </c>
      <c r="E68" s="2">
        <v>132.72999999999999</v>
      </c>
      <c r="F68" s="2">
        <v>134.54</v>
      </c>
      <c r="G68" s="1">
        <v>1704510</v>
      </c>
      <c r="H68" s="2">
        <f t="shared" si="2"/>
        <v>132.19999999999999</v>
      </c>
      <c r="I68" s="2">
        <f t="shared" si="3"/>
        <v>145.435</v>
      </c>
      <c r="J68" s="22">
        <f>100*(testdata4[[#This Row],[close]]-testdata4[[#This Row],[LL]])/(testdata4[[#This Row],[HH]]-testdata4[[#This Row],[LL]])</f>
        <v>17.680392897619953</v>
      </c>
      <c r="K68" s="22">
        <f>testdata4[[#This Row],[K(14)'']]</f>
        <v>17.680392897619953</v>
      </c>
      <c r="L68" s="22">
        <f>testdata4[[#This Row],[%K]]-100</f>
        <v>-82.319607102380047</v>
      </c>
      <c r="N68" s="12">
        <v>66</v>
      </c>
      <c r="O68" s="3">
        <v>45005</v>
      </c>
      <c r="P68" s="23" t="s">
        <v>69</v>
      </c>
      <c r="Q68" s="22">
        <f>IF(testdata4[[#This Row],[%R]]&lt;&gt;Table25[[#This Row],[%R]],testdata4[[#This Row],[%R]]-Table25[[#This Row],[%R]],"")</f>
        <v>-4.2632564145606011E-14</v>
      </c>
      <c r="R68" s="11" t="str">
        <f>IF(OR(Table25[[#This Row],[%R]]&lt;-100,Table25[[#This Row],[%R]]&gt;0),"RANGE_ERR","")</f>
        <v>RANGE_ERR</v>
      </c>
    </row>
    <row r="69" spans="1:18" x14ac:dyDescent="0.35">
      <c r="A69" s="6">
        <v>67</v>
      </c>
      <c r="B69" s="3">
        <v>45006</v>
      </c>
      <c r="C69" s="2">
        <v>135.56</v>
      </c>
      <c r="D69" s="2">
        <v>137.41999999999999</v>
      </c>
      <c r="E69" s="2">
        <v>135.215</v>
      </c>
      <c r="F69" s="2">
        <v>137.01</v>
      </c>
      <c r="G69" s="1">
        <v>1392258</v>
      </c>
      <c r="H69" s="2">
        <f t="shared" si="2"/>
        <v>132.19999999999999</v>
      </c>
      <c r="I69" s="2">
        <f t="shared" si="3"/>
        <v>145.435</v>
      </c>
      <c r="J69" s="22">
        <f>100*(testdata4[[#This Row],[close]]-testdata4[[#This Row],[LL]])/(testdata4[[#This Row],[HH]]-testdata4[[#This Row],[LL]])</f>
        <v>36.343029845107651</v>
      </c>
      <c r="K69" s="22">
        <f>testdata4[[#This Row],[K(14)'']]</f>
        <v>36.343029845107651</v>
      </c>
      <c r="L69" s="22">
        <f>testdata4[[#This Row],[%K]]-100</f>
        <v>-63.656970154892349</v>
      </c>
      <c r="N69" s="12">
        <v>67</v>
      </c>
      <c r="O69" s="3">
        <v>45006</v>
      </c>
      <c r="P69" s="23" t="s">
        <v>70</v>
      </c>
      <c r="Q69" s="22">
        <f>IF(testdata4[[#This Row],[%R]]&lt;&gt;Table25[[#This Row],[%R]],testdata4[[#This Row],[%R]]-Table25[[#This Row],[%R]],"")</f>
        <v>-4.9737991503207013E-14</v>
      </c>
      <c r="R69" s="11" t="str">
        <f>IF(OR(Table25[[#This Row],[%R]]&lt;-100,Table25[[#This Row],[%R]]&gt;0),"RANGE_ERR","")</f>
        <v>RANGE_ERR</v>
      </c>
    </row>
    <row r="70" spans="1:18" x14ac:dyDescent="0.35">
      <c r="A70" s="6">
        <v>68</v>
      </c>
      <c r="B70" s="3">
        <v>45007</v>
      </c>
      <c r="C70" s="2">
        <v>136.96</v>
      </c>
      <c r="D70" s="2">
        <v>137.535</v>
      </c>
      <c r="E70" s="2">
        <v>133.6</v>
      </c>
      <c r="F70" s="2">
        <v>133.72999999999999</v>
      </c>
      <c r="G70" s="1">
        <v>1268528</v>
      </c>
      <c r="H70" s="2">
        <f t="shared" si="2"/>
        <v>132.19999999999999</v>
      </c>
      <c r="I70" s="2">
        <f t="shared" si="3"/>
        <v>145.435</v>
      </c>
      <c r="J70" s="22">
        <f>100*(testdata4[[#This Row],[close]]-testdata4[[#This Row],[LL]])/(testdata4[[#This Row],[HH]]-testdata4[[#This Row],[LL]])</f>
        <v>11.560256894597654</v>
      </c>
      <c r="K70" s="22">
        <f>testdata4[[#This Row],[K(14)'']]</f>
        <v>11.560256894597654</v>
      </c>
      <c r="L70" s="22">
        <f>testdata4[[#This Row],[%K]]-100</f>
        <v>-88.439743105402343</v>
      </c>
      <c r="N70" s="12">
        <v>68</v>
      </c>
      <c r="O70" s="3">
        <v>45007</v>
      </c>
      <c r="P70" s="23" t="s">
        <v>71</v>
      </c>
      <c r="Q70" s="22">
        <f>IF(testdata4[[#This Row],[%R]]&lt;&gt;Table25[[#This Row],[%R]],testdata4[[#This Row],[%R]]-Table25[[#This Row],[%R]],"")</f>
        <v>-4.2632564145606011E-14</v>
      </c>
      <c r="R70" s="11" t="str">
        <f>IF(OR(Table25[[#This Row],[%R]]&lt;-100,Table25[[#This Row],[%R]]&gt;0),"RANGE_ERR","")</f>
        <v>RANGE_ERR</v>
      </c>
    </row>
    <row r="71" spans="1:18" x14ac:dyDescent="0.35">
      <c r="A71" s="6">
        <v>69</v>
      </c>
      <c r="B71" s="3">
        <v>45008</v>
      </c>
      <c r="C71" s="2">
        <v>134.66</v>
      </c>
      <c r="D71" s="2">
        <v>135.07</v>
      </c>
      <c r="E71" s="2">
        <v>129.37209999999999</v>
      </c>
      <c r="F71" s="2">
        <v>131.13</v>
      </c>
      <c r="G71" s="1">
        <v>3297906</v>
      </c>
      <c r="H71" s="2">
        <f t="shared" si="2"/>
        <v>129.37209999999999</v>
      </c>
      <c r="I71" s="2">
        <f t="shared" si="3"/>
        <v>145.435</v>
      </c>
      <c r="J71" s="22">
        <f>100*(testdata4[[#This Row],[close]]-testdata4[[#This Row],[LL]])/(testdata4[[#This Row],[HH]]-testdata4[[#This Row],[LL]])</f>
        <v>10.943851981896202</v>
      </c>
      <c r="K71" s="22">
        <f>testdata4[[#This Row],[K(14)'']]</f>
        <v>10.943851981896202</v>
      </c>
      <c r="L71" s="22">
        <f>testdata4[[#This Row],[%K]]-100</f>
        <v>-89.056148018103798</v>
      </c>
      <c r="N71" s="12">
        <v>69</v>
      </c>
      <c r="O71" s="3">
        <v>45008</v>
      </c>
      <c r="P71" s="23" t="s">
        <v>72</v>
      </c>
      <c r="Q71" s="22">
        <f>IF(testdata4[[#This Row],[%R]]&lt;&gt;Table25[[#This Row],[%R]],testdata4[[#This Row],[%R]]-Table25[[#This Row],[%R]],"")</f>
        <v>-9.9475983006414026E-14</v>
      </c>
      <c r="R71" s="11" t="str">
        <f>IF(OR(Table25[[#This Row],[%R]]&lt;-100,Table25[[#This Row],[%R]]&gt;0),"RANGE_ERR","")</f>
        <v>RANGE_ERR</v>
      </c>
    </row>
    <row r="72" spans="1:18" x14ac:dyDescent="0.35">
      <c r="A72" s="6">
        <v>70</v>
      </c>
      <c r="B72" s="3">
        <v>45009</v>
      </c>
      <c r="C72" s="2">
        <v>130.13999999999999</v>
      </c>
      <c r="D72" s="2">
        <v>131.97999999999999</v>
      </c>
      <c r="E72" s="2">
        <v>128.22</v>
      </c>
      <c r="F72" s="2">
        <v>131.96</v>
      </c>
      <c r="G72" s="1">
        <v>1571589</v>
      </c>
      <c r="H72" s="2">
        <f t="shared" si="2"/>
        <v>128.22</v>
      </c>
      <c r="I72" s="2">
        <f t="shared" si="3"/>
        <v>143.66</v>
      </c>
      <c r="J72" s="22">
        <f>100*(testdata4[[#This Row],[close]]-testdata4[[#This Row],[LL]])/(testdata4[[#This Row],[HH]]-testdata4[[#This Row],[LL]])</f>
        <v>24.222797927461201</v>
      </c>
      <c r="K72" s="22">
        <f>testdata4[[#This Row],[K(14)'']]</f>
        <v>24.222797927461201</v>
      </c>
      <c r="L72" s="22">
        <f>testdata4[[#This Row],[%K]]-100</f>
        <v>-75.777202072538799</v>
      </c>
      <c r="N72" s="12">
        <v>70</v>
      </c>
      <c r="O72" s="3">
        <v>45009</v>
      </c>
      <c r="P72" s="23" t="s">
        <v>73</v>
      </c>
      <c r="Q72" s="22">
        <f>IF(testdata4[[#This Row],[%R]]&lt;&gt;Table25[[#This Row],[%R]],testdata4[[#This Row],[%R]]-Table25[[#This Row],[%R]],"")</f>
        <v>-9.9475983006414026E-14</v>
      </c>
      <c r="R72" s="11" t="str">
        <f>IF(OR(Table25[[#This Row],[%R]]&lt;-100,Table25[[#This Row],[%R]]&gt;0),"RANGE_ERR","")</f>
        <v>RANGE_ERR</v>
      </c>
    </row>
    <row r="73" spans="1:18" x14ac:dyDescent="0.35">
      <c r="A73" s="6">
        <v>71</v>
      </c>
      <c r="B73" s="3">
        <v>45012</v>
      </c>
      <c r="C73" s="2">
        <v>133.58000000000001</v>
      </c>
      <c r="D73" s="2">
        <v>134.62</v>
      </c>
      <c r="E73" s="2">
        <v>132.72999999999999</v>
      </c>
      <c r="F73" s="2">
        <v>133.07</v>
      </c>
      <c r="G73" s="1">
        <v>1216331</v>
      </c>
      <c r="H73" s="2">
        <f t="shared" si="2"/>
        <v>128.22</v>
      </c>
      <c r="I73" s="2">
        <f t="shared" si="3"/>
        <v>142</v>
      </c>
      <c r="J73" s="22">
        <f>100*(testdata4[[#This Row],[close]]-testdata4[[#This Row],[LL]])/(testdata4[[#This Row],[HH]]-testdata4[[#This Row],[LL]])</f>
        <v>35.195936139332325</v>
      </c>
      <c r="K73" s="22">
        <f>testdata4[[#This Row],[K(14)'']]</f>
        <v>35.195936139332325</v>
      </c>
      <c r="L73" s="22">
        <f>testdata4[[#This Row],[%K]]-100</f>
        <v>-64.804063860667668</v>
      </c>
      <c r="N73" s="12">
        <v>71</v>
      </c>
      <c r="O73" s="3">
        <v>45012</v>
      </c>
      <c r="P73" s="23" t="s">
        <v>74</v>
      </c>
      <c r="Q73" s="22">
        <f>IF(testdata4[[#This Row],[%R]]&lt;&gt;Table25[[#This Row],[%R]],testdata4[[#This Row],[%R]]-Table25[[#This Row],[%R]],"")</f>
        <v>-7.1054273576010019E-14</v>
      </c>
      <c r="R73" s="11" t="str">
        <f>IF(OR(Table25[[#This Row],[%R]]&lt;-100,Table25[[#This Row],[%R]]&gt;0),"RANGE_ERR","")</f>
        <v>RANGE_ERR</v>
      </c>
    </row>
    <row r="74" spans="1:18" x14ac:dyDescent="0.35">
      <c r="A74" s="6">
        <v>72</v>
      </c>
      <c r="B74" s="3">
        <v>45013</v>
      </c>
      <c r="C74" s="2">
        <v>132.54</v>
      </c>
      <c r="D74" s="2">
        <v>133.31</v>
      </c>
      <c r="E74" s="2">
        <v>132.01079999999999</v>
      </c>
      <c r="F74" s="2">
        <v>132.63</v>
      </c>
      <c r="G74" s="1">
        <v>942618</v>
      </c>
      <c r="H74" s="2">
        <f t="shared" si="2"/>
        <v>128.22</v>
      </c>
      <c r="I74" s="2">
        <f t="shared" si="3"/>
        <v>142</v>
      </c>
      <c r="J74" s="22">
        <f>100*(testdata4[[#This Row],[close]]-testdata4[[#This Row],[LL]])/(testdata4[[#This Row],[HH]]-testdata4[[#This Row],[LL]])</f>
        <v>32.002902757619708</v>
      </c>
      <c r="K74" s="22">
        <f>testdata4[[#This Row],[K(14)'']]</f>
        <v>32.002902757619708</v>
      </c>
      <c r="L74" s="22">
        <f>testdata4[[#This Row],[%K]]-100</f>
        <v>-67.997097242380292</v>
      </c>
      <c r="N74" s="12">
        <v>72</v>
      </c>
      <c r="O74" s="3">
        <v>45013</v>
      </c>
      <c r="P74" s="23" t="s">
        <v>75</v>
      </c>
      <c r="Q74" s="22">
        <f>IF(testdata4[[#This Row],[%R]]&lt;&gt;Table25[[#This Row],[%R]],testdata4[[#This Row],[%R]]-Table25[[#This Row],[%R]],"")</f>
        <v>-8.5265128291212022E-14</v>
      </c>
      <c r="R74" s="11" t="str">
        <f>IF(OR(Table25[[#This Row],[%R]]&lt;-100,Table25[[#This Row],[%R]]&gt;0),"RANGE_ERR","")</f>
        <v>RANGE_ERR</v>
      </c>
    </row>
    <row r="75" spans="1:18" x14ac:dyDescent="0.35">
      <c r="A75" s="6">
        <v>73</v>
      </c>
      <c r="B75" s="3">
        <v>45014</v>
      </c>
      <c r="C75" s="2">
        <v>133.94999999999999</v>
      </c>
      <c r="D75" s="2">
        <v>134.24</v>
      </c>
      <c r="E75" s="2">
        <v>132.6301</v>
      </c>
      <c r="F75" s="2">
        <v>133.85</v>
      </c>
      <c r="G75" s="1">
        <v>1002779</v>
      </c>
      <c r="H75" s="2">
        <f t="shared" si="2"/>
        <v>128.22</v>
      </c>
      <c r="I75" s="2">
        <f t="shared" si="3"/>
        <v>139.6</v>
      </c>
      <c r="J75" s="22">
        <f>100*(testdata4[[#This Row],[close]]-testdata4[[#This Row],[LL]])/(testdata4[[#This Row],[HH]]-testdata4[[#This Row],[LL]])</f>
        <v>49.472759226713514</v>
      </c>
      <c r="K75" s="22">
        <f>testdata4[[#This Row],[K(14)'']]</f>
        <v>49.472759226713514</v>
      </c>
      <c r="L75" s="22">
        <f>testdata4[[#This Row],[%K]]-100</f>
        <v>-50.527240773286486</v>
      </c>
      <c r="N75" s="12">
        <v>73</v>
      </c>
      <c r="O75" s="3">
        <v>45014</v>
      </c>
      <c r="P75" s="23" t="s">
        <v>76</v>
      </c>
      <c r="Q75" s="22">
        <f>IF(testdata4[[#This Row],[%R]]&lt;&gt;Table25[[#This Row],[%R]],testdata4[[#This Row],[%R]]-Table25[[#This Row],[%R]],"")</f>
        <v>-8.5265128291212022E-14</v>
      </c>
      <c r="R75" s="11" t="str">
        <f>IF(OR(Table25[[#This Row],[%R]]&lt;-100,Table25[[#This Row],[%R]]&gt;0),"RANGE_ERR","")</f>
        <v>RANGE_ERR</v>
      </c>
    </row>
    <row r="76" spans="1:18" x14ac:dyDescent="0.35">
      <c r="A76" s="6">
        <v>74</v>
      </c>
      <c r="B76" s="3">
        <v>45015</v>
      </c>
      <c r="C76" s="2">
        <v>135.27000000000001</v>
      </c>
      <c r="D76" s="2">
        <v>135.54</v>
      </c>
      <c r="E76" s="2">
        <v>133.32</v>
      </c>
      <c r="F76" s="2">
        <v>134.49</v>
      </c>
      <c r="G76" s="1">
        <v>1468195</v>
      </c>
      <c r="H76" s="2">
        <f t="shared" si="2"/>
        <v>128.22</v>
      </c>
      <c r="I76" s="2">
        <f t="shared" si="3"/>
        <v>139.6</v>
      </c>
      <c r="J76" s="22">
        <f>100*(testdata4[[#This Row],[close]]-testdata4[[#This Row],[LL]])/(testdata4[[#This Row],[HH]]-testdata4[[#This Row],[LL]])</f>
        <v>55.096660808435963</v>
      </c>
      <c r="K76" s="22">
        <f>testdata4[[#This Row],[K(14)'']]</f>
        <v>55.096660808435963</v>
      </c>
      <c r="L76" s="22">
        <f>testdata4[[#This Row],[%K]]-100</f>
        <v>-44.903339191564037</v>
      </c>
      <c r="N76" s="12">
        <v>74</v>
      </c>
      <c r="O76" s="3">
        <v>45015</v>
      </c>
      <c r="P76" s="23" t="s">
        <v>77</v>
      </c>
      <c r="Q76" s="22">
        <f>IF(testdata4[[#This Row],[%R]]&lt;&gt;Table25[[#This Row],[%R]],testdata4[[#This Row],[%R]]-Table25[[#This Row],[%R]],"")</f>
        <v>-3.5527136788005009E-14</v>
      </c>
      <c r="R76" s="11" t="str">
        <f>IF(OR(Table25[[#This Row],[%R]]&lt;-100,Table25[[#This Row],[%R]]&gt;0),"RANGE_ERR","")</f>
        <v>RANGE_ERR</v>
      </c>
    </row>
    <row r="77" spans="1:18" x14ac:dyDescent="0.35">
      <c r="A77" s="6">
        <v>75</v>
      </c>
      <c r="B77" s="3">
        <v>45016</v>
      </c>
      <c r="C77" s="2">
        <v>135.4</v>
      </c>
      <c r="D77" s="2">
        <v>138.72999999999999</v>
      </c>
      <c r="E77" s="2">
        <v>134.86000000000001</v>
      </c>
      <c r="F77" s="2">
        <v>138.34</v>
      </c>
      <c r="G77" s="1">
        <v>2579848</v>
      </c>
      <c r="H77" s="2">
        <f t="shared" si="2"/>
        <v>128.22</v>
      </c>
      <c r="I77" s="2">
        <f t="shared" si="3"/>
        <v>139.6</v>
      </c>
      <c r="J77" s="22">
        <f>100*(testdata4[[#This Row],[close]]-testdata4[[#This Row],[LL]])/(testdata4[[#This Row],[HH]]-testdata4[[#This Row],[LL]])</f>
        <v>88.927943760984263</v>
      </c>
      <c r="K77" s="22">
        <f>testdata4[[#This Row],[K(14)'']]</f>
        <v>88.927943760984263</v>
      </c>
      <c r="L77" s="22">
        <f>testdata4[[#This Row],[%K]]-100</f>
        <v>-11.072056239015737</v>
      </c>
      <c r="N77" s="12">
        <v>75</v>
      </c>
      <c r="O77" s="3">
        <v>45016</v>
      </c>
      <c r="P77" s="23" t="s">
        <v>78</v>
      </c>
      <c r="Q77" s="22">
        <f>IF(testdata4[[#This Row],[%R]]&lt;&gt;Table25[[#This Row],[%R]],testdata4[[#This Row],[%R]]-Table25[[#This Row],[%R]],"")</f>
        <v>-3.730349362740526E-14</v>
      </c>
      <c r="R77" s="11" t="str">
        <f>IF(OR(Table25[[#This Row],[%R]]&lt;-100,Table25[[#This Row],[%R]]&gt;0),"RANGE_ERR","")</f>
        <v>RANGE_ERR</v>
      </c>
    </row>
    <row r="78" spans="1:18" x14ac:dyDescent="0.35">
      <c r="A78" s="6">
        <v>76</v>
      </c>
      <c r="B78" s="3">
        <v>45019</v>
      </c>
      <c r="C78" s="2">
        <v>137.41999999999999</v>
      </c>
      <c r="D78" s="2">
        <v>138.09</v>
      </c>
      <c r="E78" s="2">
        <v>136.005</v>
      </c>
      <c r="F78" s="2">
        <v>137.86000000000001</v>
      </c>
      <c r="G78" s="1">
        <v>1551755</v>
      </c>
      <c r="H78" s="2">
        <f t="shared" si="2"/>
        <v>128.22</v>
      </c>
      <c r="I78" s="2">
        <f t="shared" si="3"/>
        <v>138.72999999999999</v>
      </c>
      <c r="J78" s="22">
        <f>100*(testdata4[[#This Row],[close]]-testdata4[[#This Row],[LL]])/(testdata4[[#This Row],[HH]]-testdata4[[#This Row],[LL]])</f>
        <v>91.722169362512119</v>
      </c>
      <c r="K78" s="22">
        <f>testdata4[[#This Row],[K(14)'']]</f>
        <v>91.722169362512119</v>
      </c>
      <c r="L78" s="22">
        <f>testdata4[[#This Row],[%K]]-100</f>
        <v>-8.2778306374878809</v>
      </c>
      <c r="N78" s="12">
        <v>76</v>
      </c>
      <c r="O78" s="3">
        <v>45019</v>
      </c>
      <c r="P78" s="23" t="s">
        <v>79</v>
      </c>
      <c r="Q78" s="22">
        <f>IF(testdata4[[#This Row],[%R]]&lt;&gt;Table25[[#This Row],[%R]],testdata4[[#This Row],[%R]]-Table25[[#This Row],[%R]],"")</f>
        <v>-1.7763568394002505E-15</v>
      </c>
      <c r="R78" s="11" t="str">
        <f>IF(OR(Table25[[#This Row],[%R]]&lt;-100,Table25[[#This Row],[%R]]&gt;0),"RANGE_ERR","")</f>
        <v>RANGE_ERR</v>
      </c>
    </row>
    <row r="79" spans="1:18" x14ac:dyDescent="0.35">
      <c r="A79" s="6">
        <v>77</v>
      </c>
      <c r="B79" s="3">
        <v>45020</v>
      </c>
      <c r="C79" s="2">
        <v>138.25</v>
      </c>
      <c r="D79" s="2">
        <v>139.11000000000001</v>
      </c>
      <c r="E79" s="2">
        <v>137.53</v>
      </c>
      <c r="F79" s="2">
        <v>138.21</v>
      </c>
      <c r="G79" s="1">
        <v>1778667</v>
      </c>
      <c r="H79" s="2">
        <f t="shared" si="2"/>
        <v>128.22</v>
      </c>
      <c r="I79" s="2">
        <f t="shared" si="3"/>
        <v>139.11000000000001</v>
      </c>
      <c r="J79" s="22">
        <f>100*(testdata4[[#This Row],[close]]-testdata4[[#This Row],[LL]])/(testdata4[[#This Row],[HH]]-testdata4[[#This Row],[LL]])</f>
        <v>91.73553719008261</v>
      </c>
      <c r="K79" s="22">
        <f>testdata4[[#This Row],[K(14)'']]</f>
        <v>91.73553719008261</v>
      </c>
      <c r="L79" s="22">
        <f>testdata4[[#This Row],[%K]]-100</f>
        <v>-8.26446280991739</v>
      </c>
      <c r="N79" s="12">
        <v>77</v>
      </c>
      <c r="O79" s="3">
        <v>45020</v>
      </c>
      <c r="P79" s="23" t="s">
        <v>80</v>
      </c>
      <c r="Q79" s="22">
        <f>IF(testdata4[[#This Row],[%R]]&lt;&gt;Table25[[#This Row],[%R]],testdata4[[#This Row],[%R]]-Table25[[#This Row],[%R]],"")</f>
        <v>0</v>
      </c>
      <c r="R79" s="11" t="str">
        <f>IF(OR(Table25[[#This Row],[%R]]&lt;-100,Table25[[#This Row],[%R]]&gt;0),"RANGE_ERR","")</f>
        <v>RANGE_ERR</v>
      </c>
    </row>
    <row r="80" spans="1:18" x14ac:dyDescent="0.35">
      <c r="A80" s="6">
        <v>78</v>
      </c>
      <c r="B80" s="3">
        <v>45021</v>
      </c>
      <c r="C80" s="2">
        <v>137.74</v>
      </c>
      <c r="D80" s="2">
        <v>139.27000000000001</v>
      </c>
      <c r="E80" s="2">
        <v>136.67400000000001</v>
      </c>
      <c r="F80" s="2">
        <v>138.09</v>
      </c>
      <c r="G80" s="1">
        <v>2312060</v>
      </c>
      <c r="H80" s="2">
        <f t="shared" ref="H80:H143" si="4">MIN(E67:E80)</f>
        <v>128.22</v>
      </c>
      <c r="I80" s="2">
        <f t="shared" ref="I80:I143" si="5">MAX(D67:D80)</f>
        <v>139.27000000000001</v>
      </c>
      <c r="J80" s="22">
        <f>100*(testdata4[[#This Row],[close]]-testdata4[[#This Row],[LL]])/(testdata4[[#This Row],[HH]]-testdata4[[#This Row],[LL]])</f>
        <v>89.321266968325745</v>
      </c>
      <c r="K80" s="22">
        <f>testdata4[[#This Row],[K(14)'']]</f>
        <v>89.321266968325745</v>
      </c>
      <c r="L80" s="22">
        <f>testdata4[[#This Row],[%K]]-100</f>
        <v>-10.678733031674255</v>
      </c>
      <c r="N80" s="12">
        <v>78</v>
      </c>
      <c r="O80" s="3">
        <v>45021</v>
      </c>
      <c r="P80" s="23" t="s">
        <v>81</v>
      </c>
      <c r="Q80" s="22">
        <f>IF(testdata4[[#This Row],[%R]]&lt;&gt;Table25[[#This Row],[%R]],testdata4[[#This Row],[%R]]-Table25[[#This Row],[%R]],"")</f>
        <v>-5.5067062021407764E-14</v>
      </c>
      <c r="R80" s="11" t="str">
        <f>IF(OR(Table25[[#This Row],[%R]]&lt;-100,Table25[[#This Row],[%R]]&gt;0),"RANGE_ERR","")</f>
        <v>RANGE_ERR</v>
      </c>
    </row>
    <row r="81" spans="1:18" x14ac:dyDescent="0.35">
      <c r="A81" s="6">
        <v>79</v>
      </c>
      <c r="B81" s="3">
        <v>45022</v>
      </c>
      <c r="C81" s="2">
        <v>138.01</v>
      </c>
      <c r="D81" s="2">
        <v>138.125</v>
      </c>
      <c r="E81" s="2">
        <v>136.59</v>
      </c>
      <c r="F81" s="2">
        <v>138.03</v>
      </c>
      <c r="G81" s="1">
        <v>1206189</v>
      </c>
      <c r="H81" s="2">
        <f t="shared" si="4"/>
        <v>128.22</v>
      </c>
      <c r="I81" s="2">
        <f t="shared" si="5"/>
        <v>139.27000000000001</v>
      </c>
      <c r="J81" s="22">
        <f>100*(testdata4[[#This Row],[close]]-testdata4[[#This Row],[LL]])/(testdata4[[#This Row],[HH]]-testdata4[[#This Row],[LL]])</f>
        <v>88.778280542986352</v>
      </c>
      <c r="K81" s="22">
        <f>testdata4[[#This Row],[K(14)'']]</f>
        <v>88.778280542986352</v>
      </c>
      <c r="L81" s="22">
        <f>testdata4[[#This Row],[%K]]-100</f>
        <v>-11.221719457013648</v>
      </c>
      <c r="N81" s="12">
        <v>79</v>
      </c>
      <c r="O81" s="3">
        <v>45022</v>
      </c>
      <c r="P81" s="23" t="s">
        <v>82</v>
      </c>
      <c r="Q81" s="22">
        <f>IF(testdata4[[#This Row],[%R]]&lt;&gt;Table25[[#This Row],[%R]],testdata4[[#This Row],[%R]]-Table25[[#This Row],[%R]],"")</f>
        <v>-4.7961634663806763E-14</v>
      </c>
      <c r="R81" s="11" t="str">
        <f>IF(OR(Table25[[#This Row],[%R]]&lt;-100,Table25[[#This Row],[%R]]&gt;0),"RANGE_ERR","")</f>
        <v>RANGE_ERR</v>
      </c>
    </row>
    <row r="82" spans="1:18" x14ac:dyDescent="0.35">
      <c r="A82" s="6">
        <v>80</v>
      </c>
      <c r="B82" s="3">
        <v>45026</v>
      </c>
      <c r="C82" s="2">
        <v>137.38</v>
      </c>
      <c r="D82" s="2">
        <v>138.08000000000001</v>
      </c>
      <c r="E82" s="2">
        <v>135.86000000000001</v>
      </c>
      <c r="F82" s="2">
        <v>138.02000000000001</v>
      </c>
      <c r="G82" s="1">
        <v>1104566</v>
      </c>
      <c r="H82" s="2">
        <f t="shared" si="4"/>
        <v>128.22</v>
      </c>
      <c r="I82" s="2">
        <f t="shared" si="5"/>
        <v>139.27000000000001</v>
      </c>
      <c r="J82" s="22">
        <f>100*(testdata4[[#This Row],[close]]-testdata4[[#This Row],[LL]])/(testdata4[[#This Row],[HH]]-testdata4[[#This Row],[LL]])</f>
        <v>88.687782805429876</v>
      </c>
      <c r="K82" s="22">
        <f>testdata4[[#This Row],[K(14)'']]</f>
        <v>88.687782805429876</v>
      </c>
      <c r="L82" s="22">
        <f>testdata4[[#This Row],[%K]]-100</f>
        <v>-11.312217194570124</v>
      </c>
      <c r="N82" s="12">
        <v>80</v>
      </c>
      <c r="O82" s="3">
        <v>45026</v>
      </c>
      <c r="P82" s="23" t="s">
        <v>83</v>
      </c>
      <c r="Q82" s="22">
        <f>IF(testdata4[[#This Row],[%R]]&lt;&gt;Table25[[#This Row],[%R]],testdata4[[#This Row],[%R]]-Table25[[#This Row],[%R]],"")</f>
        <v>-2.3092638912203256E-14</v>
      </c>
      <c r="R82" s="11" t="str">
        <f>IF(OR(Table25[[#This Row],[%R]]&lt;-100,Table25[[#This Row],[%R]]&gt;0),"RANGE_ERR","")</f>
        <v>RANGE_ERR</v>
      </c>
    </row>
    <row r="83" spans="1:18" x14ac:dyDescent="0.35">
      <c r="A83" s="6">
        <v>81</v>
      </c>
      <c r="B83" s="3">
        <v>45027</v>
      </c>
      <c r="C83" s="2">
        <v>138.87</v>
      </c>
      <c r="D83" s="2">
        <v>139.93</v>
      </c>
      <c r="E83" s="2">
        <v>138.15</v>
      </c>
      <c r="F83" s="2">
        <v>138.52000000000001</v>
      </c>
      <c r="G83" s="1">
        <v>1241084</v>
      </c>
      <c r="H83" s="2">
        <f t="shared" si="4"/>
        <v>128.22</v>
      </c>
      <c r="I83" s="2">
        <f t="shared" si="5"/>
        <v>139.93</v>
      </c>
      <c r="J83" s="22">
        <f>100*(testdata4[[#This Row],[close]]-testdata4[[#This Row],[LL]])/(testdata4[[#This Row],[HH]]-testdata4[[#This Row],[LL]])</f>
        <v>87.959009393680645</v>
      </c>
      <c r="K83" s="22">
        <f>testdata4[[#This Row],[K(14)'']]</f>
        <v>87.959009393680645</v>
      </c>
      <c r="L83" s="22">
        <f>testdata4[[#This Row],[%K]]-100</f>
        <v>-12.040990606319355</v>
      </c>
      <c r="N83" s="12">
        <v>81</v>
      </c>
      <c r="O83" s="3">
        <v>45027</v>
      </c>
      <c r="P83" s="23" t="s">
        <v>84</v>
      </c>
      <c r="Q83" s="22">
        <f>IF(testdata4[[#This Row],[%R]]&lt;&gt;Table25[[#This Row],[%R]],testdata4[[#This Row],[%R]]-Table25[[#This Row],[%R]],"")</f>
        <v>-5.5067062021407764E-14</v>
      </c>
      <c r="R83" s="11" t="str">
        <f>IF(OR(Table25[[#This Row],[%R]]&lt;-100,Table25[[#This Row],[%R]]&gt;0),"RANGE_ERR","")</f>
        <v>RANGE_ERR</v>
      </c>
    </row>
    <row r="84" spans="1:18" x14ac:dyDescent="0.35">
      <c r="A84" s="6">
        <v>82</v>
      </c>
      <c r="B84" s="3">
        <v>45028</v>
      </c>
      <c r="C84" s="2">
        <v>140.19</v>
      </c>
      <c r="D84" s="2">
        <v>141.35499999999999</v>
      </c>
      <c r="E84" s="2">
        <v>137.82</v>
      </c>
      <c r="F84" s="2">
        <v>138.36000000000001</v>
      </c>
      <c r="G84" s="1">
        <v>1058466</v>
      </c>
      <c r="H84" s="2">
        <f t="shared" si="4"/>
        <v>128.22</v>
      </c>
      <c r="I84" s="2">
        <f t="shared" si="5"/>
        <v>141.35499999999999</v>
      </c>
      <c r="J84" s="22">
        <f>100*(testdata4[[#This Row],[close]]-testdata4[[#This Row],[LL]])/(testdata4[[#This Row],[HH]]-testdata4[[#This Row],[LL]])</f>
        <v>77.198325085649202</v>
      </c>
      <c r="K84" s="22">
        <f>testdata4[[#This Row],[K(14)'']]</f>
        <v>77.198325085649202</v>
      </c>
      <c r="L84" s="22">
        <f>testdata4[[#This Row],[%K]]-100</f>
        <v>-22.801674914350798</v>
      </c>
      <c r="N84" s="12">
        <v>82</v>
      </c>
      <c r="O84" s="3">
        <v>45028</v>
      </c>
      <c r="P84" s="23" t="s">
        <v>85</v>
      </c>
      <c r="Q84" s="22">
        <f>IF(testdata4[[#This Row],[%R]]&lt;&gt;Table25[[#This Row],[%R]],testdata4[[#This Row],[%R]]-Table25[[#This Row],[%R]],"")</f>
        <v>-9.9475983006414026E-14</v>
      </c>
      <c r="R84" s="11" t="str">
        <f>IF(OR(Table25[[#This Row],[%R]]&lt;-100,Table25[[#This Row],[%R]]&gt;0),"RANGE_ERR","")</f>
        <v>RANGE_ERR</v>
      </c>
    </row>
    <row r="85" spans="1:18" x14ac:dyDescent="0.35">
      <c r="A85" s="6">
        <v>83</v>
      </c>
      <c r="B85" s="3">
        <v>45029</v>
      </c>
      <c r="C85" s="2">
        <v>139.18</v>
      </c>
      <c r="D85" s="2">
        <v>141.47999999999999</v>
      </c>
      <c r="E85" s="2">
        <v>138.99</v>
      </c>
      <c r="F85" s="2">
        <v>141.28</v>
      </c>
      <c r="G85" s="1">
        <v>1030933</v>
      </c>
      <c r="H85" s="2">
        <f t="shared" si="4"/>
        <v>128.22</v>
      </c>
      <c r="I85" s="2">
        <f t="shared" si="5"/>
        <v>141.47999999999999</v>
      </c>
      <c r="J85" s="22">
        <f>100*(testdata4[[#This Row],[close]]-testdata4[[#This Row],[LL]])/(testdata4[[#This Row],[HH]]-testdata4[[#This Row],[LL]])</f>
        <v>98.491704374057406</v>
      </c>
      <c r="K85" s="22">
        <f>testdata4[[#This Row],[K(14)'']]</f>
        <v>98.491704374057406</v>
      </c>
      <c r="L85" s="22">
        <f>testdata4[[#This Row],[%K]]-100</f>
        <v>-1.5082956259425941</v>
      </c>
      <c r="N85" s="12">
        <v>83</v>
      </c>
      <c r="O85" s="3">
        <v>45029</v>
      </c>
      <c r="P85" s="23" t="s">
        <v>86</v>
      </c>
      <c r="Q85" s="22">
        <f>IF(testdata4[[#This Row],[%R]]&lt;&gt;Table25[[#This Row],[%R]],testdata4[[#This Row],[%R]]-Table25[[#This Row],[%R]],"")</f>
        <v>-4.2188474935755949E-15</v>
      </c>
      <c r="R85" s="11" t="str">
        <f>IF(OR(Table25[[#This Row],[%R]]&lt;-100,Table25[[#This Row],[%R]]&gt;0),"RANGE_ERR","")</f>
        <v>RANGE_ERR</v>
      </c>
    </row>
    <row r="86" spans="1:18" x14ac:dyDescent="0.35">
      <c r="A86" s="6">
        <v>84</v>
      </c>
      <c r="B86" s="3">
        <v>45030</v>
      </c>
      <c r="C86" s="2">
        <v>140.36000000000001</v>
      </c>
      <c r="D86" s="2">
        <v>141.19</v>
      </c>
      <c r="E86" s="2">
        <v>138.93</v>
      </c>
      <c r="F86" s="2">
        <v>139.19999999999999</v>
      </c>
      <c r="G86" s="1">
        <v>954259</v>
      </c>
      <c r="H86" s="2">
        <f t="shared" si="4"/>
        <v>132.01079999999999</v>
      </c>
      <c r="I86" s="2">
        <f t="shared" si="5"/>
        <v>141.47999999999999</v>
      </c>
      <c r="J86" s="22">
        <f>100*(testdata4[[#This Row],[close]]-testdata4[[#This Row],[LL]])/(testdata4[[#This Row],[HH]]-testdata4[[#This Row],[LL]])</f>
        <v>75.921936383221379</v>
      </c>
      <c r="K86" s="22">
        <f>testdata4[[#This Row],[K(14)'']]</f>
        <v>75.921936383221379</v>
      </c>
      <c r="L86" s="22">
        <f>testdata4[[#This Row],[%K]]-100</f>
        <v>-24.078063616778621</v>
      </c>
      <c r="N86" s="12">
        <v>84</v>
      </c>
      <c r="O86" s="3">
        <v>45030</v>
      </c>
      <c r="P86" s="23" t="s">
        <v>87</v>
      </c>
      <c r="Q86" s="22">
        <f>IF(testdata4[[#This Row],[%R]]&lt;&gt;Table25[[#This Row],[%R]],testdata4[[#This Row],[%R]]-Table25[[#This Row],[%R]],"")</f>
        <v>-2.1316282072803006E-14</v>
      </c>
      <c r="R86" s="11" t="str">
        <f>IF(OR(Table25[[#This Row],[%R]]&lt;-100,Table25[[#This Row],[%R]]&gt;0),"RANGE_ERR","")</f>
        <v>RANGE_ERR</v>
      </c>
    </row>
    <row r="87" spans="1:18" x14ac:dyDescent="0.35">
      <c r="A87" s="6">
        <v>85</v>
      </c>
      <c r="B87" s="3">
        <v>45033</v>
      </c>
      <c r="C87" s="2">
        <v>139.62</v>
      </c>
      <c r="D87" s="2">
        <v>140.21</v>
      </c>
      <c r="E87" s="2">
        <v>138.88999999999999</v>
      </c>
      <c r="F87" s="2">
        <v>140.19</v>
      </c>
      <c r="G87" s="1">
        <v>1115522</v>
      </c>
      <c r="H87" s="2">
        <f t="shared" si="4"/>
        <v>132.01079999999999</v>
      </c>
      <c r="I87" s="2">
        <f t="shared" si="5"/>
        <v>141.47999999999999</v>
      </c>
      <c r="J87" s="22">
        <f>100*(testdata4[[#This Row],[close]]-testdata4[[#This Row],[LL]])/(testdata4[[#This Row],[HH]]-testdata4[[#This Row],[LL]])</f>
        <v>86.376885058927982</v>
      </c>
      <c r="K87" s="22">
        <f>testdata4[[#This Row],[K(14)'']]</f>
        <v>86.376885058927982</v>
      </c>
      <c r="L87" s="22">
        <f>testdata4[[#This Row],[%K]]-100</f>
        <v>-13.623114941072018</v>
      </c>
      <c r="N87" s="12">
        <v>85</v>
      </c>
      <c r="O87" s="3">
        <v>45033</v>
      </c>
      <c r="P87" s="23" t="s">
        <v>88</v>
      </c>
      <c r="Q87" s="22">
        <f>IF(testdata4[[#This Row],[%R]]&lt;&gt;Table25[[#This Row],[%R]],testdata4[[#This Row],[%R]]-Table25[[#This Row],[%R]],"")</f>
        <v>-1.7763568394002505E-14</v>
      </c>
      <c r="R87" s="11" t="str">
        <f>IF(OR(Table25[[#This Row],[%R]]&lt;-100,Table25[[#This Row],[%R]]&gt;0),"RANGE_ERR","")</f>
        <v>RANGE_ERR</v>
      </c>
    </row>
    <row r="88" spans="1:18" x14ac:dyDescent="0.35">
      <c r="A88" s="6">
        <v>86</v>
      </c>
      <c r="B88" s="3">
        <v>45034</v>
      </c>
      <c r="C88" s="2">
        <v>140.72999999999999</v>
      </c>
      <c r="D88" s="2">
        <v>140.99</v>
      </c>
      <c r="E88" s="2">
        <v>138.21</v>
      </c>
      <c r="F88" s="2">
        <v>139</v>
      </c>
      <c r="G88" s="1">
        <v>1218852</v>
      </c>
      <c r="H88" s="2">
        <f t="shared" si="4"/>
        <v>132.6301</v>
      </c>
      <c r="I88" s="2">
        <f t="shared" si="5"/>
        <v>141.47999999999999</v>
      </c>
      <c r="J88" s="22">
        <f>100*(testdata4[[#This Row],[close]]-testdata4[[#This Row],[LL]])/(testdata4[[#This Row],[HH]]-testdata4[[#This Row],[LL]])</f>
        <v>71.977084486830449</v>
      </c>
      <c r="K88" s="22">
        <f>testdata4[[#This Row],[K(14)'']]</f>
        <v>71.977084486830449</v>
      </c>
      <c r="L88" s="22">
        <f>testdata4[[#This Row],[%K]]-100</f>
        <v>-28.022915513169551</v>
      </c>
      <c r="N88" s="12">
        <v>86</v>
      </c>
      <c r="O88" s="3">
        <v>45034</v>
      </c>
      <c r="P88" s="23" t="s">
        <v>89</v>
      </c>
      <c r="Q88" s="22">
        <f>IF(testdata4[[#This Row],[%R]]&lt;&gt;Table25[[#This Row],[%R]],testdata4[[#This Row],[%R]]-Table25[[#This Row],[%R]],"")</f>
        <v>-4.9737991503207013E-14</v>
      </c>
      <c r="R88" s="11" t="str">
        <f>IF(OR(Table25[[#This Row],[%R]]&lt;-100,Table25[[#This Row],[%R]]&gt;0),"RANGE_ERR","")</f>
        <v>RANGE_ERR</v>
      </c>
    </row>
    <row r="89" spans="1:18" x14ac:dyDescent="0.35">
      <c r="A89" s="6">
        <v>87</v>
      </c>
      <c r="B89" s="3">
        <v>45035</v>
      </c>
      <c r="C89" s="2">
        <v>138.37</v>
      </c>
      <c r="D89" s="2">
        <v>139.61500000000001</v>
      </c>
      <c r="E89" s="2">
        <v>137.68</v>
      </c>
      <c r="F89" s="2">
        <v>138.93</v>
      </c>
      <c r="G89" s="1">
        <v>1178444</v>
      </c>
      <c r="H89" s="2">
        <f t="shared" si="4"/>
        <v>133.32</v>
      </c>
      <c r="I89" s="2">
        <f t="shared" si="5"/>
        <v>141.47999999999999</v>
      </c>
      <c r="J89" s="22">
        <f>100*(testdata4[[#This Row],[close]]-testdata4[[#This Row],[LL]])/(testdata4[[#This Row],[HH]]-testdata4[[#This Row],[LL]])</f>
        <v>68.750000000000199</v>
      </c>
      <c r="K89" s="22">
        <f>testdata4[[#This Row],[K(14)'']]</f>
        <v>68.750000000000199</v>
      </c>
      <c r="L89" s="22">
        <f>testdata4[[#This Row],[%K]]-100</f>
        <v>-31.249999999999801</v>
      </c>
      <c r="N89" s="12">
        <v>87</v>
      </c>
      <c r="O89" s="3">
        <v>45035</v>
      </c>
      <c r="P89" s="23" t="s">
        <v>90</v>
      </c>
      <c r="Q89" s="22">
        <f>IF(testdata4[[#This Row],[%R]]&lt;&gt;Table25[[#This Row],[%R]],testdata4[[#This Row],[%R]]-Table25[[#This Row],[%R]],"")</f>
        <v>0</v>
      </c>
      <c r="R89" s="11" t="str">
        <f>IF(OR(Table25[[#This Row],[%R]]&lt;-100,Table25[[#This Row],[%R]]&gt;0),"RANGE_ERR","")</f>
        <v>RANGE_ERR</v>
      </c>
    </row>
    <row r="90" spans="1:18" x14ac:dyDescent="0.35">
      <c r="A90" s="6">
        <v>88</v>
      </c>
      <c r="B90" s="3">
        <v>45036</v>
      </c>
      <c r="C90" s="2">
        <v>136.86000000000001</v>
      </c>
      <c r="D90" s="2">
        <v>137.05000000000001</v>
      </c>
      <c r="E90" s="2">
        <v>134.87299999999999</v>
      </c>
      <c r="F90" s="2">
        <v>135.53</v>
      </c>
      <c r="G90" s="1">
        <v>1325862</v>
      </c>
      <c r="H90" s="2">
        <f t="shared" si="4"/>
        <v>134.86000000000001</v>
      </c>
      <c r="I90" s="2">
        <f t="shared" si="5"/>
        <v>141.47999999999999</v>
      </c>
      <c r="J90" s="22">
        <f>100*(testdata4[[#This Row],[close]]-testdata4[[#This Row],[LL]])/(testdata4[[#This Row],[HH]]-testdata4[[#This Row],[LL]])</f>
        <v>10.120845921449998</v>
      </c>
      <c r="K90" s="22">
        <f>testdata4[[#This Row],[K(14)'']]</f>
        <v>10.120845921449998</v>
      </c>
      <c r="L90" s="22">
        <f>testdata4[[#This Row],[%K]]-100</f>
        <v>-89.879154078550002</v>
      </c>
      <c r="N90" s="12">
        <v>88</v>
      </c>
      <c r="O90" s="3">
        <v>45036</v>
      </c>
      <c r="P90" s="23" t="s">
        <v>91</v>
      </c>
      <c r="Q90" s="22">
        <f>IF(testdata4[[#This Row],[%R]]&lt;&gt;Table25[[#This Row],[%R]],testdata4[[#This Row],[%R]]-Table25[[#This Row],[%R]],"")</f>
        <v>0</v>
      </c>
      <c r="R90" s="11" t="str">
        <f>IF(OR(Table25[[#This Row],[%R]]&lt;-100,Table25[[#This Row],[%R]]&gt;0),"RANGE_ERR","")</f>
        <v>RANGE_ERR</v>
      </c>
    </row>
    <row r="91" spans="1:18" x14ac:dyDescent="0.35">
      <c r="A91" s="6">
        <v>89</v>
      </c>
      <c r="B91" s="3">
        <v>45037</v>
      </c>
      <c r="C91" s="2">
        <v>136.21</v>
      </c>
      <c r="D91" s="2">
        <v>138.56</v>
      </c>
      <c r="E91" s="2">
        <v>136.21</v>
      </c>
      <c r="F91" s="2">
        <v>138.5</v>
      </c>
      <c r="G91" s="1">
        <v>1533623</v>
      </c>
      <c r="H91" s="2">
        <f t="shared" si="4"/>
        <v>134.87299999999999</v>
      </c>
      <c r="I91" s="2">
        <f t="shared" si="5"/>
        <v>141.47999999999999</v>
      </c>
      <c r="J91" s="22">
        <f>100*(testdata4[[#This Row],[close]]-testdata4[[#This Row],[LL]])/(testdata4[[#This Row],[HH]]-testdata4[[#This Row],[LL]])</f>
        <v>54.896322082639777</v>
      </c>
      <c r="K91" s="22">
        <f>testdata4[[#This Row],[K(14)'']]</f>
        <v>54.896322082639777</v>
      </c>
      <c r="L91" s="22">
        <f>testdata4[[#This Row],[%K]]-100</f>
        <v>-45.103677917360223</v>
      </c>
      <c r="N91" s="12">
        <v>89</v>
      </c>
      <c r="O91" s="3">
        <v>45037</v>
      </c>
      <c r="P91" s="23" t="s">
        <v>92</v>
      </c>
      <c r="Q91" s="22">
        <f>IF(testdata4[[#This Row],[%R]]&lt;&gt;Table25[[#This Row],[%R]],testdata4[[#This Row],[%R]]-Table25[[#This Row],[%R]],"")</f>
        <v>-2.1316282072803006E-14</v>
      </c>
      <c r="R91" s="11" t="str">
        <f>IF(OR(Table25[[#This Row],[%R]]&lt;-100,Table25[[#This Row],[%R]]&gt;0),"RANGE_ERR","")</f>
        <v>RANGE_ERR</v>
      </c>
    </row>
    <row r="92" spans="1:18" x14ac:dyDescent="0.35">
      <c r="A92" s="6">
        <v>90</v>
      </c>
      <c r="B92" s="3">
        <v>45040</v>
      </c>
      <c r="C92" s="2">
        <v>138.80000000000001</v>
      </c>
      <c r="D92" s="2">
        <v>139.52000000000001</v>
      </c>
      <c r="E92" s="2">
        <v>138.09</v>
      </c>
      <c r="F92" s="2">
        <v>138.47999999999999</v>
      </c>
      <c r="G92" s="1">
        <v>856654</v>
      </c>
      <c r="H92" s="2">
        <f t="shared" si="4"/>
        <v>134.87299999999999</v>
      </c>
      <c r="I92" s="2">
        <f t="shared" si="5"/>
        <v>141.47999999999999</v>
      </c>
      <c r="J92" s="22">
        <f>100*(testdata4[[#This Row],[close]]-testdata4[[#This Row],[LL]])/(testdata4[[#This Row],[HH]]-testdata4[[#This Row],[LL]])</f>
        <v>54.593612834872104</v>
      </c>
      <c r="K92" s="22">
        <f>testdata4[[#This Row],[K(14)'']]</f>
        <v>54.593612834872104</v>
      </c>
      <c r="L92" s="22">
        <f>testdata4[[#This Row],[%K]]-100</f>
        <v>-45.406387165127896</v>
      </c>
      <c r="N92" s="12">
        <v>90</v>
      </c>
      <c r="O92" s="3">
        <v>45040</v>
      </c>
      <c r="P92" s="23" t="s">
        <v>93</v>
      </c>
      <c r="Q92" s="22">
        <f>IF(testdata4[[#This Row],[%R]]&lt;&gt;Table25[[#This Row],[%R]],testdata4[[#This Row],[%R]]-Table25[[#This Row],[%R]],"")</f>
        <v>-9.2370555648813024E-14</v>
      </c>
      <c r="R92" s="11" t="str">
        <f>IF(OR(Table25[[#This Row],[%R]]&lt;-100,Table25[[#This Row],[%R]]&gt;0),"RANGE_ERR","")</f>
        <v>RANGE_ERR</v>
      </c>
    </row>
    <row r="93" spans="1:18" x14ac:dyDescent="0.35">
      <c r="A93" s="6">
        <v>91</v>
      </c>
      <c r="B93" s="3">
        <v>45041</v>
      </c>
      <c r="C93" s="2">
        <v>136.54</v>
      </c>
      <c r="D93" s="2">
        <v>136.78</v>
      </c>
      <c r="E93" s="2">
        <v>129.72</v>
      </c>
      <c r="F93" s="2">
        <v>130.37</v>
      </c>
      <c r="G93" s="1">
        <v>2154945</v>
      </c>
      <c r="H93" s="2">
        <f t="shared" si="4"/>
        <v>129.72</v>
      </c>
      <c r="I93" s="2">
        <f t="shared" si="5"/>
        <v>141.47999999999999</v>
      </c>
      <c r="J93" s="22">
        <f>100*(testdata4[[#This Row],[close]]-testdata4[[#This Row],[LL]])/(testdata4[[#This Row],[HH]]-testdata4[[#This Row],[LL]])</f>
        <v>5.5272108843537939</v>
      </c>
      <c r="K93" s="22">
        <f>testdata4[[#This Row],[K(14)'']]</f>
        <v>5.5272108843537939</v>
      </c>
      <c r="L93" s="22">
        <f>testdata4[[#This Row],[%K]]-100</f>
        <v>-94.472789115646208</v>
      </c>
      <c r="N93" s="12">
        <v>91</v>
      </c>
      <c r="O93" s="3">
        <v>45041</v>
      </c>
      <c r="P93" s="23" t="s">
        <v>94</v>
      </c>
      <c r="Q93" s="22">
        <f>IF(testdata4[[#This Row],[%R]]&lt;&gt;Table25[[#This Row],[%R]],testdata4[[#This Row],[%R]]-Table25[[#This Row],[%R]],"")</f>
        <v>-1.4210854715202004E-14</v>
      </c>
      <c r="R93" s="11" t="str">
        <f>IF(OR(Table25[[#This Row],[%R]]&lt;-100,Table25[[#This Row],[%R]]&gt;0),"RANGE_ERR","")</f>
        <v>RANGE_ERR</v>
      </c>
    </row>
    <row r="94" spans="1:18" x14ac:dyDescent="0.35">
      <c r="A94" s="6">
        <v>92</v>
      </c>
      <c r="B94" s="3">
        <v>45042</v>
      </c>
      <c r="C94" s="2">
        <v>128.15</v>
      </c>
      <c r="D94" s="2">
        <v>133.84</v>
      </c>
      <c r="E94" s="2">
        <v>128.11000000000001</v>
      </c>
      <c r="F94" s="2">
        <v>133.12</v>
      </c>
      <c r="G94" s="1">
        <v>3003752</v>
      </c>
      <c r="H94" s="2">
        <f t="shared" si="4"/>
        <v>128.11000000000001</v>
      </c>
      <c r="I94" s="2">
        <f t="shared" si="5"/>
        <v>141.47999999999999</v>
      </c>
      <c r="J94" s="22">
        <f>100*(testdata4[[#This Row],[close]]-testdata4[[#This Row],[LL]])/(testdata4[[#This Row],[HH]]-testdata4[[#This Row],[LL]])</f>
        <v>37.471952131637991</v>
      </c>
      <c r="K94" s="22">
        <f>testdata4[[#This Row],[K(14)'']]</f>
        <v>37.471952131637991</v>
      </c>
      <c r="L94" s="22">
        <f>testdata4[[#This Row],[%K]]-100</f>
        <v>-62.528047868362009</v>
      </c>
      <c r="N94" s="12">
        <v>92</v>
      </c>
      <c r="O94" s="3">
        <v>45042</v>
      </c>
      <c r="P94" s="23" t="s">
        <v>95</v>
      </c>
      <c r="Q94" s="22">
        <f>IF(testdata4[[#This Row],[%R]]&lt;&gt;Table25[[#This Row],[%R]],testdata4[[#This Row],[%R]]-Table25[[#This Row],[%R]],"")</f>
        <v>-7.1054273576010019E-15</v>
      </c>
      <c r="R94" s="11" t="str">
        <f>IF(OR(Table25[[#This Row],[%R]]&lt;-100,Table25[[#This Row],[%R]]&gt;0),"RANGE_ERR","")</f>
        <v>RANGE_ERR</v>
      </c>
    </row>
    <row r="95" spans="1:18" x14ac:dyDescent="0.35">
      <c r="A95" s="6">
        <v>93</v>
      </c>
      <c r="B95" s="3">
        <v>45043</v>
      </c>
      <c r="C95" s="2">
        <v>132.96</v>
      </c>
      <c r="D95" s="2">
        <v>133.86000000000001</v>
      </c>
      <c r="E95" s="2">
        <v>131.33000000000001</v>
      </c>
      <c r="F95" s="2">
        <v>133.25</v>
      </c>
      <c r="G95" s="1">
        <v>1125334</v>
      </c>
      <c r="H95" s="2">
        <f t="shared" si="4"/>
        <v>128.11000000000001</v>
      </c>
      <c r="I95" s="2">
        <f t="shared" si="5"/>
        <v>141.47999999999999</v>
      </c>
      <c r="J95" s="22">
        <f>100*(testdata4[[#This Row],[close]]-testdata4[[#This Row],[LL]])/(testdata4[[#This Row],[HH]]-testdata4[[#This Row],[LL]])</f>
        <v>38.444278234854117</v>
      </c>
      <c r="K95" s="22">
        <f>testdata4[[#This Row],[K(14)'']]</f>
        <v>38.444278234854117</v>
      </c>
      <c r="L95" s="22">
        <f>testdata4[[#This Row],[%K]]-100</f>
        <v>-61.555721765145883</v>
      </c>
      <c r="N95" s="12">
        <v>93</v>
      </c>
      <c r="O95" s="3">
        <v>45043</v>
      </c>
      <c r="P95" s="23" t="s">
        <v>96</v>
      </c>
      <c r="Q95" s="22">
        <f>IF(testdata4[[#This Row],[%R]]&lt;&gt;Table25[[#This Row],[%R]],testdata4[[#This Row],[%R]]-Table25[[#This Row],[%R]],"")</f>
        <v>-8.5265128291212022E-14</v>
      </c>
      <c r="R95" s="11" t="str">
        <f>IF(OR(Table25[[#This Row],[%R]]&lt;-100,Table25[[#This Row],[%R]]&gt;0),"RANGE_ERR","")</f>
        <v>RANGE_ERR</v>
      </c>
    </row>
    <row r="96" spans="1:18" x14ac:dyDescent="0.35">
      <c r="A96" s="6">
        <v>94</v>
      </c>
      <c r="B96" s="3">
        <v>45044</v>
      </c>
      <c r="C96" s="2">
        <v>133.44999999999999</v>
      </c>
      <c r="D96" s="2">
        <v>136.93</v>
      </c>
      <c r="E96" s="2">
        <v>133.44999999999999</v>
      </c>
      <c r="F96" s="2">
        <v>135.43</v>
      </c>
      <c r="G96" s="1">
        <v>2032773</v>
      </c>
      <c r="H96" s="2">
        <f t="shared" si="4"/>
        <v>128.11000000000001</v>
      </c>
      <c r="I96" s="2">
        <f t="shared" si="5"/>
        <v>141.47999999999999</v>
      </c>
      <c r="J96" s="22">
        <f>100*(testdata4[[#This Row],[close]]-testdata4[[#This Row],[LL]])/(testdata4[[#This Row],[HH]]-testdata4[[#This Row],[LL]])</f>
        <v>54.749439042632808</v>
      </c>
      <c r="K96" s="22">
        <f>testdata4[[#This Row],[K(14)'']]</f>
        <v>54.749439042632808</v>
      </c>
      <c r="L96" s="22">
        <f>testdata4[[#This Row],[%K]]-100</f>
        <v>-45.250560957367192</v>
      </c>
      <c r="N96" s="12">
        <v>94</v>
      </c>
      <c r="O96" s="3">
        <v>45044</v>
      </c>
      <c r="P96" s="23" t="s">
        <v>97</v>
      </c>
      <c r="Q96" s="22">
        <f>IF(testdata4[[#This Row],[%R]]&lt;&gt;Table25[[#This Row],[%R]],testdata4[[#This Row],[%R]]-Table25[[#This Row],[%R]],"")</f>
        <v>-9.2370555648813024E-14</v>
      </c>
      <c r="R96" s="11" t="str">
        <f>IF(OR(Table25[[#This Row],[%R]]&lt;-100,Table25[[#This Row],[%R]]&gt;0),"RANGE_ERR","")</f>
        <v>RANGE_ERR</v>
      </c>
    </row>
    <row r="97" spans="1:18" x14ac:dyDescent="0.35">
      <c r="A97" s="6">
        <v>95</v>
      </c>
      <c r="B97" s="3">
        <v>45047</v>
      </c>
      <c r="C97" s="2">
        <v>136.02000000000001</v>
      </c>
      <c r="D97" s="2">
        <v>137.13999999999999</v>
      </c>
      <c r="E97" s="2">
        <v>135.76</v>
      </c>
      <c r="F97" s="2">
        <v>136.08000000000001</v>
      </c>
      <c r="G97" s="1">
        <v>1012903</v>
      </c>
      <c r="H97" s="2">
        <f t="shared" si="4"/>
        <v>128.11000000000001</v>
      </c>
      <c r="I97" s="2">
        <f t="shared" si="5"/>
        <v>141.47999999999999</v>
      </c>
      <c r="J97" s="22">
        <f>100*(testdata4[[#This Row],[close]]-testdata4[[#This Row],[LL]])/(testdata4[[#This Row],[HH]]-testdata4[[#This Row],[LL]])</f>
        <v>59.611069558713638</v>
      </c>
      <c r="K97" s="22">
        <f>testdata4[[#This Row],[K(14)'']]</f>
        <v>59.611069558713638</v>
      </c>
      <c r="L97" s="22">
        <f>testdata4[[#This Row],[%K]]-100</f>
        <v>-40.388930441286362</v>
      </c>
      <c r="N97" s="12">
        <v>95</v>
      </c>
      <c r="O97" s="3">
        <v>45047</v>
      </c>
      <c r="P97" s="23" t="s">
        <v>98</v>
      </c>
      <c r="Q97" s="22">
        <f>IF(testdata4[[#This Row],[%R]]&lt;&gt;Table25[[#This Row],[%R]],testdata4[[#This Row],[%R]]-Table25[[#This Row],[%R]],"")</f>
        <v>-6.3948846218409017E-14</v>
      </c>
      <c r="R97" s="11" t="str">
        <f>IF(OR(Table25[[#This Row],[%R]]&lt;-100,Table25[[#This Row],[%R]]&gt;0),"RANGE_ERR","")</f>
        <v>RANGE_ERR</v>
      </c>
    </row>
    <row r="98" spans="1:18" x14ac:dyDescent="0.35">
      <c r="A98" s="6">
        <v>96</v>
      </c>
      <c r="B98" s="3">
        <v>45048</v>
      </c>
      <c r="C98" s="2">
        <v>135.02000000000001</v>
      </c>
      <c r="D98" s="2">
        <v>137.16</v>
      </c>
      <c r="E98" s="2">
        <v>134.255</v>
      </c>
      <c r="F98" s="2">
        <v>134.52000000000001</v>
      </c>
      <c r="G98" s="1">
        <v>1629649</v>
      </c>
      <c r="H98" s="2">
        <f t="shared" si="4"/>
        <v>128.11000000000001</v>
      </c>
      <c r="I98" s="2">
        <f t="shared" si="5"/>
        <v>141.47999999999999</v>
      </c>
      <c r="J98" s="22">
        <f>100*(testdata4[[#This Row],[close]]-testdata4[[#This Row],[LL]])/(testdata4[[#This Row],[HH]]-testdata4[[#This Row],[LL]])</f>
        <v>47.943156320119733</v>
      </c>
      <c r="K98" s="22">
        <f>testdata4[[#This Row],[K(14)'']]</f>
        <v>47.943156320119733</v>
      </c>
      <c r="L98" s="22">
        <f>testdata4[[#This Row],[%K]]-100</f>
        <v>-52.056843679880267</v>
      </c>
      <c r="N98" s="12">
        <v>96</v>
      </c>
      <c r="O98" s="3">
        <v>45048</v>
      </c>
      <c r="P98" s="23" t="s">
        <v>99</v>
      </c>
      <c r="Q98" s="22">
        <f>IF(testdata4[[#This Row],[%R]]&lt;&gt;Table25[[#This Row],[%R]],testdata4[[#This Row],[%R]]-Table25[[#This Row],[%R]],"")</f>
        <v>-6.3948846218409017E-14</v>
      </c>
      <c r="R98" s="11" t="str">
        <f>IF(OR(Table25[[#This Row],[%R]]&lt;-100,Table25[[#This Row],[%R]]&gt;0),"RANGE_ERR","")</f>
        <v>RANGE_ERR</v>
      </c>
    </row>
    <row r="99" spans="1:18" x14ac:dyDescent="0.35">
      <c r="A99" s="6">
        <v>97</v>
      </c>
      <c r="B99" s="3">
        <v>45049</v>
      </c>
      <c r="C99" s="2">
        <v>135.88999999999999</v>
      </c>
      <c r="D99" s="2">
        <v>136.54</v>
      </c>
      <c r="E99" s="2">
        <v>134.63</v>
      </c>
      <c r="F99" s="2">
        <v>134.77000000000001</v>
      </c>
      <c r="G99" s="1">
        <v>1529073</v>
      </c>
      <c r="H99" s="2">
        <f t="shared" si="4"/>
        <v>128.11000000000001</v>
      </c>
      <c r="I99" s="2">
        <f t="shared" si="5"/>
        <v>141.19</v>
      </c>
      <c r="J99" s="22">
        <f>100*(testdata4[[#This Row],[close]]-testdata4[[#This Row],[LL]])/(testdata4[[#This Row],[HH]]-testdata4[[#This Row],[LL]])</f>
        <v>50.917431192660587</v>
      </c>
      <c r="K99" s="22">
        <f>testdata4[[#This Row],[K(14)'']]</f>
        <v>50.917431192660587</v>
      </c>
      <c r="L99" s="22">
        <f>testdata4[[#This Row],[%K]]-100</f>
        <v>-49.082568807339413</v>
      </c>
      <c r="N99" s="12">
        <v>97</v>
      </c>
      <c r="O99" s="3">
        <v>45049</v>
      </c>
      <c r="P99" s="23" t="s">
        <v>100</v>
      </c>
      <c r="Q99" s="22">
        <f>IF(testdata4[[#This Row],[%R]]&lt;&gt;Table25[[#This Row],[%R]],testdata4[[#This Row],[%R]]-Table25[[#This Row],[%R]],"")</f>
        <v>-1.4210854715202004E-14</v>
      </c>
      <c r="R99" s="11" t="str">
        <f>IF(OR(Table25[[#This Row],[%R]]&lt;-100,Table25[[#This Row],[%R]]&gt;0),"RANGE_ERR","")</f>
        <v>RANGE_ERR</v>
      </c>
    </row>
    <row r="100" spans="1:18" x14ac:dyDescent="0.35">
      <c r="A100" s="6">
        <v>98</v>
      </c>
      <c r="B100" s="3">
        <v>45050</v>
      </c>
      <c r="C100" s="2">
        <v>135.38</v>
      </c>
      <c r="D100" s="2">
        <v>136.04</v>
      </c>
      <c r="E100" s="2">
        <v>133.76</v>
      </c>
      <c r="F100" s="2">
        <v>133.88</v>
      </c>
      <c r="G100" s="1">
        <v>1103693</v>
      </c>
      <c r="H100" s="2">
        <f t="shared" si="4"/>
        <v>128.11000000000001</v>
      </c>
      <c r="I100" s="2">
        <f t="shared" si="5"/>
        <v>140.99</v>
      </c>
      <c r="J100" s="22">
        <f>100*(testdata4[[#This Row],[close]]-testdata4[[#This Row],[LL]])/(testdata4[[#This Row],[HH]]-testdata4[[#This Row],[LL]])</f>
        <v>44.798136645962607</v>
      </c>
      <c r="K100" s="22">
        <f>testdata4[[#This Row],[K(14)'']]</f>
        <v>44.798136645962607</v>
      </c>
      <c r="L100" s="22">
        <f>testdata4[[#This Row],[%K]]-100</f>
        <v>-55.201863354037393</v>
      </c>
      <c r="N100" s="12">
        <v>98</v>
      </c>
      <c r="O100" s="3">
        <v>45050</v>
      </c>
      <c r="P100" s="23" t="s">
        <v>101</v>
      </c>
      <c r="Q100" s="22">
        <f>IF(testdata4[[#This Row],[%R]]&lt;&gt;Table25[[#This Row],[%R]],testdata4[[#This Row],[%R]]-Table25[[#This Row],[%R]],"")</f>
        <v>-9.2370555648813024E-14</v>
      </c>
      <c r="R100" s="11" t="str">
        <f>IF(OR(Table25[[#This Row],[%R]]&lt;-100,Table25[[#This Row],[%R]]&gt;0),"RANGE_ERR","")</f>
        <v>RANGE_ERR</v>
      </c>
    </row>
    <row r="101" spans="1:18" x14ac:dyDescent="0.35">
      <c r="A101" s="6">
        <v>99</v>
      </c>
      <c r="B101" s="3">
        <v>45051</v>
      </c>
      <c r="C101" s="2">
        <v>135.30000000000001</v>
      </c>
      <c r="D101" s="2">
        <v>135.41</v>
      </c>
      <c r="E101" s="2">
        <v>131.905</v>
      </c>
      <c r="F101" s="2">
        <v>133.30000000000001</v>
      </c>
      <c r="G101" s="1">
        <v>1890140</v>
      </c>
      <c r="H101" s="2">
        <f t="shared" si="4"/>
        <v>128.11000000000001</v>
      </c>
      <c r="I101" s="2">
        <f t="shared" si="5"/>
        <v>140.99</v>
      </c>
      <c r="J101" s="22">
        <f>100*(testdata4[[#This Row],[close]]-testdata4[[#This Row],[LL]])/(testdata4[[#This Row],[HH]]-testdata4[[#This Row],[LL]])</f>
        <v>40.295031055900616</v>
      </c>
      <c r="K101" s="22">
        <f>testdata4[[#This Row],[K(14)'']]</f>
        <v>40.295031055900616</v>
      </c>
      <c r="L101" s="22">
        <f>testdata4[[#This Row],[%K]]-100</f>
        <v>-59.704968944099384</v>
      </c>
      <c r="N101" s="12">
        <v>99</v>
      </c>
      <c r="O101" s="3">
        <v>45051</v>
      </c>
      <c r="P101" s="23" t="s">
        <v>102</v>
      </c>
      <c r="Q101" s="22">
        <f>IF(testdata4[[#This Row],[%R]]&lt;&gt;Table25[[#This Row],[%R]],testdata4[[#This Row],[%R]]-Table25[[#This Row],[%R]],"")</f>
        <v>-8.5265128291212022E-14</v>
      </c>
      <c r="R101" s="11" t="str">
        <f>IF(OR(Table25[[#This Row],[%R]]&lt;-100,Table25[[#This Row],[%R]]&gt;0),"RANGE_ERR","")</f>
        <v>RANGE_ERR</v>
      </c>
    </row>
    <row r="102" spans="1:18" x14ac:dyDescent="0.35">
      <c r="A102" s="6">
        <v>100</v>
      </c>
      <c r="B102" s="3">
        <v>45054</v>
      </c>
      <c r="C102" s="2">
        <v>134.01</v>
      </c>
      <c r="D102" s="2">
        <v>134.21</v>
      </c>
      <c r="E102" s="2">
        <v>131.75</v>
      </c>
      <c r="F102" s="2">
        <v>132.44999999999999</v>
      </c>
      <c r="G102" s="1">
        <v>1005342</v>
      </c>
      <c r="H102" s="2">
        <f t="shared" si="4"/>
        <v>128.11000000000001</v>
      </c>
      <c r="I102" s="2">
        <f t="shared" si="5"/>
        <v>139.61500000000001</v>
      </c>
      <c r="J102" s="22">
        <f>100*(testdata4[[#This Row],[close]]-testdata4[[#This Row],[LL]])/(testdata4[[#This Row],[HH]]-testdata4[[#This Row],[LL]])</f>
        <v>37.722729248152774</v>
      </c>
      <c r="K102" s="22">
        <f>testdata4[[#This Row],[K(14)'']]</f>
        <v>37.722729248152774</v>
      </c>
      <c r="L102" s="22">
        <f>testdata4[[#This Row],[%K]]-100</f>
        <v>-62.277270751847226</v>
      </c>
      <c r="N102" s="12">
        <v>100</v>
      </c>
      <c r="O102" s="3">
        <v>45054</v>
      </c>
      <c r="P102" s="23" t="s">
        <v>103</v>
      </c>
      <c r="Q102" s="22">
        <f>IF(testdata4[[#This Row],[%R]]&lt;&gt;Table25[[#This Row],[%R]],testdata4[[#This Row],[%R]]-Table25[[#This Row],[%R]],"")</f>
        <v>-2.8421709430404007E-14</v>
      </c>
      <c r="R102" s="11" t="str">
        <f>IF(OR(Table25[[#This Row],[%R]]&lt;-100,Table25[[#This Row],[%R]]&gt;0),"RANGE_ERR","")</f>
        <v>RANGE_ERR</v>
      </c>
    </row>
    <row r="103" spans="1:18" x14ac:dyDescent="0.35">
      <c r="A103" s="6">
        <v>101</v>
      </c>
      <c r="B103" s="3">
        <v>45055</v>
      </c>
      <c r="C103" s="2">
        <v>128.5</v>
      </c>
      <c r="D103" s="2">
        <v>128.5</v>
      </c>
      <c r="E103" s="2">
        <v>125.36</v>
      </c>
      <c r="F103" s="2">
        <v>127.35</v>
      </c>
      <c r="G103" s="1">
        <v>3437064</v>
      </c>
      <c r="H103" s="2">
        <f t="shared" si="4"/>
        <v>125.36</v>
      </c>
      <c r="I103" s="2">
        <f t="shared" si="5"/>
        <v>139.52000000000001</v>
      </c>
      <c r="J103" s="22">
        <f>100*(testdata4[[#This Row],[close]]-testdata4[[#This Row],[LL]])/(testdata4[[#This Row],[HH]]-testdata4[[#This Row],[LL]])</f>
        <v>14.053672316384134</v>
      </c>
      <c r="K103" s="22">
        <f>testdata4[[#This Row],[K(14)'']]</f>
        <v>14.053672316384134</v>
      </c>
      <c r="L103" s="22">
        <f>testdata4[[#This Row],[%K]]-100</f>
        <v>-85.946327683615863</v>
      </c>
      <c r="N103" s="12">
        <v>101</v>
      </c>
      <c r="O103" s="3">
        <v>45055</v>
      </c>
      <c r="P103" s="23" t="s">
        <v>104</v>
      </c>
      <c r="Q103" s="22">
        <f>IF(testdata4[[#This Row],[%R]]&lt;&gt;Table25[[#This Row],[%R]],testdata4[[#This Row],[%R]]-Table25[[#This Row],[%R]],"")</f>
        <v>-5.6843418860808015E-14</v>
      </c>
      <c r="R103" s="11" t="str">
        <f>IF(OR(Table25[[#This Row],[%R]]&lt;-100,Table25[[#This Row],[%R]]&gt;0),"RANGE_ERR","")</f>
        <v>RANGE_ERR</v>
      </c>
    </row>
    <row r="104" spans="1:18" x14ac:dyDescent="0.35">
      <c r="A104" s="6">
        <v>102</v>
      </c>
      <c r="B104" s="3">
        <v>45056</v>
      </c>
      <c r="C104" s="2">
        <v>128.71</v>
      </c>
      <c r="D104" s="2">
        <v>128.9</v>
      </c>
      <c r="E104" s="2">
        <v>126.16</v>
      </c>
      <c r="F104" s="2">
        <v>128.06</v>
      </c>
      <c r="G104" s="1">
        <v>1255711</v>
      </c>
      <c r="H104" s="2">
        <f t="shared" si="4"/>
        <v>125.36</v>
      </c>
      <c r="I104" s="2">
        <f t="shared" si="5"/>
        <v>139.52000000000001</v>
      </c>
      <c r="J104" s="22">
        <f>100*(testdata4[[#This Row],[close]]-testdata4[[#This Row],[LL]])/(testdata4[[#This Row],[HH]]-testdata4[[#This Row],[LL]])</f>
        <v>19.067796610169498</v>
      </c>
      <c r="K104" s="22">
        <f>testdata4[[#This Row],[K(14)'']]</f>
        <v>19.067796610169498</v>
      </c>
      <c r="L104" s="22">
        <f>testdata4[[#This Row],[%K]]-100</f>
        <v>-80.932203389830505</v>
      </c>
      <c r="N104" s="12">
        <v>102</v>
      </c>
      <c r="O104" s="3">
        <v>45056</v>
      </c>
      <c r="P104" s="23" t="s">
        <v>105</v>
      </c>
      <c r="Q104" s="22">
        <f>IF(testdata4[[#This Row],[%R]]&lt;&gt;Table25[[#This Row],[%R]],testdata4[[#This Row],[%R]]-Table25[[#This Row],[%R]],"")</f>
        <v>0</v>
      </c>
      <c r="R104" s="11" t="str">
        <f>IF(OR(Table25[[#This Row],[%R]]&lt;-100,Table25[[#This Row],[%R]]&gt;0),"RANGE_ERR","")</f>
        <v>RANGE_ERR</v>
      </c>
    </row>
    <row r="105" spans="1:18" x14ac:dyDescent="0.35">
      <c r="A105" s="6">
        <v>103</v>
      </c>
      <c r="B105" s="3">
        <v>45057</v>
      </c>
      <c r="C105" s="2">
        <v>127.17</v>
      </c>
      <c r="D105" s="2">
        <v>127.7</v>
      </c>
      <c r="E105" s="2">
        <v>125.47</v>
      </c>
      <c r="F105" s="2">
        <v>127.66</v>
      </c>
      <c r="G105" s="1">
        <v>1580572</v>
      </c>
      <c r="H105" s="2">
        <f t="shared" si="4"/>
        <v>125.36</v>
      </c>
      <c r="I105" s="2">
        <f t="shared" si="5"/>
        <v>139.52000000000001</v>
      </c>
      <c r="J105" s="22">
        <f>100*(testdata4[[#This Row],[close]]-testdata4[[#This Row],[LL]])/(testdata4[[#This Row],[HH]]-testdata4[[#This Row],[LL]])</f>
        <v>16.242937853107311</v>
      </c>
      <c r="K105" s="22">
        <f>testdata4[[#This Row],[K(14)'']]</f>
        <v>16.242937853107311</v>
      </c>
      <c r="L105" s="22">
        <f>testdata4[[#This Row],[%K]]-100</f>
        <v>-83.757062146892693</v>
      </c>
      <c r="N105" s="12">
        <v>103</v>
      </c>
      <c r="O105" s="3">
        <v>45057</v>
      </c>
      <c r="P105" s="23" t="s">
        <v>106</v>
      </c>
      <c r="Q105" s="22">
        <f>IF(testdata4[[#This Row],[%R]]&lt;&gt;Table25[[#This Row],[%R]],testdata4[[#This Row],[%R]]-Table25[[#This Row],[%R]],"")</f>
        <v>-9.9475983006414026E-14</v>
      </c>
      <c r="R105" s="11" t="str">
        <f>IF(OR(Table25[[#This Row],[%R]]&lt;-100,Table25[[#This Row],[%R]]&gt;0),"RANGE_ERR","")</f>
        <v>RANGE_ERR</v>
      </c>
    </row>
    <row r="106" spans="1:18" x14ac:dyDescent="0.35">
      <c r="A106" s="6">
        <v>104</v>
      </c>
      <c r="B106" s="3">
        <v>45058</v>
      </c>
      <c r="C106" s="2">
        <v>128.68</v>
      </c>
      <c r="D106" s="2">
        <v>128.68</v>
      </c>
      <c r="E106" s="2">
        <v>126.52500000000001</v>
      </c>
      <c r="F106" s="2">
        <v>127.49</v>
      </c>
      <c r="G106" s="1">
        <v>1422587</v>
      </c>
      <c r="H106" s="2">
        <f t="shared" si="4"/>
        <v>125.36</v>
      </c>
      <c r="I106" s="2">
        <f t="shared" si="5"/>
        <v>137.16</v>
      </c>
      <c r="J106" s="22">
        <f>100*(testdata4[[#This Row],[close]]-testdata4[[#This Row],[LL]])/(testdata4[[#This Row],[HH]]-testdata4[[#This Row],[LL]])</f>
        <v>18.050847457627086</v>
      </c>
      <c r="K106" s="22">
        <f>testdata4[[#This Row],[K(14)'']]</f>
        <v>18.050847457627086</v>
      </c>
      <c r="L106" s="22">
        <f>testdata4[[#This Row],[%K]]-100</f>
        <v>-81.949152542372914</v>
      </c>
      <c r="N106" s="12">
        <v>104</v>
      </c>
      <c r="O106" s="3">
        <v>45058</v>
      </c>
      <c r="P106" s="23" t="s">
        <v>107</v>
      </c>
      <c r="Q106" s="22">
        <f>IF(testdata4[[#This Row],[%R]]&lt;&gt;Table25[[#This Row],[%R]],testdata4[[#This Row],[%R]]-Table25[[#This Row],[%R]],"")</f>
        <v>-1.4210854715202004E-14</v>
      </c>
      <c r="R106" s="11" t="str">
        <f>IF(OR(Table25[[#This Row],[%R]]&lt;-100,Table25[[#This Row],[%R]]&gt;0),"RANGE_ERR","")</f>
        <v>RANGE_ERR</v>
      </c>
    </row>
    <row r="107" spans="1:18" x14ac:dyDescent="0.35">
      <c r="A107" s="6">
        <v>105</v>
      </c>
      <c r="B107" s="3">
        <v>45061</v>
      </c>
      <c r="C107" s="2">
        <v>127.94</v>
      </c>
      <c r="D107" s="2">
        <v>128.19</v>
      </c>
      <c r="E107" s="2">
        <v>126.75</v>
      </c>
      <c r="F107" s="2">
        <v>127.99</v>
      </c>
      <c r="G107" s="1">
        <v>1262766</v>
      </c>
      <c r="H107" s="2">
        <f t="shared" si="4"/>
        <v>125.36</v>
      </c>
      <c r="I107" s="2">
        <f t="shared" si="5"/>
        <v>137.16</v>
      </c>
      <c r="J107" s="22">
        <f>100*(testdata4[[#This Row],[close]]-testdata4[[#This Row],[LL]])/(testdata4[[#This Row],[HH]]-testdata4[[#This Row],[LL]])</f>
        <v>22.288135593220307</v>
      </c>
      <c r="K107" s="22">
        <f>testdata4[[#This Row],[K(14)'']]</f>
        <v>22.288135593220307</v>
      </c>
      <c r="L107" s="22">
        <f>testdata4[[#This Row],[%K]]-100</f>
        <v>-77.711864406779696</v>
      </c>
      <c r="N107" s="12">
        <v>105</v>
      </c>
      <c r="O107" s="3">
        <v>45061</v>
      </c>
      <c r="P107" s="23" t="s">
        <v>108</v>
      </c>
      <c r="Q107" s="22">
        <f>IF(testdata4[[#This Row],[%R]]&lt;&gt;Table25[[#This Row],[%R]],testdata4[[#This Row],[%R]]-Table25[[#This Row],[%R]],"")</f>
        <v>-9.9475983006414026E-14</v>
      </c>
      <c r="R107" s="11" t="str">
        <f>IF(OR(Table25[[#This Row],[%R]]&lt;-100,Table25[[#This Row],[%R]]&gt;0),"RANGE_ERR","")</f>
        <v>RANGE_ERR</v>
      </c>
    </row>
    <row r="108" spans="1:18" x14ac:dyDescent="0.35">
      <c r="A108" s="6">
        <v>106</v>
      </c>
      <c r="B108" s="3">
        <v>45062</v>
      </c>
      <c r="C108" s="2">
        <v>126.97</v>
      </c>
      <c r="D108" s="2">
        <v>127.4</v>
      </c>
      <c r="E108" s="2">
        <v>125.79</v>
      </c>
      <c r="F108" s="2">
        <v>126.29</v>
      </c>
      <c r="G108" s="1">
        <v>1190020</v>
      </c>
      <c r="H108" s="2">
        <f t="shared" si="4"/>
        <v>125.36</v>
      </c>
      <c r="I108" s="2">
        <f t="shared" si="5"/>
        <v>137.16</v>
      </c>
      <c r="J108" s="22">
        <f>100*(testdata4[[#This Row],[close]]-testdata4[[#This Row],[LL]])/(testdata4[[#This Row],[HH]]-testdata4[[#This Row],[LL]])</f>
        <v>7.8813559322034497</v>
      </c>
      <c r="K108" s="22">
        <f>testdata4[[#This Row],[K(14)'']]</f>
        <v>7.8813559322034497</v>
      </c>
      <c r="L108" s="22">
        <f>testdata4[[#This Row],[%K]]-100</f>
        <v>-92.118644067796552</v>
      </c>
      <c r="N108" s="12">
        <v>106</v>
      </c>
      <c r="O108" s="3">
        <v>45062</v>
      </c>
      <c r="P108" s="23" t="s">
        <v>109</v>
      </c>
      <c r="Q108" s="22">
        <f>IF(testdata4[[#This Row],[%R]]&lt;&gt;Table25[[#This Row],[%R]],testdata4[[#This Row],[%R]]-Table25[[#This Row],[%R]],"")</f>
        <v>-5.6843418860808015E-14</v>
      </c>
      <c r="R108" s="11" t="str">
        <f>IF(OR(Table25[[#This Row],[%R]]&lt;-100,Table25[[#This Row],[%R]]&gt;0),"RANGE_ERR","")</f>
        <v>RANGE_ERR</v>
      </c>
    </row>
    <row r="109" spans="1:18" x14ac:dyDescent="0.35">
      <c r="A109" s="6">
        <v>107</v>
      </c>
      <c r="B109" s="3">
        <v>45063</v>
      </c>
      <c r="C109" s="2">
        <v>127.04</v>
      </c>
      <c r="D109" s="2">
        <v>127.79</v>
      </c>
      <c r="E109" s="2">
        <v>125.78</v>
      </c>
      <c r="F109" s="2">
        <v>127.77</v>
      </c>
      <c r="G109" s="1">
        <v>1968194</v>
      </c>
      <c r="H109" s="2">
        <f t="shared" si="4"/>
        <v>125.36</v>
      </c>
      <c r="I109" s="2">
        <f t="shared" si="5"/>
        <v>137.16</v>
      </c>
      <c r="J109" s="22">
        <f>100*(testdata4[[#This Row],[close]]-testdata4[[#This Row],[LL]])/(testdata4[[#This Row],[HH]]-testdata4[[#This Row],[LL]])</f>
        <v>20.423728813559297</v>
      </c>
      <c r="K109" s="22">
        <f>testdata4[[#This Row],[K(14)'']]</f>
        <v>20.423728813559297</v>
      </c>
      <c r="L109" s="22">
        <f>testdata4[[#This Row],[%K]]-100</f>
        <v>-79.576271186440707</v>
      </c>
      <c r="N109" s="12">
        <v>107</v>
      </c>
      <c r="O109" s="3">
        <v>45063</v>
      </c>
      <c r="P109" s="23" t="s">
        <v>110</v>
      </c>
      <c r="Q109" s="22">
        <f>IF(testdata4[[#This Row],[%R]]&lt;&gt;Table25[[#This Row],[%R]],testdata4[[#This Row],[%R]]-Table25[[#This Row],[%R]],"")</f>
        <v>0</v>
      </c>
      <c r="R109" s="11" t="str">
        <f>IF(OR(Table25[[#This Row],[%R]]&lt;-100,Table25[[#This Row],[%R]]&gt;0),"RANGE_ERR","")</f>
        <v>RANGE_ERR</v>
      </c>
    </row>
    <row r="110" spans="1:18" x14ac:dyDescent="0.35">
      <c r="A110" s="6">
        <v>108</v>
      </c>
      <c r="B110" s="3">
        <v>45064</v>
      </c>
      <c r="C110" s="2">
        <v>127.65</v>
      </c>
      <c r="D110" s="2">
        <v>129.33000000000001</v>
      </c>
      <c r="E110" s="2">
        <v>126.49</v>
      </c>
      <c r="F110" s="2">
        <v>129.13999999999999</v>
      </c>
      <c r="G110" s="1">
        <v>1637179</v>
      </c>
      <c r="H110" s="2">
        <f t="shared" si="4"/>
        <v>125.36</v>
      </c>
      <c r="I110" s="2">
        <f t="shared" si="5"/>
        <v>137.16</v>
      </c>
      <c r="J110" s="22">
        <f>100*(testdata4[[#This Row],[close]]-testdata4[[#This Row],[LL]])/(testdata4[[#This Row],[HH]]-testdata4[[#This Row],[LL]])</f>
        <v>32.033898305084641</v>
      </c>
      <c r="K110" s="22">
        <f>testdata4[[#This Row],[K(14)'']]</f>
        <v>32.033898305084641</v>
      </c>
      <c r="L110" s="22">
        <f>testdata4[[#This Row],[%K]]-100</f>
        <v>-67.966101694915352</v>
      </c>
      <c r="N110" s="12">
        <v>108</v>
      </c>
      <c r="O110" s="3">
        <v>45064</v>
      </c>
      <c r="P110" s="23" t="s">
        <v>111</v>
      </c>
      <c r="Q110" s="22">
        <f>IF(testdata4[[#This Row],[%R]]&lt;&gt;Table25[[#This Row],[%R]],testdata4[[#This Row],[%R]]-Table25[[#This Row],[%R]],"")</f>
        <v>-5.6843418860808015E-14</v>
      </c>
      <c r="R110" s="11" t="str">
        <f>IF(OR(Table25[[#This Row],[%R]]&lt;-100,Table25[[#This Row],[%R]]&gt;0),"RANGE_ERR","")</f>
        <v>RANGE_ERR</v>
      </c>
    </row>
    <row r="111" spans="1:18" x14ac:dyDescent="0.35">
      <c r="A111" s="6">
        <v>109</v>
      </c>
      <c r="B111" s="3">
        <v>45065</v>
      </c>
      <c r="C111" s="2">
        <v>129.59</v>
      </c>
      <c r="D111" s="2">
        <v>130.47</v>
      </c>
      <c r="E111" s="2">
        <v>128.62</v>
      </c>
      <c r="F111" s="2">
        <v>128.87</v>
      </c>
      <c r="G111" s="1">
        <v>1480380</v>
      </c>
      <c r="H111" s="2">
        <f t="shared" si="4"/>
        <v>125.36</v>
      </c>
      <c r="I111" s="2">
        <f t="shared" si="5"/>
        <v>137.16</v>
      </c>
      <c r="J111" s="22">
        <f>100*(testdata4[[#This Row],[close]]-testdata4[[#This Row],[LL]])/(testdata4[[#This Row],[HH]]-testdata4[[#This Row],[LL]])</f>
        <v>29.745762711864458</v>
      </c>
      <c r="K111" s="22">
        <f>testdata4[[#This Row],[K(14)'']]</f>
        <v>29.745762711864458</v>
      </c>
      <c r="L111" s="22">
        <f>testdata4[[#This Row],[%K]]-100</f>
        <v>-70.254237288135542</v>
      </c>
      <c r="N111" s="12">
        <v>109</v>
      </c>
      <c r="O111" s="3">
        <v>45065</v>
      </c>
      <c r="P111" s="23" t="s">
        <v>112</v>
      </c>
      <c r="Q111" s="22">
        <f>IF(testdata4[[#This Row],[%R]]&lt;&gt;Table25[[#This Row],[%R]],testdata4[[#This Row],[%R]]-Table25[[#This Row],[%R]],"")</f>
        <v>-4.2632564145606011E-14</v>
      </c>
      <c r="R111" s="11" t="str">
        <f>IF(OR(Table25[[#This Row],[%R]]&lt;-100,Table25[[#This Row],[%R]]&gt;0),"RANGE_ERR","")</f>
        <v>RANGE_ERR</v>
      </c>
    </row>
    <row r="112" spans="1:18" x14ac:dyDescent="0.35">
      <c r="A112" s="6">
        <v>110</v>
      </c>
      <c r="B112" s="3">
        <v>45068</v>
      </c>
      <c r="C112" s="2">
        <v>128.66</v>
      </c>
      <c r="D112" s="2">
        <v>129.75</v>
      </c>
      <c r="E112" s="2">
        <v>128.29</v>
      </c>
      <c r="F112" s="2">
        <v>129.09</v>
      </c>
      <c r="G112" s="1">
        <v>1764588</v>
      </c>
      <c r="H112" s="2">
        <f t="shared" si="4"/>
        <v>125.36</v>
      </c>
      <c r="I112" s="2">
        <f t="shared" si="5"/>
        <v>136.54</v>
      </c>
      <c r="J112" s="22">
        <f>100*(testdata4[[#This Row],[close]]-testdata4[[#This Row],[LL]])/(testdata4[[#This Row],[HH]]-testdata4[[#This Row],[LL]])</f>
        <v>33.363148479427608</v>
      </c>
      <c r="K112" s="22">
        <f>testdata4[[#This Row],[K(14)'']]</f>
        <v>33.363148479427608</v>
      </c>
      <c r="L112" s="22">
        <f>testdata4[[#This Row],[%K]]-100</f>
        <v>-66.636851520572392</v>
      </c>
      <c r="N112" s="12">
        <v>110</v>
      </c>
      <c r="O112" s="3">
        <v>45068</v>
      </c>
      <c r="P112" s="23" t="s">
        <v>113</v>
      </c>
      <c r="Q112" s="22">
        <f>IF(testdata4[[#This Row],[%R]]&lt;&gt;Table25[[#This Row],[%R]],testdata4[[#This Row],[%R]]-Table25[[#This Row],[%R]],"")</f>
        <v>-8.5265128291212022E-14</v>
      </c>
      <c r="R112" s="11" t="str">
        <f>IF(OR(Table25[[#This Row],[%R]]&lt;-100,Table25[[#This Row],[%R]]&gt;0),"RANGE_ERR","")</f>
        <v>RANGE_ERR</v>
      </c>
    </row>
    <row r="113" spans="1:18" x14ac:dyDescent="0.35">
      <c r="A113" s="6">
        <v>111</v>
      </c>
      <c r="B113" s="3">
        <v>45069</v>
      </c>
      <c r="C113" s="2">
        <v>129.03</v>
      </c>
      <c r="D113" s="2">
        <v>130.54</v>
      </c>
      <c r="E113" s="2">
        <v>127.91</v>
      </c>
      <c r="F113" s="2">
        <v>128.63999999999999</v>
      </c>
      <c r="G113" s="1">
        <v>2784447</v>
      </c>
      <c r="H113" s="2">
        <f t="shared" si="4"/>
        <v>125.36</v>
      </c>
      <c r="I113" s="2">
        <f t="shared" si="5"/>
        <v>136.04</v>
      </c>
      <c r="J113" s="22">
        <f>100*(testdata4[[#This Row],[close]]-testdata4[[#This Row],[LL]])/(testdata4[[#This Row],[HH]]-testdata4[[#This Row],[LL]])</f>
        <v>30.711610486891285</v>
      </c>
      <c r="K113" s="22">
        <f>testdata4[[#This Row],[K(14)'']]</f>
        <v>30.711610486891285</v>
      </c>
      <c r="L113" s="22">
        <f>testdata4[[#This Row],[%K]]-100</f>
        <v>-69.288389513108712</v>
      </c>
      <c r="N113" s="12">
        <v>111</v>
      </c>
      <c r="O113" s="3">
        <v>45069</v>
      </c>
      <c r="P113" s="23" t="s">
        <v>114</v>
      </c>
      <c r="Q113" s="22">
        <f>IF(testdata4[[#This Row],[%R]]&lt;&gt;Table25[[#This Row],[%R]],testdata4[[#This Row],[%R]]-Table25[[#This Row],[%R]],"")</f>
        <v>-1.4210854715202004E-14</v>
      </c>
      <c r="R113" s="11" t="str">
        <f>IF(OR(Table25[[#This Row],[%R]]&lt;-100,Table25[[#This Row],[%R]]&gt;0),"RANGE_ERR","")</f>
        <v>RANGE_ERR</v>
      </c>
    </row>
    <row r="114" spans="1:18" x14ac:dyDescent="0.35">
      <c r="A114" s="6">
        <v>112</v>
      </c>
      <c r="B114" s="3">
        <v>45070</v>
      </c>
      <c r="C114" s="2">
        <v>115.2</v>
      </c>
      <c r="D114" s="2">
        <v>121.09</v>
      </c>
      <c r="E114" s="2">
        <v>113.2801</v>
      </c>
      <c r="F114" s="2">
        <v>120.99</v>
      </c>
      <c r="G114" s="1">
        <v>6850380</v>
      </c>
      <c r="H114" s="2">
        <f t="shared" si="4"/>
        <v>113.2801</v>
      </c>
      <c r="I114" s="2">
        <f t="shared" si="5"/>
        <v>135.41</v>
      </c>
      <c r="J114" s="22">
        <f>100*(testdata4[[#This Row],[close]]-testdata4[[#This Row],[LL]])/(testdata4[[#This Row],[HH]]-testdata4[[#This Row],[LL]])</f>
        <v>34.839289829597035</v>
      </c>
      <c r="K114" s="22">
        <f>testdata4[[#This Row],[K(14)'']]</f>
        <v>34.839289829597035</v>
      </c>
      <c r="L114" s="22">
        <f>testdata4[[#This Row],[%K]]-100</f>
        <v>-65.160710170402965</v>
      </c>
      <c r="N114" s="12">
        <v>112</v>
      </c>
      <c r="O114" s="3">
        <v>45070</v>
      </c>
      <c r="P114" s="23" t="s">
        <v>115</v>
      </c>
      <c r="Q114" s="22">
        <f>IF(testdata4[[#This Row],[%R]]&lt;&gt;Table25[[#This Row],[%R]],testdata4[[#This Row],[%R]]-Table25[[#This Row],[%R]],"")</f>
        <v>-7.1054273576010019E-14</v>
      </c>
      <c r="R114" s="11" t="str">
        <f>IF(OR(Table25[[#This Row],[%R]]&lt;-100,Table25[[#This Row],[%R]]&gt;0),"RANGE_ERR","")</f>
        <v>RANGE_ERR</v>
      </c>
    </row>
    <row r="115" spans="1:18" x14ac:dyDescent="0.35">
      <c r="A115" s="6">
        <v>113</v>
      </c>
      <c r="B115" s="3">
        <v>45071</v>
      </c>
      <c r="C115" s="2">
        <v>121.41</v>
      </c>
      <c r="D115" s="2">
        <v>121.41</v>
      </c>
      <c r="E115" s="2">
        <v>117.63500000000001</v>
      </c>
      <c r="F115" s="2">
        <v>119.49</v>
      </c>
      <c r="G115" s="1">
        <v>3218919</v>
      </c>
      <c r="H115" s="2">
        <f t="shared" si="4"/>
        <v>113.2801</v>
      </c>
      <c r="I115" s="2">
        <f t="shared" si="5"/>
        <v>134.21</v>
      </c>
      <c r="J115" s="22">
        <f>100*(testdata4[[#This Row],[close]]-testdata4[[#This Row],[LL]])/(testdata4[[#This Row],[HH]]-testdata4[[#This Row],[LL]])</f>
        <v>29.669993645454539</v>
      </c>
      <c r="K115" s="22">
        <f>testdata4[[#This Row],[K(14)'']]</f>
        <v>29.669993645454539</v>
      </c>
      <c r="L115" s="22">
        <f>testdata4[[#This Row],[%K]]-100</f>
        <v>-70.330006354545461</v>
      </c>
      <c r="N115" s="12">
        <v>113</v>
      </c>
      <c r="O115" s="3">
        <v>45071</v>
      </c>
      <c r="P115" s="23" t="s">
        <v>116</v>
      </c>
      <c r="Q115" s="22">
        <f>IF(testdata4[[#This Row],[%R]]&lt;&gt;Table25[[#This Row],[%R]],testdata4[[#This Row],[%R]]-Table25[[#This Row],[%R]],"")</f>
        <v>-5.6843418860808015E-14</v>
      </c>
      <c r="R115" s="11" t="str">
        <f>IF(OR(Table25[[#This Row],[%R]]&lt;-100,Table25[[#This Row],[%R]]&gt;0),"RANGE_ERR","")</f>
        <v>RANGE_ERR</v>
      </c>
    </row>
    <row r="116" spans="1:18" x14ac:dyDescent="0.35">
      <c r="A116" s="6">
        <v>114</v>
      </c>
      <c r="B116" s="3">
        <v>45072</v>
      </c>
      <c r="C116" s="2">
        <v>120.07</v>
      </c>
      <c r="D116" s="2">
        <v>120.72</v>
      </c>
      <c r="E116" s="2">
        <v>118.38</v>
      </c>
      <c r="F116" s="2">
        <v>120.42</v>
      </c>
      <c r="G116" s="1">
        <v>2089124</v>
      </c>
      <c r="H116" s="2">
        <f t="shared" si="4"/>
        <v>113.2801</v>
      </c>
      <c r="I116" s="2">
        <f t="shared" si="5"/>
        <v>130.54</v>
      </c>
      <c r="J116" s="22">
        <f>100*(testdata4[[#This Row],[close]]-testdata4[[#This Row],[LL]])/(testdata4[[#This Row],[HH]]-testdata4[[#This Row],[LL]])</f>
        <v>41.36698358623169</v>
      </c>
      <c r="K116" s="22">
        <f>testdata4[[#This Row],[K(14)'']]</f>
        <v>41.36698358623169</v>
      </c>
      <c r="L116" s="22">
        <f>testdata4[[#This Row],[%K]]-100</f>
        <v>-58.63301641376831</v>
      </c>
      <c r="N116" s="12">
        <v>114</v>
      </c>
      <c r="O116" s="3">
        <v>45072</v>
      </c>
      <c r="P116" s="23" t="s">
        <v>117</v>
      </c>
      <c r="Q116" s="22">
        <f>IF(testdata4[[#This Row],[%R]]&lt;&gt;Table25[[#This Row],[%R]],testdata4[[#This Row],[%R]]-Table25[[#This Row],[%R]],"")</f>
        <v>-7.1054273576010019E-15</v>
      </c>
      <c r="R116" s="11" t="str">
        <f>IF(OR(Table25[[#This Row],[%R]]&lt;-100,Table25[[#This Row],[%R]]&gt;0),"RANGE_ERR","")</f>
        <v>RANGE_ERR</v>
      </c>
    </row>
    <row r="117" spans="1:18" x14ac:dyDescent="0.35">
      <c r="A117" s="6">
        <v>115</v>
      </c>
      <c r="B117" s="3">
        <v>45076</v>
      </c>
      <c r="C117" s="2">
        <v>120.01</v>
      </c>
      <c r="D117" s="2">
        <v>121.30500000000001</v>
      </c>
      <c r="E117" s="2">
        <v>117.67</v>
      </c>
      <c r="F117" s="2">
        <v>117.73</v>
      </c>
      <c r="G117" s="1">
        <v>2094836</v>
      </c>
      <c r="H117" s="2">
        <f t="shared" si="4"/>
        <v>113.2801</v>
      </c>
      <c r="I117" s="2">
        <f t="shared" si="5"/>
        <v>130.54</v>
      </c>
      <c r="J117" s="22">
        <f>100*(testdata4[[#This Row],[close]]-testdata4[[#This Row],[LL]])/(testdata4[[#This Row],[HH]]-testdata4[[#This Row],[LL]])</f>
        <v>25.781725270714215</v>
      </c>
      <c r="K117" s="22">
        <f>testdata4[[#This Row],[K(14)'']]</f>
        <v>25.781725270714215</v>
      </c>
      <c r="L117" s="22">
        <f>testdata4[[#This Row],[%K]]-100</f>
        <v>-74.218274729285781</v>
      </c>
      <c r="N117" s="12">
        <v>115</v>
      </c>
      <c r="O117" s="3">
        <v>45076</v>
      </c>
      <c r="P117" s="23" t="s">
        <v>118</v>
      </c>
      <c r="Q117" s="22">
        <f>IF(testdata4[[#This Row],[%R]]&lt;&gt;Table25[[#This Row],[%R]],testdata4[[#This Row],[%R]]-Table25[[#This Row],[%R]],"")</f>
        <v>-8.5265128291212022E-14</v>
      </c>
      <c r="R117" s="11" t="str">
        <f>IF(OR(Table25[[#This Row],[%R]]&lt;-100,Table25[[#This Row],[%R]]&gt;0),"RANGE_ERR","")</f>
        <v>RANGE_ERR</v>
      </c>
    </row>
    <row r="118" spans="1:18" x14ac:dyDescent="0.35">
      <c r="A118" s="6">
        <v>116</v>
      </c>
      <c r="B118" s="3">
        <v>45077</v>
      </c>
      <c r="C118" s="2">
        <v>116.99</v>
      </c>
      <c r="D118" s="2">
        <v>117.15</v>
      </c>
      <c r="E118" s="2">
        <v>114.795</v>
      </c>
      <c r="F118" s="2">
        <v>115.67</v>
      </c>
      <c r="G118" s="1">
        <v>3998804</v>
      </c>
      <c r="H118" s="2">
        <f t="shared" si="4"/>
        <v>113.2801</v>
      </c>
      <c r="I118" s="2">
        <f t="shared" si="5"/>
        <v>130.54</v>
      </c>
      <c r="J118" s="22">
        <f>100*(testdata4[[#This Row],[close]]-testdata4[[#This Row],[LL]])/(testdata4[[#This Row],[HH]]-testdata4[[#This Row],[LL]])</f>
        <v>13.846546040243565</v>
      </c>
      <c r="K118" s="22">
        <f>testdata4[[#This Row],[K(14)'']]</f>
        <v>13.846546040243565</v>
      </c>
      <c r="L118" s="22">
        <f>testdata4[[#This Row],[%K]]-100</f>
        <v>-86.153453959756433</v>
      </c>
      <c r="N118" s="12">
        <v>116</v>
      </c>
      <c r="O118" s="3">
        <v>45077</v>
      </c>
      <c r="P118" s="23" t="s">
        <v>119</v>
      </c>
      <c r="Q118" s="22">
        <f>IF(testdata4[[#This Row],[%R]]&lt;&gt;Table25[[#This Row],[%R]],testdata4[[#This Row],[%R]]-Table25[[#This Row],[%R]],"")</f>
        <v>-2.8421709430404007E-14</v>
      </c>
      <c r="R118" s="11" t="str">
        <f>IF(OR(Table25[[#This Row],[%R]]&lt;-100,Table25[[#This Row],[%R]]&gt;0),"RANGE_ERR","")</f>
        <v>RANGE_ERR</v>
      </c>
    </row>
    <row r="119" spans="1:18" x14ac:dyDescent="0.35">
      <c r="A119" s="6">
        <v>117</v>
      </c>
      <c r="B119" s="3">
        <v>45078</v>
      </c>
      <c r="C119" s="2">
        <v>116.97</v>
      </c>
      <c r="D119" s="2">
        <v>117.63500000000001</v>
      </c>
      <c r="E119" s="2">
        <v>115</v>
      </c>
      <c r="F119" s="2">
        <v>116.26</v>
      </c>
      <c r="G119" s="1">
        <v>3966268</v>
      </c>
      <c r="H119" s="2">
        <f t="shared" si="4"/>
        <v>113.2801</v>
      </c>
      <c r="I119" s="2">
        <f t="shared" si="5"/>
        <v>130.54</v>
      </c>
      <c r="J119" s="22">
        <f>100*(testdata4[[#This Row],[close]]-testdata4[[#This Row],[LL]])/(testdata4[[#This Row],[HH]]-testdata4[[#This Row],[LL]])</f>
        <v>17.264874072271581</v>
      </c>
      <c r="K119" s="22">
        <f>testdata4[[#This Row],[K(14)'']]</f>
        <v>17.264874072271581</v>
      </c>
      <c r="L119" s="22">
        <f>testdata4[[#This Row],[%K]]-100</f>
        <v>-82.735125927728419</v>
      </c>
      <c r="N119" s="12">
        <v>117</v>
      </c>
      <c r="O119" s="3">
        <v>45078</v>
      </c>
      <c r="P119" s="23" t="s">
        <v>120</v>
      </c>
      <c r="Q119" s="22">
        <f>IF(testdata4[[#This Row],[%R]]&lt;&gt;Table25[[#This Row],[%R]],testdata4[[#This Row],[%R]]-Table25[[#This Row],[%R]],"")</f>
        <v>-1.4210854715202004E-14</v>
      </c>
      <c r="R119" s="11" t="str">
        <f>IF(OR(Table25[[#This Row],[%R]]&lt;-100,Table25[[#This Row],[%R]]&gt;0),"RANGE_ERR","")</f>
        <v>RANGE_ERR</v>
      </c>
    </row>
    <row r="120" spans="1:18" x14ac:dyDescent="0.35">
      <c r="A120" s="6">
        <v>118</v>
      </c>
      <c r="B120" s="3">
        <v>45079</v>
      </c>
      <c r="C120" s="2">
        <v>117.77</v>
      </c>
      <c r="D120" s="2">
        <v>118.41</v>
      </c>
      <c r="E120" s="2">
        <v>116.02</v>
      </c>
      <c r="F120" s="2">
        <v>118.22</v>
      </c>
      <c r="G120" s="1">
        <v>3263054</v>
      </c>
      <c r="H120" s="2">
        <f t="shared" si="4"/>
        <v>113.2801</v>
      </c>
      <c r="I120" s="2">
        <f t="shared" si="5"/>
        <v>130.54</v>
      </c>
      <c r="J120" s="22">
        <f>100*(testdata4[[#This Row],[close]]-testdata4[[#This Row],[LL]])/(testdata4[[#This Row],[HH]]-testdata4[[#This Row],[LL]])</f>
        <v>28.620675670195066</v>
      </c>
      <c r="K120" s="22">
        <f>testdata4[[#This Row],[K(14)'']]</f>
        <v>28.620675670195066</v>
      </c>
      <c r="L120" s="22">
        <f>testdata4[[#This Row],[%K]]-100</f>
        <v>-71.37932432980493</v>
      </c>
      <c r="N120" s="12">
        <v>118</v>
      </c>
      <c r="O120" s="3">
        <v>45079</v>
      </c>
      <c r="P120" s="23" t="s">
        <v>121</v>
      </c>
      <c r="Q120" s="22">
        <f>IF(testdata4[[#This Row],[%R]]&lt;&gt;Table25[[#This Row],[%R]],testdata4[[#This Row],[%R]]-Table25[[#This Row],[%R]],"")</f>
        <v>-2.8421709430404007E-14</v>
      </c>
      <c r="R120" s="11" t="str">
        <f>IF(OR(Table25[[#This Row],[%R]]&lt;-100,Table25[[#This Row],[%R]]&gt;0),"RANGE_ERR","")</f>
        <v>RANGE_ERR</v>
      </c>
    </row>
    <row r="121" spans="1:18" x14ac:dyDescent="0.35">
      <c r="A121" s="6">
        <v>119</v>
      </c>
      <c r="B121" s="3">
        <v>45082</v>
      </c>
      <c r="C121" s="2">
        <v>118.58</v>
      </c>
      <c r="D121" s="2">
        <v>119.76</v>
      </c>
      <c r="E121" s="2">
        <v>117.09</v>
      </c>
      <c r="F121" s="2">
        <v>118.35</v>
      </c>
      <c r="G121" s="1">
        <v>2129460</v>
      </c>
      <c r="H121" s="2">
        <f t="shared" si="4"/>
        <v>113.2801</v>
      </c>
      <c r="I121" s="2">
        <f t="shared" si="5"/>
        <v>130.54</v>
      </c>
      <c r="J121" s="22">
        <f>100*(testdata4[[#This Row],[close]]-testdata4[[#This Row],[LL]])/(testdata4[[#This Row],[HH]]-testdata4[[#This Row],[LL]])</f>
        <v>29.373866592506293</v>
      </c>
      <c r="K121" s="22">
        <f>testdata4[[#This Row],[K(14)'']]</f>
        <v>29.373866592506293</v>
      </c>
      <c r="L121" s="22">
        <f>testdata4[[#This Row],[%K]]-100</f>
        <v>-70.626133407493711</v>
      </c>
      <c r="N121" s="12">
        <v>119</v>
      </c>
      <c r="O121" s="3">
        <v>45082</v>
      </c>
      <c r="P121" s="23" t="s">
        <v>122</v>
      </c>
      <c r="Q121" s="22">
        <f>IF(testdata4[[#This Row],[%R]]&lt;&gt;Table25[[#This Row],[%R]],testdata4[[#This Row],[%R]]-Table25[[#This Row],[%R]],"")</f>
        <v>-1.4210854715202004E-14</v>
      </c>
      <c r="R121" s="11" t="str">
        <f>IF(OR(Table25[[#This Row],[%R]]&lt;-100,Table25[[#This Row],[%R]]&gt;0),"RANGE_ERR","")</f>
        <v>RANGE_ERR</v>
      </c>
    </row>
    <row r="122" spans="1:18" x14ac:dyDescent="0.35">
      <c r="A122" s="6">
        <v>120</v>
      </c>
      <c r="B122" s="3">
        <v>45083</v>
      </c>
      <c r="C122" s="2">
        <v>118.78</v>
      </c>
      <c r="D122" s="2">
        <v>119.22</v>
      </c>
      <c r="E122" s="2">
        <v>116.64</v>
      </c>
      <c r="F122" s="2">
        <v>117.44</v>
      </c>
      <c r="G122" s="1">
        <v>1758822</v>
      </c>
      <c r="H122" s="2">
        <f t="shared" si="4"/>
        <v>113.2801</v>
      </c>
      <c r="I122" s="2">
        <f t="shared" si="5"/>
        <v>130.54</v>
      </c>
      <c r="J122" s="22">
        <f>100*(testdata4[[#This Row],[close]]-testdata4[[#This Row],[LL]])/(testdata4[[#This Row],[HH]]-testdata4[[#This Row],[LL]])</f>
        <v>24.101530136327536</v>
      </c>
      <c r="K122" s="22">
        <f>testdata4[[#This Row],[K(14)'']]</f>
        <v>24.101530136327536</v>
      </c>
      <c r="L122" s="22">
        <f>testdata4[[#This Row],[%K]]-100</f>
        <v>-75.89846986367246</v>
      </c>
      <c r="N122" s="12">
        <v>120</v>
      </c>
      <c r="O122" s="3">
        <v>45083</v>
      </c>
      <c r="P122" s="23" t="s">
        <v>123</v>
      </c>
      <c r="Q122" s="22">
        <f>IF(testdata4[[#This Row],[%R]]&lt;&gt;Table25[[#This Row],[%R]],testdata4[[#This Row],[%R]]-Table25[[#This Row],[%R]],"")</f>
        <v>-5.6843418860808015E-14</v>
      </c>
      <c r="R122" s="11" t="str">
        <f>IF(OR(Table25[[#This Row],[%R]]&lt;-100,Table25[[#This Row],[%R]]&gt;0),"RANGE_ERR","")</f>
        <v>RANGE_ERR</v>
      </c>
    </row>
    <row r="123" spans="1:18" x14ac:dyDescent="0.35">
      <c r="A123" s="6">
        <v>121</v>
      </c>
      <c r="B123" s="3">
        <v>45084</v>
      </c>
      <c r="C123" s="2">
        <v>117.17</v>
      </c>
      <c r="D123" s="2">
        <v>117.36499999999999</v>
      </c>
      <c r="E123" s="2">
        <v>115.14</v>
      </c>
      <c r="F123" s="2">
        <v>116.59</v>
      </c>
      <c r="G123" s="1">
        <v>3643539</v>
      </c>
      <c r="H123" s="2">
        <f t="shared" si="4"/>
        <v>113.2801</v>
      </c>
      <c r="I123" s="2">
        <f t="shared" si="5"/>
        <v>130.54</v>
      </c>
      <c r="J123" s="22">
        <f>100*(testdata4[[#This Row],[close]]-testdata4[[#This Row],[LL]])/(testdata4[[#This Row],[HH]]-testdata4[[#This Row],[LL]])</f>
        <v>19.176820259677061</v>
      </c>
      <c r="K123" s="22">
        <f>testdata4[[#This Row],[K(14)'']]</f>
        <v>19.176820259677061</v>
      </c>
      <c r="L123" s="22">
        <f>testdata4[[#This Row],[%K]]-100</f>
        <v>-80.823179740322942</v>
      </c>
      <c r="N123" s="12">
        <v>121</v>
      </c>
      <c r="O123" s="3">
        <v>45084</v>
      </c>
      <c r="P123" s="23" t="s">
        <v>124</v>
      </c>
      <c r="Q123" s="22">
        <f>IF(testdata4[[#This Row],[%R]]&lt;&gt;Table25[[#This Row],[%R]],testdata4[[#This Row],[%R]]-Table25[[#This Row],[%R]],"")</f>
        <v>-4.2632564145606011E-14</v>
      </c>
      <c r="R123" s="11" t="str">
        <f>IF(OR(Table25[[#This Row],[%R]]&lt;-100,Table25[[#This Row],[%R]]&gt;0),"RANGE_ERR","")</f>
        <v>RANGE_ERR</v>
      </c>
    </row>
    <row r="124" spans="1:18" x14ac:dyDescent="0.35">
      <c r="A124" s="6">
        <v>122</v>
      </c>
      <c r="B124" s="3">
        <v>45085</v>
      </c>
      <c r="C124" s="2">
        <v>115.93</v>
      </c>
      <c r="D124" s="2">
        <v>116.9</v>
      </c>
      <c r="E124" s="2">
        <v>114.66</v>
      </c>
      <c r="F124" s="2">
        <v>114.69</v>
      </c>
      <c r="G124" s="1">
        <v>2558841</v>
      </c>
      <c r="H124" s="2">
        <f t="shared" si="4"/>
        <v>113.2801</v>
      </c>
      <c r="I124" s="2">
        <f t="shared" si="5"/>
        <v>130.54</v>
      </c>
      <c r="J124" s="22">
        <f>100*(testdata4[[#This Row],[close]]-testdata4[[#This Row],[LL]])/(testdata4[[#This Row],[HH]]-testdata4[[#This Row],[LL]])</f>
        <v>8.1686452412817818</v>
      </c>
      <c r="K124" s="22">
        <f>testdata4[[#This Row],[K(14)'']]</f>
        <v>8.1686452412817818</v>
      </c>
      <c r="L124" s="22">
        <f>testdata4[[#This Row],[%K]]-100</f>
        <v>-91.83135475871822</v>
      </c>
      <c r="N124" s="12">
        <v>122</v>
      </c>
      <c r="O124" s="3">
        <v>45085</v>
      </c>
      <c r="P124" s="23" t="s">
        <v>125</v>
      </c>
      <c r="Q124" s="22">
        <f>IF(testdata4[[#This Row],[%R]]&lt;&gt;Table25[[#This Row],[%R]],testdata4[[#This Row],[%R]]-Table25[[#This Row],[%R]],"")</f>
        <v>-1.4210854715202004E-14</v>
      </c>
      <c r="R124" s="11" t="str">
        <f>IF(OR(Table25[[#This Row],[%R]]&lt;-100,Table25[[#This Row],[%R]]&gt;0),"RANGE_ERR","")</f>
        <v>RANGE_ERR</v>
      </c>
    </row>
    <row r="125" spans="1:18" x14ac:dyDescent="0.35">
      <c r="A125" s="6">
        <v>123</v>
      </c>
      <c r="B125" s="3">
        <v>45086</v>
      </c>
      <c r="C125" s="2">
        <v>115.58</v>
      </c>
      <c r="D125" s="2">
        <v>116</v>
      </c>
      <c r="E125" s="2">
        <v>114.16</v>
      </c>
      <c r="F125" s="2">
        <v>115.79</v>
      </c>
      <c r="G125" s="1">
        <v>1981556</v>
      </c>
      <c r="H125" s="2">
        <f t="shared" si="4"/>
        <v>113.2801</v>
      </c>
      <c r="I125" s="2">
        <f t="shared" si="5"/>
        <v>130.54</v>
      </c>
      <c r="J125" s="22">
        <f>100*(testdata4[[#This Row],[close]]-testdata4[[#This Row],[LL]])/(testdata4[[#This Row],[HH]]-testdata4[[#This Row],[LL]])</f>
        <v>14.541799199300133</v>
      </c>
      <c r="K125" s="22">
        <f>testdata4[[#This Row],[K(14)'']]</f>
        <v>14.541799199300133</v>
      </c>
      <c r="L125" s="22">
        <f>testdata4[[#This Row],[%K]]-100</f>
        <v>-85.458200800699871</v>
      </c>
      <c r="N125" s="12">
        <v>123</v>
      </c>
      <c r="O125" s="3">
        <v>45086</v>
      </c>
      <c r="P125" s="23" t="s">
        <v>126</v>
      </c>
      <c r="Q125" s="22">
        <f>IF(testdata4[[#This Row],[%R]]&lt;&gt;Table25[[#This Row],[%R]],testdata4[[#This Row],[%R]]-Table25[[#This Row],[%R]],"")</f>
        <v>-7.1054273576010019E-14</v>
      </c>
      <c r="R125" s="11" t="str">
        <f>IF(OR(Table25[[#This Row],[%R]]&lt;-100,Table25[[#This Row],[%R]]&gt;0),"RANGE_ERR","")</f>
        <v>RANGE_ERR</v>
      </c>
    </row>
    <row r="126" spans="1:18" x14ac:dyDescent="0.35">
      <c r="A126" s="6">
        <v>124</v>
      </c>
      <c r="B126" s="3">
        <v>45089</v>
      </c>
      <c r="C126" s="2">
        <v>115.86</v>
      </c>
      <c r="D126" s="2">
        <v>118.65</v>
      </c>
      <c r="E126" s="2">
        <v>115.82</v>
      </c>
      <c r="F126" s="2">
        <v>118.54</v>
      </c>
      <c r="G126" s="1">
        <v>2747813</v>
      </c>
      <c r="H126" s="2">
        <f t="shared" si="4"/>
        <v>113.2801</v>
      </c>
      <c r="I126" s="2">
        <f t="shared" si="5"/>
        <v>130.54</v>
      </c>
      <c r="J126" s="22">
        <f>100*(testdata4[[#This Row],[close]]-testdata4[[#This Row],[LL]])/(testdata4[[#This Row],[HH]]-testdata4[[#This Row],[LL]])</f>
        <v>30.474684094345889</v>
      </c>
      <c r="K126" s="22">
        <f>testdata4[[#This Row],[K(14)'']]</f>
        <v>30.474684094345889</v>
      </c>
      <c r="L126" s="22">
        <f>testdata4[[#This Row],[%K]]-100</f>
        <v>-69.525315905654111</v>
      </c>
      <c r="N126" s="12">
        <v>124</v>
      </c>
      <c r="O126" s="3">
        <v>45089</v>
      </c>
      <c r="P126" s="23" t="s">
        <v>127</v>
      </c>
      <c r="Q126" s="22">
        <f>IF(testdata4[[#This Row],[%R]]&lt;&gt;Table25[[#This Row],[%R]],testdata4[[#This Row],[%R]]-Table25[[#This Row],[%R]],"")</f>
        <v>-1.4210854715202004E-14</v>
      </c>
      <c r="R126" s="11" t="str">
        <f>IF(OR(Table25[[#This Row],[%R]]&lt;-100,Table25[[#This Row],[%R]]&gt;0),"RANGE_ERR","")</f>
        <v>RANGE_ERR</v>
      </c>
    </row>
    <row r="127" spans="1:18" x14ac:dyDescent="0.35">
      <c r="A127" s="6">
        <v>125</v>
      </c>
      <c r="B127" s="3">
        <v>45090</v>
      </c>
      <c r="C127" s="2">
        <v>118.68</v>
      </c>
      <c r="D127" s="2">
        <v>121.16</v>
      </c>
      <c r="E127" s="2">
        <v>118.68</v>
      </c>
      <c r="F127" s="2">
        <v>119.5</v>
      </c>
      <c r="G127" s="1">
        <v>2502401</v>
      </c>
      <c r="H127" s="2">
        <f t="shared" si="4"/>
        <v>113.2801</v>
      </c>
      <c r="I127" s="2">
        <f t="shared" si="5"/>
        <v>121.41</v>
      </c>
      <c r="J127" s="22">
        <f>100*(testdata4[[#This Row],[close]]-testdata4[[#This Row],[LL]])/(testdata4[[#This Row],[HH]]-testdata4[[#This Row],[LL]])</f>
        <v>76.506476094416925</v>
      </c>
      <c r="K127" s="22">
        <f>testdata4[[#This Row],[K(14)'']]</f>
        <v>76.506476094416925</v>
      </c>
      <c r="L127" s="22">
        <f>testdata4[[#This Row],[%K]]-100</f>
        <v>-23.493523905583075</v>
      </c>
      <c r="N127" s="12">
        <v>125</v>
      </c>
      <c r="O127" s="3">
        <v>45090</v>
      </c>
      <c r="P127" s="23" t="s">
        <v>128</v>
      </c>
      <c r="Q127" s="22">
        <f>IF(testdata4[[#This Row],[%R]]&lt;&gt;Table25[[#This Row],[%R]],testdata4[[#This Row],[%R]]-Table25[[#This Row],[%R]],"")</f>
        <v>-7.460698725481052E-14</v>
      </c>
      <c r="R127" s="11" t="str">
        <f>IF(OR(Table25[[#This Row],[%R]]&lt;-100,Table25[[#This Row],[%R]]&gt;0),"RANGE_ERR","")</f>
        <v>RANGE_ERR</v>
      </c>
    </row>
    <row r="128" spans="1:18" x14ac:dyDescent="0.35">
      <c r="A128" s="6">
        <v>126</v>
      </c>
      <c r="B128" s="3">
        <v>45091</v>
      </c>
      <c r="C128" s="2">
        <v>119.99</v>
      </c>
      <c r="D128" s="2">
        <v>120.97</v>
      </c>
      <c r="E128" s="2">
        <v>118.9</v>
      </c>
      <c r="F128" s="2">
        <v>119.4</v>
      </c>
      <c r="G128" s="1">
        <v>2663011</v>
      </c>
      <c r="H128" s="2">
        <f t="shared" si="4"/>
        <v>114.16</v>
      </c>
      <c r="I128" s="2">
        <f t="shared" si="5"/>
        <v>121.41</v>
      </c>
      <c r="J128" s="22">
        <f>100*(testdata4[[#This Row],[close]]-testdata4[[#This Row],[LL]])/(testdata4[[#This Row],[HH]]-testdata4[[#This Row],[LL]])</f>
        <v>72.275862068965637</v>
      </c>
      <c r="K128" s="22">
        <f>testdata4[[#This Row],[K(14)'']]</f>
        <v>72.275862068965637</v>
      </c>
      <c r="L128" s="22">
        <f>testdata4[[#This Row],[%K]]-100</f>
        <v>-27.724137931034363</v>
      </c>
      <c r="N128" s="12">
        <v>126</v>
      </c>
      <c r="O128" s="3">
        <v>45091</v>
      </c>
      <c r="P128" s="23" t="s">
        <v>129</v>
      </c>
      <c r="Q128" s="22">
        <f>IF(testdata4[[#This Row],[%R]]&lt;&gt;Table25[[#This Row],[%R]],testdata4[[#This Row],[%R]]-Table25[[#This Row],[%R]],"")</f>
        <v>-6.3948846218409017E-14</v>
      </c>
      <c r="R128" s="11" t="str">
        <f>IF(OR(Table25[[#This Row],[%R]]&lt;-100,Table25[[#This Row],[%R]]&gt;0),"RANGE_ERR","")</f>
        <v>RANGE_ERR</v>
      </c>
    </row>
    <row r="129" spans="1:18" x14ac:dyDescent="0.35">
      <c r="A129" s="6">
        <v>127</v>
      </c>
      <c r="B129" s="3">
        <v>45092</v>
      </c>
      <c r="C129" s="2">
        <v>118.88</v>
      </c>
      <c r="D129" s="2">
        <v>121.74</v>
      </c>
      <c r="E129" s="2">
        <v>118.72499999999999</v>
      </c>
      <c r="F129" s="2">
        <v>121.23</v>
      </c>
      <c r="G129" s="1">
        <v>1791120</v>
      </c>
      <c r="H129" s="2">
        <f t="shared" si="4"/>
        <v>114.16</v>
      </c>
      <c r="I129" s="2">
        <f t="shared" si="5"/>
        <v>121.74</v>
      </c>
      <c r="J129" s="22">
        <f>100*(testdata4[[#This Row],[close]]-testdata4[[#This Row],[LL]])/(testdata4[[#This Row],[HH]]-testdata4[[#This Row],[LL]])</f>
        <v>93.271767810026503</v>
      </c>
      <c r="K129" s="22">
        <f>testdata4[[#This Row],[K(14)'']]</f>
        <v>93.271767810026503</v>
      </c>
      <c r="L129" s="22">
        <f>testdata4[[#This Row],[%K]]-100</f>
        <v>-6.7282321899734967</v>
      </c>
      <c r="N129" s="12">
        <v>127</v>
      </c>
      <c r="O129" s="3">
        <v>45092</v>
      </c>
      <c r="P129" s="23" t="s">
        <v>130</v>
      </c>
      <c r="Q129" s="22">
        <f>IF(testdata4[[#This Row],[%R]]&lt;&gt;Table25[[#This Row],[%R]],testdata4[[#This Row],[%R]]-Table25[[#This Row],[%R]],"")</f>
        <v>-7.1054273576010019E-15</v>
      </c>
      <c r="R129" s="11" t="str">
        <f>IF(OR(Table25[[#This Row],[%R]]&lt;-100,Table25[[#This Row],[%R]]&gt;0),"RANGE_ERR","")</f>
        <v>RANGE_ERR</v>
      </c>
    </row>
    <row r="130" spans="1:18" x14ac:dyDescent="0.35">
      <c r="A130" s="6">
        <v>128</v>
      </c>
      <c r="B130" s="3">
        <v>45093</v>
      </c>
      <c r="C130" s="2">
        <v>122.1</v>
      </c>
      <c r="D130" s="2">
        <v>123.175</v>
      </c>
      <c r="E130" s="2">
        <v>120.63</v>
      </c>
      <c r="F130" s="2">
        <v>121.13</v>
      </c>
      <c r="G130" s="1">
        <v>3941321</v>
      </c>
      <c r="H130" s="2">
        <f t="shared" si="4"/>
        <v>114.16</v>
      </c>
      <c r="I130" s="2">
        <f t="shared" si="5"/>
        <v>123.175</v>
      </c>
      <c r="J130" s="22">
        <f>100*(testdata4[[#This Row],[close]]-testdata4[[#This Row],[LL]])/(testdata4[[#This Row],[HH]]-testdata4[[#This Row],[LL]])</f>
        <v>77.315585135884618</v>
      </c>
      <c r="K130" s="22">
        <f>testdata4[[#This Row],[K(14)'']]</f>
        <v>77.315585135884618</v>
      </c>
      <c r="L130" s="22">
        <f>testdata4[[#This Row],[%K]]-100</f>
        <v>-22.684414864115382</v>
      </c>
      <c r="N130" s="12">
        <v>128</v>
      </c>
      <c r="O130" s="3">
        <v>45093</v>
      </c>
      <c r="P130" s="23" t="s">
        <v>131</v>
      </c>
      <c r="Q130" s="22">
        <f>IF(testdata4[[#This Row],[%R]]&lt;&gt;Table25[[#This Row],[%R]],testdata4[[#This Row],[%R]]-Table25[[#This Row],[%R]],"")</f>
        <v>-8.1712414612411521E-14</v>
      </c>
      <c r="R130" s="11" t="str">
        <f>IF(OR(Table25[[#This Row],[%R]]&lt;-100,Table25[[#This Row],[%R]]&gt;0),"RANGE_ERR","")</f>
        <v>RANGE_ERR</v>
      </c>
    </row>
    <row r="131" spans="1:18" x14ac:dyDescent="0.35">
      <c r="A131" s="6">
        <v>129</v>
      </c>
      <c r="B131" s="3">
        <v>45097</v>
      </c>
      <c r="C131" s="2">
        <v>118.64</v>
      </c>
      <c r="D131" s="2">
        <v>118.79</v>
      </c>
      <c r="E131" s="2">
        <v>116.88</v>
      </c>
      <c r="F131" s="2">
        <v>118.16</v>
      </c>
      <c r="G131" s="1">
        <v>2108215</v>
      </c>
      <c r="H131" s="2">
        <f t="shared" si="4"/>
        <v>114.16</v>
      </c>
      <c r="I131" s="2">
        <f t="shared" si="5"/>
        <v>123.175</v>
      </c>
      <c r="J131" s="22">
        <f>100*(testdata4[[#This Row],[close]]-testdata4[[#This Row],[LL]])/(testdata4[[#This Row],[HH]]-testdata4[[#This Row],[LL]])</f>
        <v>44.370493621741538</v>
      </c>
      <c r="K131" s="22">
        <f>testdata4[[#This Row],[K(14)'']]</f>
        <v>44.370493621741538</v>
      </c>
      <c r="L131" s="22">
        <f>testdata4[[#This Row],[%K]]-100</f>
        <v>-55.629506378258462</v>
      </c>
      <c r="N131" s="12">
        <v>129</v>
      </c>
      <c r="O131" s="3">
        <v>45097</v>
      </c>
      <c r="P131" s="23" t="s">
        <v>132</v>
      </c>
      <c r="Q131" s="22">
        <f>IF(testdata4[[#This Row],[%R]]&lt;&gt;Table25[[#This Row],[%R]],testdata4[[#This Row],[%R]]-Table25[[#This Row],[%R]],"")</f>
        <v>-6.3948846218409017E-14</v>
      </c>
      <c r="R131" s="11" t="str">
        <f>IF(OR(Table25[[#This Row],[%R]]&lt;-100,Table25[[#This Row],[%R]]&gt;0),"RANGE_ERR","")</f>
        <v>RANGE_ERR</v>
      </c>
    </row>
    <row r="132" spans="1:18" x14ac:dyDescent="0.35">
      <c r="A132" s="6">
        <v>130</v>
      </c>
      <c r="B132" s="3">
        <v>45098</v>
      </c>
      <c r="C132" s="2">
        <v>117.79</v>
      </c>
      <c r="D132" s="2">
        <v>119.11</v>
      </c>
      <c r="E132" s="2">
        <v>117.27</v>
      </c>
      <c r="F132" s="2">
        <v>118.33</v>
      </c>
      <c r="G132" s="1">
        <v>1393400</v>
      </c>
      <c r="H132" s="2">
        <f t="shared" si="4"/>
        <v>114.16</v>
      </c>
      <c r="I132" s="2">
        <f t="shared" si="5"/>
        <v>123.175</v>
      </c>
      <c r="J132" s="22">
        <f>100*(testdata4[[#This Row],[close]]-testdata4[[#This Row],[LL]])/(testdata4[[#This Row],[HH]]-testdata4[[#This Row],[LL]])</f>
        <v>46.256239600665573</v>
      </c>
      <c r="K132" s="22">
        <f>testdata4[[#This Row],[K(14)'']]</f>
        <v>46.256239600665573</v>
      </c>
      <c r="L132" s="22">
        <f>testdata4[[#This Row],[%K]]-100</f>
        <v>-53.743760399334427</v>
      </c>
      <c r="N132" s="12">
        <v>130</v>
      </c>
      <c r="O132" s="3">
        <v>45098</v>
      </c>
      <c r="P132" s="23" t="s">
        <v>133</v>
      </c>
      <c r="Q132" s="22">
        <f>IF(testdata4[[#This Row],[%R]]&lt;&gt;Table25[[#This Row],[%R]],testdata4[[#This Row],[%R]]-Table25[[#This Row],[%R]],"")</f>
        <v>-2.8421709430404007E-14</v>
      </c>
      <c r="R132" s="11" t="str">
        <f>IF(OR(Table25[[#This Row],[%R]]&lt;-100,Table25[[#This Row],[%R]]&gt;0),"RANGE_ERR","")</f>
        <v>RANGE_ERR</v>
      </c>
    </row>
    <row r="133" spans="1:18" x14ac:dyDescent="0.35">
      <c r="A133" s="6">
        <v>131</v>
      </c>
      <c r="B133" s="3">
        <v>45099</v>
      </c>
      <c r="C133" s="2">
        <v>118.84</v>
      </c>
      <c r="D133" s="2">
        <v>118.95</v>
      </c>
      <c r="E133" s="2">
        <v>117.17</v>
      </c>
      <c r="F133" s="2">
        <v>118.68</v>
      </c>
      <c r="G133" s="1">
        <v>1736042</v>
      </c>
      <c r="H133" s="2">
        <f t="shared" si="4"/>
        <v>114.16</v>
      </c>
      <c r="I133" s="2">
        <f t="shared" si="5"/>
        <v>123.175</v>
      </c>
      <c r="J133" s="22">
        <f>100*(testdata4[[#This Row],[close]]-testdata4[[#This Row],[LL]])/(testdata4[[#This Row],[HH]]-testdata4[[#This Row],[LL]])</f>
        <v>50.138657792568054</v>
      </c>
      <c r="K133" s="22">
        <f>testdata4[[#This Row],[K(14)'']]</f>
        <v>50.138657792568054</v>
      </c>
      <c r="L133" s="22">
        <f>testdata4[[#This Row],[%K]]-100</f>
        <v>-49.861342207431946</v>
      </c>
      <c r="N133" s="12">
        <v>131</v>
      </c>
      <c r="O133" s="3">
        <v>45099</v>
      </c>
      <c r="P133" s="23" t="s">
        <v>134</v>
      </c>
      <c r="Q133" s="22">
        <f>IF(testdata4[[#This Row],[%R]]&lt;&gt;Table25[[#This Row],[%R]],testdata4[[#This Row],[%R]]-Table25[[#This Row],[%R]],"")</f>
        <v>-4.2632564145606011E-14</v>
      </c>
      <c r="R133" s="11" t="str">
        <f>IF(OR(Table25[[#This Row],[%R]]&lt;-100,Table25[[#This Row],[%R]]&gt;0),"RANGE_ERR","")</f>
        <v>RANGE_ERR</v>
      </c>
    </row>
    <row r="134" spans="1:18" x14ac:dyDescent="0.35">
      <c r="A134" s="6">
        <v>132</v>
      </c>
      <c r="B134" s="3">
        <v>45100</v>
      </c>
      <c r="C134" s="2">
        <v>117.76</v>
      </c>
      <c r="D134" s="2">
        <v>119.71</v>
      </c>
      <c r="E134" s="2">
        <v>117.58</v>
      </c>
      <c r="F134" s="2">
        <v>119.42</v>
      </c>
      <c r="G134" s="1">
        <v>2639297</v>
      </c>
      <c r="H134" s="2">
        <f t="shared" si="4"/>
        <v>114.16</v>
      </c>
      <c r="I134" s="2">
        <f t="shared" si="5"/>
        <v>123.175</v>
      </c>
      <c r="J134" s="22">
        <f>100*(testdata4[[#This Row],[close]]-testdata4[[#This Row],[LL]])/(testdata4[[#This Row],[HH]]-testdata4[[#This Row],[LL]])</f>
        <v>58.347199112590175</v>
      </c>
      <c r="K134" s="22">
        <f>testdata4[[#This Row],[K(14)'']]</f>
        <v>58.347199112590175</v>
      </c>
      <c r="L134" s="22">
        <f>testdata4[[#This Row],[%K]]-100</f>
        <v>-41.652800887409825</v>
      </c>
      <c r="N134" s="12">
        <v>132</v>
      </c>
      <c r="O134" s="3">
        <v>45100</v>
      </c>
      <c r="P134" s="23" t="s">
        <v>135</v>
      </c>
      <c r="Q134" s="22">
        <f>IF(testdata4[[#This Row],[%R]]&lt;&gt;Table25[[#This Row],[%R]],testdata4[[#This Row],[%R]]-Table25[[#This Row],[%R]],"")</f>
        <v>-2.1316282072803006E-14</v>
      </c>
      <c r="R134" s="11" t="str">
        <f>IF(OR(Table25[[#This Row],[%R]]&lt;-100,Table25[[#This Row],[%R]]&gt;0),"RANGE_ERR","")</f>
        <v>RANGE_ERR</v>
      </c>
    </row>
    <row r="135" spans="1:18" x14ac:dyDescent="0.35">
      <c r="A135" s="6">
        <v>133</v>
      </c>
      <c r="B135" s="3">
        <v>45103</v>
      </c>
      <c r="C135" s="2">
        <v>118.96</v>
      </c>
      <c r="D135" s="2">
        <v>119.8</v>
      </c>
      <c r="E135" s="2">
        <v>117.34</v>
      </c>
      <c r="F135" s="2">
        <v>118.37</v>
      </c>
      <c r="G135" s="1">
        <v>1673392</v>
      </c>
      <c r="H135" s="2">
        <f t="shared" si="4"/>
        <v>114.16</v>
      </c>
      <c r="I135" s="2">
        <f t="shared" si="5"/>
        <v>123.175</v>
      </c>
      <c r="J135" s="22">
        <f>100*(testdata4[[#This Row],[close]]-testdata4[[#This Row],[LL]])/(testdata4[[#This Row],[HH]]-testdata4[[#This Row],[LL]])</f>
        <v>46.699944536883059</v>
      </c>
      <c r="K135" s="22">
        <f>testdata4[[#This Row],[K(14)'']]</f>
        <v>46.699944536883059</v>
      </c>
      <c r="L135" s="22">
        <f>testdata4[[#This Row],[%K]]-100</f>
        <v>-53.300055463116941</v>
      </c>
      <c r="N135" s="12">
        <v>133</v>
      </c>
      <c r="O135" s="3">
        <v>45103</v>
      </c>
      <c r="P135" s="23" t="s">
        <v>136</v>
      </c>
      <c r="Q135" s="22">
        <f>IF(testdata4[[#This Row],[%R]]&lt;&gt;Table25[[#This Row],[%R]],testdata4[[#This Row],[%R]]-Table25[[#This Row],[%R]],"")</f>
        <v>-4.2632564145606011E-14</v>
      </c>
      <c r="R135" s="11" t="str">
        <f>IF(OR(Table25[[#This Row],[%R]]&lt;-100,Table25[[#This Row],[%R]]&gt;0),"RANGE_ERR","")</f>
        <v>RANGE_ERR</v>
      </c>
    </row>
    <row r="136" spans="1:18" x14ac:dyDescent="0.35">
      <c r="A136" s="6">
        <v>134</v>
      </c>
      <c r="B136" s="3">
        <v>45104</v>
      </c>
      <c r="C136" s="2">
        <v>118.47</v>
      </c>
      <c r="D136" s="2">
        <v>118.96</v>
      </c>
      <c r="E136" s="2">
        <v>116.73</v>
      </c>
      <c r="F136" s="2">
        <v>117.04</v>
      </c>
      <c r="G136" s="1">
        <v>2326060</v>
      </c>
      <c r="H136" s="2">
        <f t="shared" si="4"/>
        <v>114.16</v>
      </c>
      <c r="I136" s="2">
        <f t="shared" si="5"/>
        <v>123.175</v>
      </c>
      <c r="J136" s="22">
        <f>100*(testdata4[[#This Row],[close]]-testdata4[[#This Row],[LL]])/(testdata4[[#This Row],[HH]]-testdata4[[#This Row],[LL]])</f>
        <v>31.946755407654017</v>
      </c>
      <c r="K136" s="22">
        <f>testdata4[[#This Row],[K(14)'']]</f>
        <v>31.946755407654017</v>
      </c>
      <c r="L136" s="22">
        <f>testdata4[[#This Row],[%K]]-100</f>
        <v>-68.053244592345976</v>
      </c>
      <c r="N136" s="12">
        <v>134</v>
      </c>
      <c r="O136" s="3">
        <v>45104</v>
      </c>
      <c r="P136" s="23" t="s">
        <v>137</v>
      </c>
      <c r="Q136" s="22">
        <f>IF(testdata4[[#This Row],[%R]]&lt;&gt;Table25[[#This Row],[%R]],testdata4[[#This Row],[%R]]-Table25[[#This Row],[%R]],"")</f>
        <v>-7.1054273576010019E-14</v>
      </c>
      <c r="R136" s="11" t="str">
        <f>IF(OR(Table25[[#This Row],[%R]]&lt;-100,Table25[[#This Row],[%R]]&gt;0),"RANGE_ERR","")</f>
        <v>RANGE_ERR</v>
      </c>
    </row>
    <row r="137" spans="1:18" x14ac:dyDescent="0.35">
      <c r="A137" s="6">
        <v>135</v>
      </c>
      <c r="B137" s="3">
        <v>45105</v>
      </c>
      <c r="C137" s="2">
        <v>116.7</v>
      </c>
      <c r="D137" s="2">
        <v>117.11</v>
      </c>
      <c r="E137" s="2">
        <v>115.71</v>
      </c>
      <c r="F137" s="2">
        <v>116.37</v>
      </c>
      <c r="G137" s="1">
        <v>2196779</v>
      </c>
      <c r="H137" s="2">
        <f t="shared" si="4"/>
        <v>114.16</v>
      </c>
      <c r="I137" s="2">
        <f t="shared" si="5"/>
        <v>123.175</v>
      </c>
      <c r="J137" s="22">
        <f>100*(testdata4[[#This Row],[close]]-testdata4[[#This Row],[LL]])/(testdata4[[#This Row],[HH]]-testdata4[[#This Row],[LL]])</f>
        <v>24.51469772601229</v>
      </c>
      <c r="K137" s="22">
        <f>testdata4[[#This Row],[K(14)'']]</f>
        <v>24.51469772601229</v>
      </c>
      <c r="L137" s="22">
        <f>testdata4[[#This Row],[%K]]-100</f>
        <v>-75.485302273987713</v>
      </c>
      <c r="N137" s="12">
        <v>135</v>
      </c>
      <c r="O137" s="3">
        <v>45105</v>
      </c>
      <c r="P137" s="23" t="s">
        <v>138</v>
      </c>
      <c r="Q137" s="22">
        <f>IF(testdata4[[#This Row],[%R]]&lt;&gt;Table25[[#This Row],[%R]],testdata4[[#This Row],[%R]]-Table25[[#This Row],[%R]],"")</f>
        <v>-1.4210854715202004E-14</v>
      </c>
      <c r="R137" s="11" t="str">
        <f>IF(OR(Table25[[#This Row],[%R]]&lt;-100,Table25[[#This Row],[%R]]&gt;0),"RANGE_ERR","")</f>
        <v>RANGE_ERR</v>
      </c>
    </row>
    <row r="138" spans="1:18" x14ac:dyDescent="0.35">
      <c r="A138" s="6">
        <v>136</v>
      </c>
      <c r="B138" s="3">
        <v>45106</v>
      </c>
      <c r="C138" s="2">
        <v>116.16</v>
      </c>
      <c r="D138" s="2">
        <v>118.25</v>
      </c>
      <c r="E138" s="2">
        <v>116.07</v>
      </c>
      <c r="F138" s="2">
        <v>118.05</v>
      </c>
      <c r="G138" s="1">
        <v>1885800</v>
      </c>
      <c r="H138" s="2">
        <f t="shared" si="4"/>
        <v>114.16</v>
      </c>
      <c r="I138" s="2">
        <f t="shared" si="5"/>
        <v>123.175</v>
      </c>
      <c r="J138" s="22">
        <f>100*(testdata4[[#This Row],[close]]-testdata4[[#This Row],[LL]])/(testdata4[[#This Row],[HH]]-testdata4[[#This Row],[LL]])</f>
        <v>43.150305047143654</v>
      </c>
      <c r="K138" s="22">
        <f>testdata4[[#This Row],[K(14)'']]</f>
        <v>43.150305047143654</v>
      </c>
      <c r="L138" s="22">
        <f>testdata4[[#This Row],[%K]]-100</f>
        <v>-56.849694952856346</v>
      </c>
      <c r="N138" s="12">
        <v>136</v>
      </c>
      <c r="O138" s="3">
        <v>45106</v>
      </c>
      <c r="P138" s="23" t="s">
        <v>139</v>
      </c>
      <c r="Q138" s="22">
        <f>IF(testdata4[[#This Row],[%R]]&lt;&gt;Table25[[#This Row],[%R]],testdata4[[#This Row],[%R]]-Table25[[#This Row],[%R]],"")</f>
        <v>-4.9737991503207013E-14</v>
      </c>
      <c r="R138" s="11" t="str">
        <f>IF(OR(Table25[[#This Row],[%R]]&lt;-100,Table25[[#This Row],[%R]]&gt;0),"RANGE_ERR","")</f>
        <v>RANGE_ERR</v>
      </c>
    </row>
    <row r="139" spans="1:18" x14ac:dyDescent="0.35">
      <c r="A139" s="6">
        <v>137</v>
      </c>
      <c r="B139" s="3">
        <v>45107</v>
      </c>
      <c r="C139" s="2">
        <v>118.73</v>
      </c>
      <c r="D139" s="2">
        <v>120.69</v>
      </c>
      <c r="E139" s="2">
        <v>118.3</v>
      </c>
      <c r="F139" s="2">
        <v>120.25</v>
      </c>
      <c r="G139" s="1">
        <v>2442240</v>
      </c>
      <c r="H139" s="2">
        <f t="shared" si="4"/>
        <v>115.71</v>
      </c>
      <c r="I139" s="2">
        <f t="shared" si="5"/>
        <v>123.175</v>
      </c>
      <c r="J139" s="22">
        <f>100*(testdata4[[#This Row],[close]]-testdata4[[#This Row],[LL]])/(testdata4[[#This Row],[HH]]-testdata4[[#This Row],[LL]])</f>
        <v>60.817146684527856</v>
      </c>
      <c r="K139" s="22">
        <f>testdata4[[#This Row],[K(14)'']]</f>
        <v>60.817146684527856</v>
      </c>
      <c r="L139" s="22">
        <f>testdata4[[#This Row],[%K]]-100</f>
        <v>-39.182853315472144</v>
      </c>
      <c r="N139" s="12">
        <v>137</v>
      </c>
      <c r="O139" s="3">
        <v>45107</v>
      </c>
      <c r="P139" s="23" t="s">
        <v>140</v>
      </c>
      <c r="Q139" s="22">
        <f>IF(testdata4[[#This Row],[%R]]&lt;&gt;Table25[[#This Row],[%R]],testdata4[[#This Row],[%R]]-Table25[[#This Row],[%R]],"")</f>
        <v>-4.2632564145606011E-14</v>
      </c>
      <c r="R139" s="11" t="str">
        <f>IF(OR(Table25[[#This Row],[%R]]&lt;-100,Table25[[#This Row],[%R]]&gt;0),"RANGE_ERR","")</f>
        <v>RANGE_ERR</v>
      </c>
    </row>
    <row r="140" spans="1:18" x14ac:dyDescent="0.35">
      <c r="A140" s="6">
        <v>138</v>
      </c>
      <c r="B140" s="3">
        <v>45110</v>
      </c>
      <c r="C140" s="2">
        <v>120.02</v>
      </c>
      <c r="D140" s="2">
        <v>120.85</v>
      </c>
      <c r="E140" s="2">
        <v>119.22</v>
      </c>
      <c r="F140" s="2">
        <v>119.32</v>
      </c>
      <c r="G140" s="1">
        <v>992327</v>
      </c>
      <c r="H140" s="2">
        <f t="shared" si="4"/>
        <v>115.71</v>
      </c>
      <c r="I140" s="2">
        <f t="shared" si="5"/>
        <v>123.175</v>
      </c>
      <c r="J140" s="22">
        <f>100*(testdata4[[#This Row],[close]]-testdata4[[#This Row],[LL]])/(testdata4[[#This Row],[HH]]-testdata4[[#This Row],[LL]])</f>
        <v>48.35900870730071</v>
      </c>
      <c r="K140" s="22">
        <f>testdata4[[#This Row],[K(14)'']]</f>
        <v>48.35900870730071</v>
      </c>
      <c r="L140" s="22">
        <f>testdata4[[#This Row],[%K]]-100</f>
        <v>-51.64099129269929</v>
      </c>
      <c r="N140" s="12">
        <v>138</v>
      </c>
      <c r="O140" s="3">
        <v>45110</v>
      </c>
      <c r="P140" s="23" t="s">
        <v>141</v>
      </c>
      <c r="Q140" s="22">
        <f>IF(testdata4[[#This Row],[%R]]&lt;&gt;Table25[[#This Row],[%R]],testdata4[[#This Row],[%R]]-Table25[[#This Row],[%R]],"")</f>
        <v>-9.2370555648813024E-14</v>
      </c>
      <c r="R140" s="11" t="str">
        <f>IF(OR(Table25[[#This Row],[%R]]&lt;-100,Table25[[#This Row],[%R]]&gt;0),"RANGE_ERR","")</f>
        <v>RANGE_ERR</v>
      </c>
    </row>
    <row r="141" spans="1:18" x14ac:dyDescent="0.35">
      <c r="A141" s="6">
        <v>139</v>
      </c>
      <c r="B141" s="3">
        <v>45112</v>
      </c>
      <c r="C141" s="2">
        <v>118.95</v>
      </c>
      <c r="D141" s="2">
        <v>120.28</v>
      </c>
      <c r="E141" s="2">
        <v>118.605</v>
      </c>
      <c r="F141" s="2">
        <v>119.5</v>
      </c>
      <c r="G141" s="1">
        <v>1246207</v>
      </c>
      <c r="H141" s="2">
        <f t="shared" si="4"/>
        <v>115.71</v>
      </c>
      <c r="I141" s="2">
        <f t="shared" si="5"/>
        <v>123.175</v>
      </c>
      <c r="J141" s="22">
        <f>100*(testdata4[[#This Row],[close]]-testdata4[[#This Row],[LL]])/(testdata4[[#This Row],[HH]]-testdata4[[#This Row],[LL]])</f>
        <v>50.770261219022167</v>
      </c>
      <c r="K141" s="22">
        <f>testdata4[[#This Row],[K(14)'']]</f>
        <v>50.770261219022167</v>
      </c>
      <c r="L141" s="22">
        <f>testdata4[[#This Row],[%K]]-100</f>
        <v>-49.229738780977833</v>
      </c>
      <c r="N141" s="12">
        <v>139</v>
      </c>
      <c r="O141" s="3">
        <v>45112</v>
      </c>
      <c r="P141" s="23" t="s">
        <v>142</v>
      </c>
      <c r="Q141" s="22">
        <f>IF(testdata4[[#This Row],[%R]]&lt;&gt;Table25[[#This Row],[%R]],testdata4[[#This Row],[%R]]-Table25[[#This Row],[%R]],"")</f>
        <v>-3.5527136788005009E-14</v>
      </c>
      <c r="R141" s="11" t="str">
        <f>IF(OR(Table25[[#This Row],[%R]]&lt;-100,Table25[[#This Row],[%R]]&gt;0),"RANGE_ERR","")</f>
        <v>RANGE_ERR</v>
      </c>
    </row>
    <row r="142" spans="1:18" x14ac:dyDescent="0.35">
      <c r="A142" s="6">
        <v>140</v>
      </c>
      <c r="B142" s="3">
        <v>45113</v>
      </c>
      <c r="C142" s="2">
        <v>116.36</v>
      </c>
      <c r="D142" s="2">
        <v>118.89</v>
      </c>
      <c r="E142" s="2">
        <v>115.655</v>
      </c>
      <c r="F142" s="2">
        <v>118.43</v>
      </c>
      <c r="G142" s="1">
        <v>1626626</v>
      </c>
      <c r="H142" s="2">
        <f t="shared" si="4"/>
        <v>115.655</v>
      </c>
      <c r="I142" s="2">
        <f t="shared" si="5"/>
        <v>123.175</v>
      </c>
      <c r="J142" s="22">
        <f>100*(testdata4[[#This Row],[close]]-testdata4[[#This Row],[LL]])/(testdata4[[#This Row],[HH]]-testdata4[[#This Row],[LL]])</f>
        <v>36.901595744680947</v>
      </c>
      <c r="K142" s="22">
        <f>testdata4[[#This Row],[K(14)'']]</f>
        <v>36.901595744680947</v>
      </c>
      <c r="L142" s="22">
        <f>testdata4[[#This Row],[%K]]-100</f>
        <v>-63.098404255319053</v>
      </c>
      <c r="N142" s="12">
        <v>140</v>
      </c>
      <c r="O142" s="3">
        <v>45113</v>
      </c>
      <c r="P142" s="23" t="s">
        <v>143</v>
      </c>
      <c r="Q142" s="22">
        <f>IF(testdata4[[#This Row],[%R]]&lt;&gt;Table25[[#This Row],[%R]],testdata4[[#This Row],[%R]]-Table25[[#This Row],[%R]],"")</f>
        <v>-5.6843418860808015E-14</v>
      </c>
      <c r="R142" s="11" t="str">
        <f>IF(OR(Table25[[#This Row],[%R]]&lt;-100,Table25[[#This Row],[%R]]&gt;0),"RANGE_ERR","")</f>
        <v>RANGE_ERR</v>
      </c>
    </row>
    <row r="143" spans="1:18" x14ac:dyDescent="0.35">
      <c r="A143" s="6">
        <v>141</v>
      </c>
      <c r="B143" s="3">
        <v>45114</v>
      </c>
      <c r="C143" s="2">
        <v>117.67</v>
      </c>
      <c r="D143" s="2">
        <v>119.08</v>
      </c>
      <c r="E143" s="2">
        <v>116.89</v>
      </c>
      <c r="F143" s="2">
        <v>117</v>
      </c>
      <c r="G143" s="1">
        <v>1493323</v>
      </c>
      <c r="H143" s="2">
        <f t="shared" si="4"/>
        <v>115.655</v>
      </c>
      <c r="I143" s="2">
        <f t="shared" si="5"/>
        <v>123.175</v>
      </c>
      <c r="J143" s="22">
        <f>100*(testdata4[[#This Row],[close]]-testdata4[[#This Row],[LL]])/(testdata4[[#This Row],[HH]]-testdata4[[#This Row],[LL]])</f>
        <v>17.885638297872333</v>
      </c>
      <c r="K143" s="22">
        <f>testdata4[[#This Row],[K(14)'']]</f>
        <v>17.885638297872333</v>
      </c>
      <c r="L143" s="22">
        <f>testdata4[[#This Row],[%K]]-100</f>
        <v>-82.114361702127667</v>
      </c>
      <c r="N143" s="12">
        <v>141</v>
      </c>
      <c r="O143" s="3">
        <v>45114</v>
      </c>
      <c r="P143" s="23" t="s">
        <v>144</v>
      </c>
      <c r="Q143" s="22">
        <f>IF(testdata4[[#This Row],[%R]]&lt;&gt;Table25[[#This Row],[%R]],testdata4[[#This Row],[%R]]-Table25[[#This Row],[%R]],"")</f>
        <v>-7.1054273576010019E-14</v>
      </c>
      <c r="R143" s="11" t="str">
        <f>IF(OR(Table25[[#This Row],[%R]]&lt;-100,Table25[[#This Row],[%R]]&gt;0),"RANGE_ERR","")</f>
        <v>RANGE_ERR</v>
      </c>
    </row>
    <row r="144" spans="1:18" x14ac:dyDescent="0.35">
      <c r="A144" s="6">
        <v>142</v>
      </c>
      <c r="B144" s="3">
        <v>45117</v>
      </c>
      <c r="C144" s="2">
        <v>116.73</v>
      </c>
      <c r="D144" s="2">
        <v>119.52</v>
      </c>
      <c r="E144" s="2">
        <v>116.56</v>
      </c>
      <c r="F144" s="2">
        <v>118.36</v>
      </c>
      <c r="G144" s="1">
        <v>1889165</v>
      </c>
      <c r="H144" s="2">
        <f t="shared" ref="H144:H207" si="6">MIN(E131:E144)</f>
        <v>115.655</v>
      </c>
      <c r="I144" s="2">
        <f t="shared" ref="I144:I207" si="7">MAX(D131:D144)</f>
        <v>120.85</v>
      </c>
      <c r="J144" s="22">
        <f>100*(testdata4[[#This Row],[close]]-testdata4[[#This Row],[LL]])/(testdata4[[#This Row],[HH]]-testdata4[[#This Row],[LL]])</f>
        <v>52.069297401347484</v>
      </c>
      <c r="K144" s="22">
        <f>testdata4[[#This Row],[K(14)'']]</f>
        <v>52.069297401347484</v>
      </c>
      <c r="L144" s="22">
        <f>testdata4[[#This Row],[%K]]-100</f>
        <v>-47.930702598652516</v>
      </c>
      <c r="N144" s="12">
        <v>142</v>
      </c>
      <c r="O144" s="3">
        <v>45117</v>
      </c>
      <c r="P144" s="23" t="s">
        <v>145</v>
      </c>
      <c r="Q144" s="22">
        <f>IF(testdata4[[#This Row],[%R]]&lt;&gt;Table25[[#This Row],[%R]],testdata4[[#This Row],[%R]]-Table25[[#This Row],[%R]],"")</f>
        <v>-1.4210854715202004E-14</v>
      </c>
      <c r="R144" s="11" t="str">
        <f>IF(OR(Table25[[#This Row],[%R]]&lt;-100,Table25[[#This Row],[%R]]&gt;0),"RANGE_ERR","")</f>
        <v>RANGE_ERR</v>
      </c>
    </row>
    <row r="145" spans="1:18" x14ac:dyDescent="0.35">
      <c r="A145" s="6">
        <v>143</v>
      </c>
      <c r="B145" s="3">
        <v>45118</v>
      </c>
      <c r="C145" s="2">
        <v>118.3</v>
      </c>
      <c r="D145" s="2">
        <v>118.98</v>
      </c>
      <c r="E145" s="2">
        <v>117.64</v>
      </c>
      <c r="F145" s="2">
        <v>118.48</v>
      </c>
      <c r="G145" s="1">
        <v>1096750</v>
      </c>
      <c r="H145" s="2">
        <f t="shared" si="6"/>
        <v>115.655</v>
      </c>
      <c r="I145" s="2">
        <f t="shared" si="7"/>
        <v>120.85</v>
      </c>
      <c r="J145" s="22">
        <f>100*(testdata4[[#This Row],[close]]-testdata4[[#This Row],[LL]])/(testdata4[[#This Row],[HH]]-testdata4[[#This Row],[LL]])</f>
        <v>54.379210779595894</v>
      </c>
      <c r="K145" s="22">
        <f>testdata4[[#This Row],[K(14)'']]</f>
        <v>54.379210779595894</v>
      </c>
      <c r="L145" s="22">
        <f>testdata4[[#This Row],[%K]]-100</f>
        <v>-45.620789220404106</v>
      </c>
      <c r="N145" s="12">
        <v>143</v>
      </c>
      <c r="O145" s="3">
        <v>45118</v>
      </c>
      <c r="P145" s="23" t="s">
        <v>146</v>
      </c>
      <c r="Q145" s="22">
        <f>IF(testdata4[[#This Row],[%R]]&lt;&gt;Table25[[#This Row],[%R]],testdata4[[#This Row],[%R]]-Table25[[#This Row],[%R]],"")</f>
        <v>-7.1054273576010019E-15</v>
      </c>
      <c r="R145" s="11" t="str">
        <f>IF(OR(Table25[[#This Row],[%R]]&lt;-100,Table25[[#This Row],[%R]]&gt;0),"RANGE_ERR","")</f>
        <v>RANGE_ERR</v>
      </c>
    </row>
    <row r="146" spans="1:18" x14ac:dyDescent="0.35">
      <c r="A146" s="6">
        <v>144</v>
      </c>
      <c r="B146" s="3">
        <v>45119</v>
      </c>
      <c r="C146" s="2">
        <v>120</v>
      </c>
      <c r="D146" s="2">
        <v>120.49</v>
      </c>
      <c r="E146" s="2">
        <v>119.15</v>
      </c>
      <c r="F146" s="2">
        <v>120</v>
      </c>
      <c r="G146" s="1">
        <v>1596372</v>
      </c>
      <c r="H146" s="2">
        <f t="shared" si="6"/>
        <v>115.655</v>
      </c>
      <c r="I146" s="2">
        <f t="shared" si="7"/>
        <v>120.85</v>
      </c>
      <c r="J146" s="22">
        <f>100*(testdata4[[#This Row],[close]]-testdata4[[#This Row],[LL]])/(testdata4[[#This Row],[HH]]-testdata4[[#This Row],[LL]])</f>
        <v>83.638113570741183</v>
      </c>
      <c r="K146" s="22">
        <f>testdata4[[#This Row],[K(14)'']]</f>
        <v>83.638113570741183</v>
      </c>
      <c r="L146" s="22">
        <f>testdata4[[#This Row],[%K]]-100</f>
        <v>-16.361886429258817</v>
      </c>
      <c r="N146" s="12">
        <v>144</v>
      </c>
      <c r="O146" s="3">
        <v>45119</v>
      </c>
      <c r="P146" s="23" t="s">
        <v>147</v>
      </c>
      <c r="Q146" s="22">
        <f>IF(testdata4[[#This Row],[%R]]&lt;&gt;Table25[[#This Row],[%R]],testdata4[[#This Row],[%R]]-Table25[[#This Row],[%R]],"")</f>
        <v>-1.7763568394002505E-14</v>
      </c>
      <c r="R146" s="11" t="str">
        <f>IF(OR(Table25[[#This Row],[%R]]&lt;-100,Table25[[#This Row],[%R]]&gt;0),"RANGE_ERR","")</f>
        <v>RANGE_ERR</v>
      </c>
    </row>
    <row r="147" spans="1:18" x14ac:dyDescent="0.35">
      <c r="A147" s="6">
        <v>145</v>
      </c>
      <c r="B147" s="3">
        <v>45120</v>
      </c>
      <c r="C147" s="2">
        <v>120.76</v>
      </c>
      <c r="D147" s="2">
        <v>120.87</v>
      </c>
      <c r="E147" s="2">
        <v>118.99</v>
      </c>
      <c r="F147" s="2">
        <v>119.35</v>
      </c>
      <c r="G147" s="1">
        <v>1229778</v>
      </c>
      <c r="H147" s="2">
        <f t="shared" si="6"/>
        <v>115.655</v>
      </c>
      <c r="I147" s="2">
        <f t="shared" si="7"/>
        <v>120.87</v>
      </c>
      <c r="J147" s="22">
        <f>100*(testdata4[[#This Row],[close]]-testdata4[[#This Row],[LL]])/(testdata4[[#This Row],[HH]]-testdata4[[#This Row],[LL]])</f>
        <v>70.853307766059274</v>
      </c>
      <c r="K147" s="22">
        <f>testdata4[[#This Row],[K(14)'']]</f>
        <v>70.853307766059274</v>
      </c>
      <c r="L147" s="22">
        <f>testdata4[[#This Row],[%K]]-100</f>
        <v>-29.146692233940726</v>
      </c>
      <c r="N147" s="12">
        <v>145</v>
      </c>
      <c r="O147" s="3">
        <v>45120</v>
      </c>
      <c r="P147" s="23" t="s">
        <v>148</v>
      </c>
      <c r="Q147" s="22">
        <f>IF(testdata4[[#This Row],[%R]]&lt;&gt;Table25[[#This Row],[%R]],testdata4[[#This Row],[%R]]-Table25[[#This Row],[%R]],"")</f>
        <v>-2.4868995751603507E-14</v>
      </c>
      <c r="R147" s="11" t="str">
        <f>IF(OR(Table25[[#This Row],[%R]]&lt;-100,Table25[[#This Row],[%R]]&gt;0),"RANGE_ERR","")</f>
        <v>RANGE_ERR</v>
      </c>
    </row>
    <row r="148" spans="1:18" x14ac:dyDescent="0.35">
      <c r="A148" s="6">
        <v>146</v>
      </c>
      <c r="B148" s="3">
        <v>45121</v>
      </c>
      <c r="C148" s="2">
        <v>119.54</v>
      </c>
      <c r="D148" s="2">
        <v>120.39</v>
      </c>
      <c r="E148" s="2">
        <v>118.25</v>
      </c>
      <c r="F148" s="2">
        <v>119.75</v>
      </c>
      <c r="G148" s="1">
        <v>1225455</v>
      </c>
      <c r="H148" s="2">
        <f t="shared" si="6"/>
        <v>115.655</v>
      </c>
      <c r="I148" s="2">
        <f t="shared" si="7"/>
        <v>120.87</v>
      </c>
      <c r="J148" s="22">
        <f>100*(testdata4[[#This Row],[close]]-testdata4[[#This Row],[LL]])/(testdata4[[#This Row],[HH]]-testdata4[[#This Row],[LL]])</f>
        <v>78.523489932885838</v>
      </c>
      <c r="K148" s="22">
        <f>testdata4[[#This Row],[K(14)'']]</f>
        <v>78.523489932885838</v>
      </c>
      <c r="L148" s="22">
        <f>testdata4[[#This Row],[%K]]-100</f>
        <v>-21.476510067114162</v>
      </c>
      <c r="N148" s="12">
        <v>146</v>
      </c>
      <c r="O148" s="3">
        <v>45121</v>
      </c>
      <c r="P148" s="23" t="s">
        <v>149</v>
      </c>
      <c r="Q148" s="22">
        <f>IF(testdata4[[#This Row],[%R]]&lt;&gt;Table25[[#This Row],[%R]],testdata4[[#This Row],[%R]]-Table25[[#This Row],[%R]],"")</f>
        <v>-6.3948846218409017E-14</v>
      </c>
      <c r="R148" s="11" t="str">
        <f>IF(OR(Table25[[#This Row],[%R]]&lt;-100,Table25[[#This Row],[%R]]&gt;0),"RANGE_ERR","")</f>
        <v>RANGE_ERR</v>
      </c>
    </row>
    <row r="149" spans="1:18" x14ac:dyDescent="0.35">
      <c r="A149" s="6">
        <v>147</v>
      </c>
      <c r="B149" s="3">
        <v>45124</v>
      </c>
      <c r="C149" s="2">
        <v>119.95</v>
      </c>
      <c r="D149" s="2">
        <v>119.98</v>
      </c>
      <c r="E149" s="2">
        <v>117.66</v>
      </c>
      <c r="F149" s="2">
        <v>118.25</v>
      </c>
      <c r="G149" s="1">
        <v>1123042</v>
      </c>
      <c r="H149" s="2">
        <f t="shared" si="6"/>
        <v>115.655</v>
      </c>
      <c r="I149" s="2">
        <f t="shared" si="7"/>
        <v>120.87</v>
      </c>
      <c r="J149" s="22">
        <f>100*(testdata4[[#This Row],[close]]-testdata4[[#This Row],[LL]])/(testdata4[[#This Row],[HH]]-testdata4[[#This Row],[LL]])</f>
        <v>49.760306807286618</v>
      </c>
      <c r="K149" s="22">
        <f>testdata4[[#This Row],[K(14)'']]</f>
        <v>49.760306807286618</v>
      </c>
      <c r="L149" s="22">
        <f>testdata4[[#This Row],[%K]]-100</f>
        <v>-50.239693192713382</v>
      </c>
      <c r="N149" s="12">
        <v>147</v>
      </c>
      <c r="O149" s="3">
        <v>45124</v>
      </c>
      <c r="P149" s="23" t="s">
        <v>150</v>
      </c>
      <c r="Q149" s="22">
        <f>IF(testdata4[[#This Row],[%R]]&lt;&gt;Table25[[#This Row],[%R]],testdata4[[#This Row],[%R]]-Table25[[#This Row],[%R]],"")</f>
        <v>-8.5265128291212022E-14</v>
      </c>
      <c r="R149" s="11" t="str">
        <f>IF(OR(Table25[[#This Row],[%R]]&lt;-100,Table25[[#This Row],[%R]]&gt;0),"RANGE_ERR","")</f>
        <v>RANGE_ERR</v>
      </c>
    </row>
    <row r="150" spans="1:18" x14ac:dyDescent="0.35">
      <c r="A150" s="6">
        <v>148</v>
      </c>
      <c r="B150" s="3">
        <v>45125</v>
      </c>
      <c r="C150" s="2">
        <v>118.38</v>
      </c>
      <c r="D150" s="2">
        <v>119.79</v>
      </c>
      <c r="E150" s="2">
        <v>118</v>
      </c>
      <c r="F150" s="2">
        <v>119.56</v>
      </c>
      <c r="G150" s="1">
        <v>1362721</v>
      </c>
      <c r="H150" s="2">
        <f t="shared" si="6"/>
        <v>115.655</v>
      </c>
      <c r="I150" s="2">
        <f t="shared" si="7"/>
        <v>120.87</v>
      </c>
      <c r="J150" s="22">
        <f>100*(testdata4[[#This Row],[close]]-testdata4[[#This Row],[LL]])/(testdata4[[#This Row],[HH]]-testdata4[[#This Row],[LL]])</f>
        <v>74.880153403643305</v>
      </c>
      <c r="K150" s="22">
        <f>testdata4[[#This Row],[K(14)'']]</f>
        <v>74.880153403643305</v>
      </c>
      <c r="L150" s="22">
        <f>testdata4[[#This Row],[%K]]-100</f>
        <v>-25.119846596356695</v>
      </c>
      <c r="N150" s="12">
        <v>148</v>
      </c>
      <c r="O150" s="3">
        <v>45125</v>
      </c>
      <c r="P150" s="23" t="s">
        <v>151</v>
      </c>
      <c r="Q150" s="22">
        <f>IF(testdata4[[#This Row],[%R]]&lt;&gt;Table25[[#This Row],[%R]],testdata4[[#This Row],[%R]]-Table25[[#This Row],[%R]],"")</f>
        <v>-9.5923269327613525E-14</v>
      </c>
      <c r="R150" s="11" t="str">
        <f>IF(OR(Table25[[#This Row],[%R]]&lt;-100,Table25[[#This Row],[%R]]&gt;0),"RANGE_ERR","")</f>
        <v>RANGE_ERR</v>
      </c>
    </row>
    <row r="151" spans="1:18" x14ac:dyDescent="0.35">
      <c r="A151" s="6">
        <v>149</v>
      </c>
      <c r="B151" s="3">
        <v>45126</v>
      </c>
      <c r="C151" s="2">
        <v>120.01</v>
      </c>
      <c r="D151" s="2">
        <v>123.34</v>
      </c>
      <c r="E151" s="2">
        <v>119.855</v>
      </c>
      <c r="F151" s="2">
        <v>123.08</v>
      </c>
      <c r="G151" s="1">
        <v>2425546</v>
      </c>
      <c r="H151" s="2">
        <f t="shared" si="6"/>
        <v>115.655</v>
      </c>
      <c r="I151" s="2">
        <f t="shared" si="7"/>
        <v>123.34</v>
      </c>
      <c r="J151" s="22">
        <f>100*(testdata4[[#This Row],[close]]-testdata4[[#This Row],[LL]])/(testdata4[[#This Row],[HH]]-testdata4[[#This Row],[LL]])</f>
        <v>96.616785946649259</v>
      </c>
      <c r="K151" s="22">
        <f>testdata4[[#This Row],[K(14)'']]</f>
        <v>96.616785946649259</v>
      </c>
      <c r="L151" s="22">
        <f>testdata4[[#This Row],[%K]]-100</f>
        <v>-3.3832140533507413</v>
      </c>
      <c r="N151" s="12">
        <v>149</v>
      </c>
      <c r="O151" s="3">
        <v>45126</v>
      </c>
      <c r="P151" s="23" t="s">
        <v>152</v>
      </c>
      <c r="Q151" s="22">
        <f>IF(testdata4[[#This Row],[%R]]&lt;&gt;Table25[[#This Row],[%R]],testdata4[[#This Row],[%R]]-Table25[[#This Row],[%R]],"")</f>
        <v>-1.3322676295501878E-15</v>
      </c>
      <c r="R151" s="11" t="str">
        <f>IF(OR(Table25[[#This Row],[%R]]&lt;-100,Table25[[#This Row],[%R]]&gt;0),"RANGE_ERR","")</f>
        <v>RANGE_ERR</v>
      </c>
    </row>
    <row r="152" spans="1:18" x14ac:dyDescent="0.35">
      <c r="A152" s="6">
        <v>150</v>
      </c>
      <c r="B152" s="3">
        <v>45127</v>
      </c>
      <c r="C152" s="2">
        <v>123.51</v>
      </c>
      <c r="D152" s="2">
        <v>124.9025</v>
      </c>
      <c r="E152" s="2">
        <v>123.13</v>
      </c>
      <c r="F152" s="2">
        <v>124.55</v>
      </c>
      <c r="G152" s="1">
        <v>2278820</v>
      </c>
      <c r="H152" s="2">
        <f t="shared" si="6"/>
        <v>115.655</v>
      </c>
      <c r="I152" s="2">
        <f t="shared" si="7"/>
        <v>124.9025</v>
      </c>
      <c r="J152" s="22">
        <f>100*(testdata4[[#This Row],[close]]-testdata4[[#This Row],[LL]])/(testdata4[[#This Row],[HH]]-testdata4[[#This Row],[LL]])</f>
        <v>96.188158961881513</v>
      </c>
      <c r="K152" s="22">
        <f>testdata4[[#This Row],[K(14)'']]</f>
        <v>96.188158961881513</v>
      </c>
      <c r="L152" s="22">
        <f>testdata4[[#This Row],[%K]]-100</f>
        <v>-3.8118410381184873</v>
      </c>
      <c r="N152" s="12">
        <v>150</v>
      </c>
      <c r="O152" s="3">
        <v>45127</v>
      </c>
      <c r="P152" s="23" t="s">
        <v>153</v>
      </c>
      <c r="Q152" s="22">
        <f>IF(testdata4[[#This Row],[%R]]&lt;&gt;Table25[[#This Row],[%R]],testdata4[[#This Row],[%R]]-Table25[[#This Row],[%R]],"")</f>
        <v>-7.1054273576010019E-15</v>
      </c>
      <c r="R152" s="11" t="str">
        <f>IF(OR(Table25[[#This Row],[%R]]&lt;-100,Table25[[#This Row],[%R]]&gt;0),"RANGE_ERR","")</f>
        <v>RANGE_ERR</v>
      </c>
    </row>
    <row r="153" spans="1:18" x14ac:dyDescent="0.35">
      <c r="A153" s="6">
        <v>151</v>
      </c>
      <c r="B153" s="3">
        <v>45128</v>
      </c>
      <c r="C153" s="2">
        <v>124.55</v>
      </c>
      <c r="D153" s="2">
        <v>128.30000000000001</v>
      </c>
      <c r="E153" s="2">
        <v>123.14</v>
      </c>
      <c r="F153" s="2">
        <v>127.62</v>
      </c>
      <c r="G153" s="1">
        <v>3918225</v>
      </c>
      <c r="H153" s="2">
        <f t="shared" si="6"/>
        <v>115.655</v>
      </c>
      <c r="I153" s="2">
        <f t="shared" si="7"/>
        <v>128.30000000000001</v>
      </c>
      <c r="J153" s="22">
        <f>100*(testdata4[[#This Row],[close]]-testdata4[[#This Row],[LL]])/(testdata4[[#This Row],[HH]]-testdata4[[#This Row],[LL]])</f>
        <v>94.622380387504904</v>
      </c>
      <c r="K153" s="22">
        <f>testdata4[[#This Row],[K(14)'']]</f>
        <v>94.622380387504904</v>
      </c>
      <c r="L153" s="22">
        <f>testdata4[[#This Row],[%K]]-100</f>
        <v>-5.3776196124950957</v>
      </c>
      <c r="N153" s="12">
        <v>151</v>
      </c>
      <c r="O153" s="3">
        <v>45128</v>
      </c>
      <c r="P153" s="23" t="s">
        <v>154</v>
      </c>
      <c r="Q153" s="22">
        <f>IF(testdata4[[#This Row],[%R]]&lt;&gt;Table25[[#This Row],[%R]],testdata4[[#This Row],[%R]]-Table25[[#This Row],[%R]],"")</f>
        <v>-5.3290705182007514E-15</v>
      </c>
      <c r="R153" s="11" t="str">
        <f>IF(OR(Table25[[#This Row],[%R]]&lt;-100,Table25[[#This Row],[%R]]&gt;0),"RANGE_ERR","")</f>
        <v>RANGE_ERR</v>
      </c>
    </row>
    <row r="154" spans="1:18" x14ac:dyDescent="0.35">
      <c r="A154" s="6">
        <v>152</v>
      </c>
      <c r="B154" s="3">
        <v>45131</v>
      </c>
      <c r="C154" s="2">
        <v>127.62</v>
      </c>
      <c r="D154" s="2">
        <v>129.38999999999999</v>
      </c>
      <c r="E154" s="2">
        <v>127.19</v>
      </c>
      <c r="F154" s="2">
        <v>127.72</v>
      </c>
      <c r="G154" s="1">
        <v>2001245</v>
      </c>
      <c r="H154" s="2">
        <f t="shared" si="6"/>
        <v>115.655</v>
      </c>
      <c r="I154" s="2">
        <f t="shared" si="7"/>
        <v>129.38999999999999</v>
      </c>
      <c r="J154" s="22">
        <f>100*(testdata4[[#This Row],[close]]-testdata4[[#This Row],[LL]])/(testdata4[[#This Row],[HH]]-testdata4[[#This Row],[LL]])</f>
        <v>87.841281397888679</v>
      </c>
      <c r="K154" s="22">
        <f>testdata4[[#This Row],[K(14)'']]</f>
        <v>87.841281397888679</v>
      </c>
      <c r="L154" s="22">
        <f>testdata4[[#This Row],[%K]]-100</f>
        <v>-12.158718602111321</v>
      </c>
      <c r="N154" s="12">
        <v>152</v>
      </c>
      <c r="O154" s="3">
        <v>45131</v>
      </c>
      <c r="P154" s="23" t="s">
        <v>155</v>
      </c>
      <c r="Q154" s="22">
        <f>IF(testdata4[[#This Row],[%R]]&lt;&gt;Table25[[#This Row],[%R]],testdata4[[#This Row],[%R]]-Table25[[#This Row],[%R]],"")</f>
        <v>-2.1316282072803006E-14</v>
      </c>
      <c r="R154" s="11" t="str">
        <f>IF(OR(Table25[[#This Row],[%R]]&lt;-100,Table25[[#This Row],[%R]]&gt;0),"RANGE_ERR","")</f>
        <v>RANGE_ERR</v>
      </c>
    </row>
    <row r="155" spans="1:18" x14ac:dyDescent="0.35">
      <c r="A155" s="6">
        <v>153</v>
      </c>
      <c r="B155" s="3">
        <v>45132</v>
      </c>
      <c r="C155" s="2">
        <v>125</v>
      </c>
      <c r="D155" s="2">
        <v>129.55000000000001</v>
      </c>
      <c r="E155" s="2">
        <v>124.1452</v>
      </c>
      <c r="F155" s="2">
        <v>127.31</v>
      </c>
      <c r="G155" s="1">
        <v>2199427</v>
      </c>
      <c r="H155" s="2">
        <f t="shared" si="6"/>
        <v>115.655</v>
      </c>
      <c r="I155" s="2">
        <f t="shared" si="7"/>
        <v>129.55000000000001</v>
      </c>
      <c r="J155" s="22">
        <f>100*(testdata4[[#This Row],[close]]-testdata4[[#This Row],[LL]])/(testdata4[[#This Row],[HH]]-testdata4[[#This Row],[LL]])</f>
        <v>83.879093198992379</v>
      </c>
      <c r="K155" s="22">
        <f>testdata4[[#This Row],[K(14)'']]</f>
        <v>83.879093198992379</v>
      </c>
      <c r="L155" s="22">
        <f>testdata4[[#This Row],[%K]]-100</f>
        <v>-16.120906801007621</v>
      </c>
      <c r="N155" s="12">
        <v>153</v>
      </c>
      <c r="O155" s="3">
        <v>45132</v>
      </c>
      <c r="P155" s="23" t="s">
        <v>156</v>
      </c>
      <c r="Q155" s="22">
        <f>IF(testdata4[[#This Row],[%R]]&lt;&gt;Table25[[#This Row],[%R]],testdata4[[#This Row],[%R]]-Table25[[#This Row],[%R]],"")</f>
        <v>-2.1316282072803006E-14</v>
      </c>
      <c r="R155" s="11" t="str">
        <f>IF(OR(Table25[[#This Row],[%R]]&lt;-100,Table25[[#This Row],[%R]]&gt;0),"RANGE_ERR","")</f>
        <v>RANGE_ERR</v>
      </c>
    </row>
    <row r="156" spans="1:18" x14ac:dyDescent="0.35">
      <c r="A156" s="6">
        <v>154</v>
      </c>
      <c r="B156" s="3">
        <v>45133</v>
      </c>
      <c r="C156" s="2">
        <v>125</v>
      </c>
      <c r="D156" s="2">
        <v>128.53</v>
      </c>
      <c r="E156" s="2">
        <v>123.4</v>
      </c>
      <c r="F156" s="2">
        <v>128.47</v>
      </c>
      <c r="G156" s="1">
        <v>2507462</v>
      </c>
      <c r="H156" s="2">
        <f t="shared" si="6"/>
        <v>116.56</v>
      </c>
      <c r="I156" s="2">
        <f t="shared" si="7"/>
        <v>129.55000000000001</v>
      </c>
      <c r="J156" s="22">
        <f>100*(testdata4[[#This Row],[close]]-testdata4[[#This Row],[LL]])/(testdata4[[#This Row],[HH]]-testdata4[[#This Row],[LL]])</f>
        <v>91.685912240184663</v>
      </c>
      <c r="K156" s="22">
        <f>testdata4[[#This Row],[K(14)'']]</f>
        <v>91.685912240184663</v>
      </c>
      <c r="L156" s="22">
        <f>testdata4[[#This Row],[%K]]-100</f>
        <v>-8.3140877598153367</v>
      </c>
      <c r="N156" s="12">
        <v>154</v>
      </c>
      <c r="O156" s="3">
        <v>45133</v>
      </c>
      <c r="P156" s="23" t="s">
        <v>157</v>
      </c>
      <c r="Q156" s="22">
        <f>IF(testdata4[[#This Row],[%R]]&lt;&gt;Table25[[#This Row],[%R]],testdata4[[#This Row],[%R]]-Table25[[#This Row],[%R]],"")</f>
        <v>-7.1054273576010019E-15</v>
      </c>
      <c r="R156" s="11" t="str">
        <f>IF(OR(Table25[[#This Row],[%R]]&lt;-100,Table25[[#This Row],[%R]]&gt;0),"RANGE_ERR","")</f>
        <v>RANGE_ERR</v>
      </c>
    </row>
    <row r="157" spans="1:18" x14ac:dyDescent="0.35">
      <c r="A157" s="6">
        <v>155</v>
      </c>
      <c r="B157" s="3">
        <v>45134</v>
      </c>
      <c r="C157" s="2">
        <v>129.87</v>
      </c>
      <c r="D157" s="2">
        <v>130</v>
      </c>
      <c r="E157" s="2">
        <v>126.64</v>
      </c>
      <c r="F157" s="2">
        <v>126.66</v>
      </c>
      <c r="G157" s="1">
        <v>2582546</v>
      </c>
      <c r="H157" s="2">
        <f t="shared" si="6"/>
        <v>116.56</v>
      </c>
      <c r="I157" s="2">
        <f t="shared" si="7"/>
        <v>130</v>
      </c>
      <c r="J157" s="22">
        <f>100*(testdata4[[#This Row],[close]]-testdata4[[#This Row],[LL]])/(testdata4[[#This Row],[HH]]-testdata4[[#This Row],[LL]])</f>
        <v>75.14880952380949</v>
      </c>
      <c r="K157" s="22">
        <f>testdata4[[#This Row],[K(14)'']]</f>
        <v>75.14880952380949</v>
      </c>
      <c r="L157" s="22">
        <f>testdata4[[#This Row],[%K]]-100</f>
        <v>-24.85119047619051</v>
      </c>
      <c r="N157" s="12">
        <v>155</v>
      </c>
      <c r="O157" s="3">
        <v>45134</v>
      </c>
      <c r="P157" s="23" t="s">
        <v>158</v>
      </c>
      <c r="Q157" s="22">
        <f>IF(testdata4[[#This Row],[%R]]&lt;&gt;Table25[[#This Row],[%R]],testdata4[[#This Row],[%R]]-Table25[[#This Row],[%R]],"")</f>
        <v>-1.0658141036401503E-14</v>
      </c>
      <c r="R157" s="11" t="str">
        <f>IF(OR(Table25[[#This Row],[%R]]&lt;-100,Table25[[#This Row],[%R]]&gt;0),"RANGE_ERR","")</f>
        <v>RANGE_ERR</v>
      </c>
    </row>
    <row r="158" spans="1:18" x14ac:dyDescent="0.35">
      <c r="A158" s="6">
        <v>156</v>
      </c>
      <c r="B158" s="3">
        <v>45135</v>
      </c>
      <c r="C158" s="2">
        <v>127.25</v>
      </c>
      <c r="D158" s="2">
        <v>127.51</v>
      </c>
      <c r="E158" s="2">
        <v>123.16</v>
      </c>
      <c r="F158" s="2">
        <v>126.05</v>
      </c>
      <c r="G158" s="1">
        <v>3138805</v>
      </c>
      <c r="H158" s="2">
        <f t="shared" si="6"/>
        <v>117.64</v>
      </c>
      <c r="I158" s="2">
        <f t="shared" si="7"/>
        <v>130</v>
      </c>
      <c r="J158" s="22">
        <f>100*(testdata4[[#This Row],[close]]-testdata4[[#This Row],[LL]])/(testdata4[[#This Row],[HH]]-testdata4[[#This Row],[LL]])</f>
        <v>68.042071197410976</v>
      </c>
      <c r="K158" s="22">
        <f>testdata4[[#This Row],[K(14)'']]</f>
        <v>68.042071197410976</v>
      </c>
      <c r="L158" s="22">
        <f>testdata4[[#This Row],[%K]]-100</f>
        <v>-31.957928802589024</v>
      </c>
      <c r="N158" s="12">
        <v>156</v>
      </c>
      <c r="O158" s="3">
        <v>45135</v>
      </c>
      <c r="P158" s="23" t="s">
        <v>159</v>
      </c>
      <c r="Q158" s="22">
        <f>IF(testdata4[[#This Row],[%R]]&lt;&gt;Table25[[#This Row],[%R]],testdata4[[#This Row],[%R]]-Table25[[#This Row],[%R]],"")</f>
        <v>-2.4868995751603507E-14</v>
      </c>
      <c r="R158" s="11" t="str">
        <f>IF(OR(Table25[[#This Row],[%R]]&lt;-100,Table25[[#This Row],[%R]]&gt;0),"RANGE_ERR","")</f>
        <v>RANGE_ERR</v>
      </c>
    </row>
    <row r="159" spans="1:18" x14ac:dyDescent="0.35">
      <c r="A159" s="6">
        <v>157</v>
      </c>
      <c r="B159" s="3">
        <v>45138</v>
      </c>
      <c r="C159" s="2">
        <v>124.38</v>
      </c>
      <c r="D159" s="2">
        <v>124.45</v>
      </c>
      <c r="E159" s="2">
        <v>121.215</v>
      </c>
      <c r="F159" s="2">
        <v>121.77</v>
      </c>
      <c r="G159" s="1">
        <v>2376274</v>
      </c>
      <c r="H159" s="2">
        <f t="shared" si="6"/>
        <v>117.66</v>
      </c>
      <c r="I159" s="2">
        <f t="shared" si="7"/>
        <v>130</v>
      </c>
      <c r="J159" s="22">
        <f>100*(testdata4[[#This Row],[close]]-testdata4[[#This Row],[LL]])/(testdata4[[#This Row],[HH]]-testdata4[[#This Row],[LL]])</f>
        <v>33.30632090761749</v>
      </c>
      <c r="K159" s="22">
        <f>testdata4[[#This Row],[K(14)'']]</f>
        <v>33.30632090761749</v>
      </c>
      <c r="L159" s="22">
        <f>testdata4[[#This Row],[%K]]-100</f>
        <v>-66.69367909238251</v>
      </c>
      <c r="N159" s="12">
        <v>157</v>
      </c>
      <c r="O159" s="3">
        <v>45138</v>
      </c>
      <c r="P159" s="23" t="s">
        <v>160</v>
      </c>
      <c r="Q159" s="22">
        <f>IF(testdata4[[#This Row],[%R]]&lt;&gt;Table25[[#This Row],[%R]],testdata4[[#This Row],[%R]]-Table25[[#This Row],[%R]],"")</f>
        <v>-1.4210854715202004E-14</v>
      </c>
      <c r="R159" s="11" t="str">
        <f>IF(OR(Table25[[#This Row],[%R]]&lt;-100,Table25[[#This Row],[%R]]&gt;0),"RANGE_ERR","")</f>
        <v>RANGE_ERR</v>
      </c>
    </row>
    <row r="160" spans="1:18" x14ac:dyDescent="0.35">
      <c r="A160" s="6">
        <v>158</v>
      </c>
      <c r="B160" s="3">
        <v>45139</v>
      </c>
      <c r="C160" s="2">
        <v>121.78</v>
      </c>
      <c r="D160" s="2">
        <v>123.58</v>
      </c>
      <c r="E160" s="2">
        <v>120.46</v>
      </c>
      <c r="F160" s="2">
        <v>122.48</v>
      </c>
      <c r="G160" s="1">
        <v>1654983</v>
      </c>
      <c r="H160" s="2">
        <f t="shared" si="6"/>
        <v>117.66</v>
      </c>
      <c r="I160" s="2">
        <f t="shared" si="7"/>
        <v>130</v>
      </c>
      <c r="J160" s="22">
        <f>100*(testdata4[[#This Row],[close]]-testdata4[[#This Row],[LL]])/(testdata4[[#This Row],[HH]]-testdata4[[#This Row],[LL]])</f>
        <v>39.05996758508919</v>
      </c>
      <c r="K160" s="22">
        <f>testdata4[[#This Row],[K(14)'']]</f>
        <v>39.05996758508919</v>
      </c>
      <c r="L160" s="22">
        <f>testdata4[[#This Row],[%K]]-100</f>
        <v>-60.94003241491081</v>
      </c>
      <c r="N160" s="12">
        <v>158</v>
      </c>
      <c r="O160" s="3">
        <v>45139</v>
      </c>
      <c r="P160" s="23" t="s">
        <v>161</v>
      </c>
      <c r="Q160" s="22">
        <f>IF(testdata4[[#This Row],[%R]]&lt;&gt;Table25[[#This Row],[%R]],testdata4[[#This Row],[%R]]-Table25[[#This Row],[%R]],"")</f>
        <v>-7.1054273576010019E-15</v>
      </c>
      <c r="R160" s="11" t="str">
        <f>IF(OR(Table25[[#This Row],[%R]]&lt;-100,Table25[[#This Row],[%R]]&gt;0),"RANGE_ERR","")</f>
        <v>RANGE_ERR</v>
      </c>
    </row>
    <row r="161" spans="1:18" x14ac:dyDescent="0.35">
      <c r="A161" s="6">
        <v>159</v>
      </c>
      <c r="B161" s="3">
        <v>45140</v>
      </c>
      <c r="C161" s="2">
        <v>122</v>
      </c>
      <c r="D161" s="2">
        <v>128.72499999999999</v>
      </c>
      <c r="E161" s="2">
        <v>121.51</v>
      </c>
      <c r="F161" s="2">
        <v>127.71</v>
      </c>
      <c r="G161" s="1">
        <v>2654667</v>
      </c>
      <c r="H161" s="2">
        <f t="shared" si="6"/>
        <v>117.66</v>
      </c>
      <c r="I161" s="2">
        <f t="shared" si="7"/>
        <v>130</v>
      </c>
      <c r="J161" s="22">
        <f>100*(testdata4[[#This Row],[close]]-testdata4[[#This Row],[LL]])/(testdata4[[#This Row],[HH]]-testdata4[[#This Row],[LL]])</f>
        <v>81.442463533225236</v>
      </c>
      <c r="K161" s="22">
        <f>testdata4[[#This Row],[K(14)'']]</f>
        <v>81.442463533225236</v>
      </c>
      <c r="L161" s="22">
        <f>testdata4[[#This Row],[%K]]-100</f>
        <v>-18.557536466774764</v>
      </c>
      <c r="N161" s="12">
        <v>159</v>
      </c>
      <c r="O161" s="3">
        <v>45140</v>
      </c>
      <c r="P161" s="23" t="s">
        <v>162</v>
      </c>
      <c r="Q161" s="22">
        <f>IF(testdata4[[#This Row],[%R]]&lt;&gt;Table25[[#This Row],[%R]],testdata4[[#This Row],[%R]]-Table25[[#This Row],[%R]],"")</f>
        <v>-6.3948846218409017E-14</v>
      </c>
      <c r="R161" s="11" t="str">
        <f>IF(OR(Table25[[#This Row],[%R]]&lt;-100,Table25[[#This Row],[%R]]&gt;0),"RANGE_ERR","")</f>
        <v>RANGE_ERR</v>
      </c>
    </row>
    <row r="162" spans="1:18" x14ac:dyDescent="0.35">
      <c r="A162" s="6">
        <v>160</v>
      </c>
      <c r="B162" s="3">
        <v>45141</v>
      </c>
      <c r="C162" s="2">
        <v>127.3</v>
      </c>
      <c r="D162" s="2">
        <v>127.355</v>
      </c>
      <c r="E162" s="2">
        <v>124.97</v>
      </c>
      <c r="F162" s="2">
        <v>125.05</v>
      </c>
      <c r="G162" s="1">
        <v>1742622</v>
      </c>
      <c r="H162" s="2">
        <f t="shared" si="6"/>
        <v>117.66</v>
      </c>
      <c r="I162" s="2">
        <f t="shared" si="7"/>
        <v>130</v>
      </c>
      <c r="J162" s="22">
        <f>100*(testdata4[[#This Row],[close]]-testdata4[[#This Row],[LL]])/(testdata4[[#This Row],[HH]]-testdata4[[#This Row],[LL]])</f>
        <v>59.886547811993502</v>
      </c>
      <c r="K162" s="22">
        <f>testdata4[[#This Row],[K(14)'']]</f>
        <v>59.886547811993502</v>
      </c>
      <c r="L162" s="22">
        <f>testdata4[[#This Row],[%K]]-100</f>
        <v>-40.113452188006498</v>
      </c>
      <c r="N162" s="12">
        <v>160</v>
      </c>
      <c r="O162" s="3">
        <v>45141</v>
      </c>
      <c r="P162" s="23" t="s">
        <v>163</v>
      </c>
      <c r="Q162" s="22">
        <f>IF(testdata4[[#This Row],[%R]]&lt;&gt;Table25[[#This Row],[%R]],testdata4[[#This Row],[%R]]-Table25[[#This Row],[%R]],"")</f>
        <v>-9.9475983006414026E-14</v>
      </c>
      <c r="R162" s="11" t="str">
        <f>IF(OR(Table25[[#This Row],[%R]]&lt;-100,Table25[[#This Row],[%R]]&gt;0),"RANGE_ERR","")</f>
        <v>RANGE_ERR</v>
      </c>
    </row>
    <row r="163" spans="1:18" x14ac:dyDescent="0.35">
      <c r="A163" s="6">
        <v>161</v>
      </c>
      <c r="B163" s="3">
        <v>45142</v>
      </c>
      <c r="C163" s="2">
        <v>125.44</v>
      </c>
      <c r="D163" s="2">
        <v>127.17</v>
      </c>
      <c r="E163" s="2">
        <v>125.08</v>
      </c>
      <c r="F163" s="2">
        <v>126.3</v>
      </c>
      <c r="G163" s="1">
        <v>1819475</v>
      </c>
      <c r="H163" s="2">
        <f t="shared" si="6"/>
        <v>118</v>
      </c>
      <c r="I163" s="2">
        <f t="shared" si="7"/>
        <v>130</v>
      </c>
      <c r="J163" s="22">
        <f>100*(testdata4[[#This Row],[close]]-testdata4[[#This Row],[LL]])/(testdata4[[#This Row],[HH]]-testdata4[[#This Row],[LL]])</f>
        <v>69.166666666666643</v>
      </c>
      <c r="K163" s="22">
        <f>testdata4[[#This Row],[K(14)'']]</f>
        <v>69.166666666666643</v>
      </c>
      <c r="L163" s="22">
        <f>testdata4[[#This Row],[%K]]-100</f>
        <v>-30.833333333333357</v>
      </c>
      <c r="N163" s="12">
        <v>161</v>
      </c>
      <c r="O163" s="3">
        <v>45142</v>
      </c>
      <c r="P163" s="23" t="s">
        <v>164</v>
      </c>
      <c r="Q163" s="22">
        <f>IF(testdata4[[#This Row],[%R]]&lt;&gt;Table25[[#This Row],[%R]],testdata4[[#This Row],[%R]]-Table25[[#This Row],[%R]],"")</f>
        <v>-5.6843418860808015E-14</v>
      </c>
      <c r="R163" s="11" t="str">
        <f>IF(OR(Table25[[#This Row],[%R]]&lt;-100,Table25[[#This Row],[%R]]&gt;0),"RANGE_ERR","")</f>
        <v>RANGE_ERR</v>
      </c>
    </row>
    <row r="164" spans="1:18" x14ac:dyDescent="0.35">
      <c r="A164" s="6">
        <v>162</v>
      </c>
      <c r="B164" s="3">
        <v>45145</v>
      </c>
      <c r="C164" s="2">
        <v>126.73</v>
      </c>
      <c r="D164" s="2">
        <v>127.89</v>
      </c>
      <c r="E164" s="2">
        <v>125.69499999999999</v>
      </c>
      <c r="F164" s="2">
        <v>126.51</v>
      </c>
      <c r="G164" s="1">
        <v>1486956</v>
      </c>
      <c r="H164" s="2">
        <f t="shared" si="6"/>
        <v>119.855</v>
      </c>
      <c r="I164" s="2">
        <f t="shared" si="7"/>
        <v>130</v>
      </c>
      <c r="J164" s="22">
        <f>100*(testdata4[[#This Row],[close]]-testdata4[[#This Row],[LL]])/(testdata4[[#This Row],[HH]]-testdata4[[#This Row],[LL]])</f>
        <v>65.598817151306093</v>
      </c>
      <c r="K164" s="22">
        <f>testdata4[[#This Row],[K(14)'']]</f>
        <v>65.598817151306093</v>
      </c>
      <c r="L164" s="22">
        <f>testdata4[[#This Row],[%K]]-100</f>
        <v>-34.401182848693907</v>
      </c>
      <c r="N164" s="12">
        <v>162</v>
      </c>
      <c r="O164" s="3">
        <v>45145</v>
      </c>
      <c r="P164" s="23" t="s">
        <v>165</v>
      </c>
      <c r="Q164" s="22">
        <f>IF(testdata4[[#This Row],[%R]]&lt;&gt;Table25[[#This Row],[%R]],testdata4[[#This Row],[%R]]-Table25[[#This Row],[%R]],"")</f>
        <v>-7.1054273576010019E-15</v>
      </c>
      <c r="R164" s="11" t="str">
        <f>IF(OR(Table25[[#This Row],[%R]]&lt;-100,Table25[[#This Row],[%R]]&gt;0),"RANGE_ERR","")</f>
        <v>RANGE_ERR</v>
      </c>
    </row>
    <row r="165" spans="1:18" x14ac:dyDescent="0.35">
      <c r="A165" s="6">
        <v>163</v>
      </c>
      <c r="B165" s="3">
        <v>45146</v>
      </c>
      <c r="C165" s="2">
        <v>126.69</v>
      </c>
      <c r="D165" s="2">
        <v>128.63</v>
      </c>
      <c r="E165" s="2">
        <v>125.07</v>
      </c>
      <c r="F165" s="2">
        <v>128.35</v>
      </c>
      <c r="G165" s="1">
        <v>2525182</v>
      </c>
      <c r="H165" s="2">
        <f t="shared" si="6"/>
        <v>120.46</v>
      </c>
      <c r="I165" s="2">
        <f t="shared" si="7"/>
        <v>130</v>
      </c>
      <c r="J165" s="22">
        <f>100*(testdata4[[#This Row],[close]]-testdata4[[#This Row],[LL]])/(testdata4[[#This Row],[HH]]-testdata4[[#This Row],[LL]])</f>
        <v>82.704402515723217</v>
      </c>
      <c r="K165" s="22">
        <f>testdata4[[#This Row],[K(14)'']]</f>
        <v>82.704402515723217</v>
      </c>
      <c r="L165" s="22">
        <f>testdata4[[#This Row],[%K]]-100</f>
        <v>-17.295597484276783</v>
      </c>
      <c r="N165" s="12">
        <v>163</v>
      </c>
      <c r="O165" s="3">
        <v>45146</v>
      </c>
      <c r="P165" s="23" t="s">
        <v>166</v>
      </c>
      <c r="Q165" s="22">
        <f>IF(testdata4[[#This Row],[%R]]&lt;&gt;Table25[[#This Row],[%R]],testdata4[[#This Row],[%R]]-Table25[[#This Row],[%R]],"")</f>
        <v>-8.1712414612411521E-14</v>
      </c>
      <c r="R165" s="11" t="str">
        <f>IF(OR(Table25[[#This Row],[%R]]&lt;-100,Table25[[#This Row],[%R]]&gt;0),"RANGE_ERR","")</f>
        <v>RANGE_ERR</v>
      </c>
    </row>
    <row r="166" spans="1:18" x14ac:dyDescent="0.35">
      <c r="A166" s="6">
        <v>164</v>
      </c>
      <c r="B166" s="3">
        <v>45147</v>
      </c>
      <c r="C166" s="2">
        <v>128.16</v>
      </c>
      <c r="D166" s="2">
        <v>129.41999999999999</v>
      </c>
      <c r="E166" s="2">
        <v>127.53</v>
      </c>
      <c r="F166" s="2">
        <v>127.63</v>
      </c>
      <c r="G166" s="1">
        <v>1786064</v>
      </c>
      <c r="H166" s="2">
        <f t="shared" si="6"/>
        <v>120.46</v>
      </c>
      <c r="I166" s="2">
        <f t="shared" si="7"/>
        <v>130</v>
      </c>
      <c r="J166" s="22">
        <f>100*(testdata4[[#This Row],[close]]-testdata4[[#This Row],[LL]])/(testdata4[[#This Row],[HH]]-testdata4[[#This Row],[LL]])</f>
        <v>75.157232704402489</v>
      </c>
      <c r="K166" s="22">
        <f>testdata4[[#This Row],[K(14)'']]</f>
        <v>75.157232704402489</v>
      </c>
      <c r="L166" s="22">
        <f>testdata4[[#This Row],[%K]]-100</f>
        <v>-24.842767295597511</v>
      </c>
      <c r="N166" s="12">
        <v>164</v>
      </c>
      <c r="O166" s="3">
        <v>45147</v>
      </c>
      <c r="P166" s="23" t="s">
        <v>167</v>
      </c>
      <c r="Q166" s="22">
        <f>IF(testdata4[[#This Row],[%R]]&lt;&gt;Table25[[#This Row],[%R]],testdata4[[#This Row],[%R]]-Table25[[#This Row],[%R]],"")</f>
        <v>-1.0658141036401503E-14</v>
      </c>
      <c r="R166" s="11" t="str">
        <f>IF(OR(Table25[[#This Row],[%R]]&lt;-100,Table25[[#This Row],[%R]]&gt;0),"RANGE_ERR","")</f>
        <v>RANGE_ERR</v>
      </c>
    </row>
    <row r="167" spans="1:18" x14ac:dyDescent="0.35">
      <c r="A167" s="6">
        <v>165</v>
      </c>
      <c r="B167" s="3">
        <v>45148</v>
      </c>
      <c r="C167" s="2">
        <v>128</v>
      </c>
      <c r="D167" s="2">
        <v>129.99</v>
      </c>
      <c r="E167" s="2">
        <v>127.31</v>
      </c>
      <c r="F167" s="2">
        <v>127.65</v>
      </c>
      <c r="G167" s="1">
        <v>1515854</v>
      </c>
      <c r="H167" s="2">
        <f t="shared" si="6"/>
        <v>120.46</v>
      </c>
      <c r="I167" s="2">
        <f t="shared" si="7"/>
        <v>130</v>
      </c>
      <c r="J167" s="22">
        <f>100*(testdata4[[#This Row],[close]]-testdata4[[#This Row],[LL]])/(testdata4[[#This Row],[HH]]-testdata4[[#This Row],[LL]])</f>
        <v>75.366876310272602</v>
      </c>
      <c r="K167" s="22">
        <f>testdata4[[#This Row],[K(14)'']]</f>
        <v>75.366876310272602</v>
      </c>
      <c r="L167" s="22">
        <f>testdata4[[#This Row],[%K]]-100</f>
        <v>-24.633123689727398</v>
      </c>
      <c r="N167" s="12">
        <v>165</v>
      </c>
      <c r="O167" s="3">
        <v>45148</v>
      </c>
      <c r="P167" s="23" t="s">
        <v>168</v>
      </c>
      <c r="Q167" s="22">
        <f>IF(testdata4[[#This Row],[%R]]&lt;&gt;Table25[[#This Row],[%R]],testdata4[[#This Row],[%R]]-Table25[[#This Row],[%R]],"")</f>
        <v>-9.9475983006414026E-14</v>
      </c>
      <c r="R167" s="11" t="str">
        <f>IF(OR(Table25[[#This Row],[%R]]&lt;-100,Table25[[#This Row],[%R]]&gt;0),"RANGE_ERR","")</f>
        <v>RANGE_ERR</v>
      </c>
    </row>
    <row r="168" spans="1:18" x14ac:dyDescent="0.35">
      <c r="A168" s="6">
        <v>166</v>
      </c>
      <c r="B168" s="3">
        <v>45149</v>
      </c>
      <c r="C168" s="2">
        <v>126.77</v>
      </c>
      <c r="D168" s="2">
        <v>127.815</v>
      </c>
      <c r="E168" s="2">
        <v>126.35</v>
      </c>
      <c r="F168" s="2">
        <v>126.86</v>
      </c>
      <c r="G168" s="1">
        <v>1256698</v>
      </c>
      <c r="H168" s="2">
        <f t="shared" si="6"/>
        <v>120.46</v>
      </c>
      <c r="I168" s="2">
        <f t="shared" si="7"/>
        <v>130</v>
      </c>
      <c r="J168" s="22">
        <f>100*(testdata4[[#This Row],[close]]-testdata4[[#This Row],[LL]])/(testdata4[[#This Row],[HH]]-testdata4[[#This Row],[LL]])</f>
        <v>67.085953878406727</v>
      </c>
      <c r="K168" s="22">
        <f>testdata4[[#This Row],[K(14)'']]</f>
        <v>67.085953878406727</v>
      </c>
      <c r="L168" s="22">
        <f>testdata4[[#This Row],[%K]]-100</f>
        <v>-32.914046121593273</v>
      </c>
      <c r="N168" s="12">
        <v>166</v>
      </c>
      <c r="O168" s="3">
        <v>45149</v>
      </c>
      <c r="P168" s="23" t="s">
        <v>169</v>
      </c>
      <c r="Q168" s="22">
        <f>IF(testdata4[[#This Row],[%R]]&lt;&gt;Table25[[#This Row],[%R]],testdata4[[#This Row],[%R]]-Table25[[#This Row],[%R]],"")</f>
        <v>-7.1054273576010019E-14</v>
      </c>
      <c r="R168" s="11" t="str">
        <f>IF(OR(Table25[[#This Row],[%R]]&lt;-100,Table25[[#This Row],[%R]]&gt;0),"RANGE_ERR","")</f>
        <v>RANGE_ERR</v>
      </c>
    </row>
    <row r="169" spans="1:18" x14ac:dyDescent="0.35">
      <c r="A169" s="6">
        <v>167</v>
      </c>
      <c r="B169" s="3">
        <v>45152</v>
      </c>
      <c r="C169" s="2">
        <v>125.43</v>
      </c>
      <c r="D169" s="2">
        <v>128</v>
      </c>
      <c r="E169" s="2">
        <v>125.19</v>
      </c>
      <c r="F169" s="2">
        <v>126.65</v>
      </c>
      <c r="G169" s="1">
        <v>1582435</v>
      </c>
      <c r="H169" s="2">
        <f t="shared" si="6"/>
        <v>120.46</v>
      </c>
      <c r="I169" s="2">
        <f t="shared" si="7"/>
        <v>130</v>
      </c>
      <c r="J169" s="22">
        <f>100*(testdata4[[#This Row],[close]]-testdata4[[#This Row],[LL]])/(testdata4[[#This Row],[HH]]-testdata4[[#This Row],[LL]])</f>
        <v>64.884696016771571</v>
      </c>
      <c r="K169" s="22">
        <f>testdata4[[#This Row],[K(14)'']]</f>
        <v>64.884696016771571</v>
      </c>
      <c r="L169" s="22">
        <f>testdata4[[#This Row],[%K]]-100</f>
        <v>-35.115303983228429</v>
      </c>
      <c r="N169" s="12">
        <v>167</v>
      </c>
      <c r="O169" s="3">
        <v>45152</v>
      </c>
      <c r="P169" s="23" t="s">
        <v>170</v>
      </c>
      <c r="Q169" s="22">
        <f>IF(testdata4[[#This Row],[%R]]&lt;&gt;Table25[[#This Row],[%R]],testdata4[[#This Row],[%R]]-Table25[[#This Row],[%R]],"")</f>
        <v>-2.8421709430404007E-14</v>
      </c>
      <c r="R169" s="11" t="str">
        <f>IF(OR(Table25[[#This Row],[%R]]&lt;-100,Table25[[#This Row],[%R]]&gt;0),"RANGE_ERR","")</f>
        <v>RANGE_ERR</v>
      </c>
    </row>
    <row r="170" spans="1:18" x14ac:dyDescent="0.35">
      <c r="A170" s="6">
        <v>168</v>
      </c>
      <c r="B170" s="3">
        <v>45153</v>
      </c>
      <c r="C170" s="2">
        <v>126.31</v>
      </c>
      <c r="D170" s="2">
        <v>127.18</v>
      </c>
      <c r="E170" s="2">
        <v>125.25</v>
      </c>
      <c r="F170" s="2">
        <v>125.65</v>
      </c>
      <c r="G170" s="1">
        <v>2274844</v>
      </c>
      <c r="H170" s="2">
        <f t="shared" si="6"/>
        <v>120.46</v>
      </c>
      <c r="I170" s="2">
        <f t="shared" si="7"/>
        <v>130</v>
      </c>
      <c r="J170" s="22">
        <f>100*(testdata4[[#This Row],[close]]-testdata4[[#This Row],[LL]])/(testdata4[[#This Row],[HH]]-testdata4[[#This Row],[LL]])</f>
        <v>54.402515723270525</v>
      </c>
      <c r="K170" s="22">
        <f>testdata4[[#This Row],[K(14)'']]</f>
        <v>54.402515723270525</v>
      </c>
      <c r="L170" s="22">
        <f>testdata4[[#This Row],[%K]]-100</f>
        <v>-45.597484276729475</v>
      </c>
      <c r="N170" s="12">
        <v>168</v>
      </c>
      <c r="O170" s="3">
        <v>45153</v>
      </c>
      <c r="P170" s="23" t="s">
        <v>171</v>
      </c>
      <c r="Q170" s="22">
        <f>IF(testdata4[[#This Row],[%R]]&lt;&gt;Table25[[#This Row],[%R]],testdata4[[#This Row],[%R]]-Table25[[#This Row],[%R]],"")</f>
        <v>-7.1054273576010019E-14</v>
      </c>
      <c r="R170" s="11" t="str">
        <f>IF(OR(Table25[[#This Row],[%R]]&lt;-100,Table25[[#This Row],[%R]]&gt;0),"RANGE_ERR","")</f>
        <v>RANGE_ERR</v>
      </c>
    </row>
    <row r="171" spans="1:18" x14ac:dyDescent="0.35">
      <c r="A171" s="6">
        <v>169</v>
      </c>
      <c r="B171" s="3">
        <v>45154</v>
      </c>
      <c r="C171" s="2">
        <v>121.99</v>
      </c>
      <c r="D171" s="2">
        <v>123.652</v>
      </c>
      <c r="E171" s="2">
        <v>120.37</v>
      </c>
      <c r="F171" s="2">
        <v>121.36</v>
      </c>
      <c r="G171" s="1">
        <v>3388870</v>
      </c>
      <c r="H171" s="2">
        <f t="shared" si="6"/>
        <v>120.37</v>
      </c>
      <c r="I171" s="2">
        <f t="shared" si="7"/>
        <v>129.99</v>
      </c>
      <c r="J171" s="22">
        <f>100*(testdata4[[#This Row],[close]]-testdata4[[#This Row],[LL]])/(testdata4[[#This Row],[HH]]-testdata4[[#This Row],[LL]])</f>
        <v>10.291060291060234</v>
      </c>
      <c r="K171" s="22">
        <f>testdata4[[#This Row],[K(14)'']]</f>
        <v>10.291060291060234</v>
      </c>
      <c r="L171" s="22">
        <f>testdata4[[#This Row],[%K]]-100</f>
        <v>-89.708939708939766</v>
      </c>
      <c r="N171" s="12">
        <v>169</v>
      </c>
      <c r="O171" s="3">
        <v>45154</v>
      </c>
      <c r="P171" s="23" t="s">
        <v>172</v>
      </c>
      <c r="Q171" s="22">
        <f>IF(testdata4[[#This Row],[%R]]&lt;&gt;Table25[[#This Row],[%R]],testdata4[[#This Row],[%R]]-Table25[[#This Row],[%R]],"")</f>
        <v>-7.1054273576010019E-14</v>
      </c>
      <c r="R171" s="11" t="str">
        <f>IF(OR(Table25[[#This Row],[%R]]&lt;-100,Table25[[#This Row],[%R]]&gt;0),"RANGE_ERR","")</f>
        <v>RANGE_ERR</v>
      </c>
    </row>
    <row r="172" spans="1:18" x14ac:dyDescent="0.35">
      <c r="A172" s="6">
        <v>170</v>
      </c>
      <c r="B172" s="3">
        <v>45155</v>
      </c>
      <c r="C172" s="2">
        <v>122</v>
      </c>
      <c r="D172" s="2">
        <v>122.6491</v>
      </c>
      <c r="E172" s="2">
        <v>120.66</v>
      </c>
      <c r="F172" s="2">
        <v>120.85</v>
      </c>
      <c r="G172" s="1">
        <v>2180810</v>
      </c>
      <c r="H172" s="2">
        <f t="shared" si="6"/>
        <v>120.37</v>
      </c>
      <c r="I172" s="2">
        <f t="shared" si="7"/>
        <v>129.99</v>
      </c>
      <c r="J172" s="22">
        <f>100*(testdata4[[#This Row],[close]]-testdata4[[#This Row],[LL]])/(testdata4[[#This Row],[HH]]-testdata4[[#This Row],[LL]])</f>
        <v>4.9896049896048806</v>
      </c>
      <c r="K172" s="22">
        <f>testdata4[[#This Row],[K(14)'']]</f>
        <v>4.9896049896048806</v>
      </c>
      <c r="L172" s="22">
        <f>testdata4[[#This Row],[%K]]-100</f>
        <v>-95.010395010395115</v>
      </c>
      <c r="N172" s="12">
        <v>170</v>
      </c>
      <c r="O172" s="3">
        <v>45155</v>
      </c>
      <c r="P172" s="23" t="s">
        <v>173</v>
      </c>
      <c r="Q172" s="22">
        <f>IF(testdata4[[#This Row],[%R]]&lt;&gt;Table25[[#This Row],[%R]],testdata4[[#This Row],[%R]]-Table25[[#This Row],[%R]],"")</f>
        <v>-1.4210854715202004E-14</v>
      </c>
      <c r="R172" s="11" t="str">
        <f>IF(OR(Table25[[#This Row],[%R]]&lt;-100,Table25[[#This Row],[%R]]&gt;0),"RANGE_ERR","")</f>
        <v>RANGE_ERR</v>
      </c>
    </row>
    <row r="173" spans="1:18" x14ac:dyDescent="0.35">
      <c r="A173" s="6">
        <v>171</v>
      </c>
      <c r="B173" s="3">
        <v>45156</v>
      </c>
      <c r="C173" s="2">
        <v>120.19</v>
      </c>
      <c r="D173" s="2">
        <v>120.73</v>
      </c>
      <c r="E173" s="2">
        <v>119.035</v>
      </c>
      <c r="F173" s="2">
        <v>119.25</v>
      </c>
      <c r="G173" s="1">
        <v>1803876</v>
      </c>
      <c r="H173" s="2">
        <f t="shared" si="6"/>
        <v>119.035</v>
      </c>
      <c r="I173" s="2">
        <f t="shared" si="7"/>
        <v>129.99</v>
      </c>
      <c r="J173" s="22">
        <f>100*(testdata4[[#This Row],[close]]-testdata4[[#This Row],[LL]])/(testdata4[[#This Row],[HH]]-testdata4[[#This Row],[LL]])</f>
        <v>1.9625741670470394</v>
      </c>
      <c r="K173" s="22">
        <f>testdata4[[#This Row],[K(14)'']]</f>
        <v>1.9625741670470394</v>
      </c>
      <c r="L173" s="22">
        <f>testdata4[[#This Row],[%K]]-100</f>
        <v>-98.037425832952962</v>
      </c>
      <c r="N173" s="12">
        <v>171</v>
      </c>
      <c r="O173" s="3">
        <v>45156</v>
      </c>
      <c r="P173" s="23" t="s">
        <v>174</v>
      </c>
      <c r="Q173" s="22">
        <f>IF(testdata4[[#This Row],[%R]]&lt;&gt;Table25[[#This Row],[%R]],testdata4[[#This Row],[%R]]-Table25[[#This Row],[%R]],"")</f>
        <v>-5.6843418860808015E-14</v>
      </c>
      <c r="R173" s="11" t="str">
        <f>IF(OR(Table25[[#This Row],[%R]]&lt;-100,Table25[[#This Row],[%R]]&gt;0),"RANGE_ERR","")</f>
        <v>RANGE_ERR</v>
      </c>
    </row>
    <row r="174" spans="1:18" x14ac:dyDescent="0.35">
      <c r="A174" s="6">
        <v>172</v>
      </c>
      <c r="B174" s="3">
        <v>45159</v>
      </c>
      <c r="C174" s="2">
        <v>119.5</v>
      </c>
      <c r="D174" s="2">
        <v>119.57</v>
      </c>
      <c r="E174" s="2">
        <v>117.71</v>
      </c>
      <c r="F174" s="2">
        <v>118.86</v>
      </c>
      <c r="G174" s="1">
        <v>2249264</v>
      </c>
      <c r="H174" s="2">
        <f t="shared" si="6"/>
        <v>117.71</v>
      </c>
      <c r="I174" s="2">
        <f t="shared" si="7"/>
        <v>129.99</v>
      </c>
      <c r="J174" s="22">
        <f>100*(testdata4[[#This Row],[close]]-testdata4[[#This Row],[LL]])/(testdata4[[#This Row],[HH]]-testdata4[[#This Row],[LL]])</f>
        <v>9.3648208469055714</v>
      </c>
      <c r="K174" s="22">
        <f>testdata4[[#This Row],[K(14)'']]</f>
        <v>9.3648208469055714</v>
      </c>
      <c r="L174" s="22">
        <f>testdata4[[#This Row],[%K]]-100</f>
        <v>-90.635179153094427</v>
      </c>
      <c r="N174" s="12">
        <v>172</v>
      </c>
      <c r="O174" s="3">
        <v>45159</v>
      </c>
      <c r="P174" s="23" t="s">
        <v>175</v>
      </c>
      <c r="Q174" s="22">
        <f>IF(testdata4[[#This Row],[%R]]&lt;&gt;Table25[[#This Row],[%R]],testdata4[[#This Row],[%R]]-Table25[[#This Row],[%R]],"")</f>
        <v>-2.8421709430404007E-14</v>
      </c>
      <c r="R174" s="11" t="str">
        <f>IF(OR(Table25[[#This Row],[%R]]&lt;-100,Table25[[#This Row],[%R]]&gt;0),"RANGE_ERR","")</f>
        <v>RANGE_ERR</v>
      </c>
    </row>
    <row r="175" spans="1:18" x14ac:dyDescent="0.35">
      <c r="A175" s="6">
        <v>173</v>
      </c>
      <c r="B175" s="3">
        <v>45160</v>
      </c>
      <c r="C175" s="2">
        <v>117.85</v>
      </c>
      <c r="D175" s="2">
        <v>118.61</v>
      </c>
      <c r="E175" s="2">
        <v>117.33</v>
      </c>
      <c r="F175" s="2">
        <v>117.64</v>
      </c>
      <c r="G175" s="1">
        <v>1422277</v>
      </c>
      <c r="H175" s="2">
        <f t="shared" si="6"/>
        <v>117.33</v>
      </c>
      <c r="I175" s="2">
        <f t="shared" si="7"/>
        <v>129.99</v>
      </c>
      <c r="J175" s="22">
        <f>100*(testdata4[[#This Row],[close]]-testdata4[[#This Row],[LL]])/(testdata4[[#This Row],[HH]]-testdata4[[#This Row],[LL]])</f>
        <v>2.4486571879936969</v>
      </c>
      <c r="K175" s="22">
        <f>testdata4[[#This Row],[K(14)'']]</f>
        <v>2.4486571879936969</v>
      </c>
      <c r="L175" s="22">
        <f>testdata4[[#This Row],[%K]]-100</f>
        <v>-97.551342812006297</v>
      </c>
      <c r="N175" s="12">
        <v>173</v>
      </c>
      <c r="O175" s="3">
        <v>45160</v>
      </c>
      <c r="P175" s="23" t="s">
        <v>176</v>
      </c>
      <c r="Q175" s="22">
        <f>IF(testdata4[[#This Row],[%R]]&lt;&gt;Table25[[#This Row],[%R]],testdata4[[#This Row],[%R]]-Table25[[#This Row],[%R]],"")</f>
        <v>-9.9475983006414026E-14</v>
      </c>
      <c r="R175" s="11" t="str">
        <f>IF(OR(Table25[[#This Row],[%R]]&lt;-100,Table25[[#This Row],[%R]]&gt;0),"RANGE_ERR","")</f>
        <v>RANGE_ERR</v>
      </c>
    </row>
    <row r="176" spans="1:18" x14ac:dyDescent="0.35">
      <c r="A176" s="6">
        <v>174</v>
      </c>
      <c r="B176" s="3">
        <v>45161</v>
      </c>
      <c r="C176" s="2">
        <v>118.51</v>
      </c>
      <c r="D176" s="2">
        <v>119.15</v>
      </c>
      <c r="E176" s="2">
        <v>117.71</v>
      </c>
      <c r="F176" s="2">
        <v>119.13</v>
      </c>
      <c r="G176" s="1">
        <v>1289259</v>
      </c>
      <c r="H176" s="2">
        <f t="shared" si="6"/>
        <v>117.33</v>
      </c>
      <c r="I176" s="2">
        <f t="shared" si="7"/>
        <v>129.99</v>
      </c>
      <c r="J176" s="22">
        <f>100*(testdata4[[#This Row],[close]]-testdata4[[#This Row],[LL]])/(testdata4[[#This Row],[HH]]-testdata4[[#This Row],[LL]])</f>
        <v>14.218009478672951</v>
      </c>
      <c r="K176" s="22">
        <f>testdata4[[#This Row],[K(14)'']]</f>
        <v>14.218009478672951</v>
      </c>
      <c r="L176" s="22">
        <f>testdata4[[#This Row],[%K]]-100</f>
        <v>-85.781990521327046</v>
      </c>
      <c r="N176" s="12">
        <v>174</v>
      </c>
      <c r="O176" s="3">
        <v>45161</v>
      </c>
      <c r="P176" s="23" t="s">
        <v>177</v>
      </c>
      <c r="Q176" s="22">
        <f>IF(testdata4[[#This Row],[%R]]&lt;&gt;Table25[[#This Row],[%R]],testdata4[[#This Row],[%R]]-Table25[[#This Row],[%R]],"")</f>
        <v>-4.2632564145606011E-14</v>
      </c>
      <c r="R176" s="11" t="str">
        <f>IF(OR(Table25[[#This Row],[%R]]&lt;-100,Table25[[#This Row],[%R]]&gt;0),"RANGE_ERR","")</f>
        <v>RANGE_ERR</v>
      </c>
    </row>
    <row r="177" spans="1:18" x14ac:dyDescent="0.35">
      <c r="A177" s="6">
        <v>175</v>
      </c>
      <c r="B177" s="3">
        <v>45162</v>
      </c>
      <c r="C177" s="2">
        <v>119.36</v>
      </c>
      <c r="D177" s="2">
        <v>120.78</v>
      </c>
      <c r="E177" s="2">
        <v>118.58</v>
      </c>
      <c r="F177" s="2">
        <v>119.49</v>
      </c>
      <c r="G177" s="1">
        <v>2045908</v>
      </c>
      <c r="H177" s="2">
        <f t="shared" si="6"/>
        <v>117.33</v>
      </c>
      <c r="I177" s="2">
        <f t="shared" si="7"/>
        <v>129.99</v>
      </c>
      <c r="J177" s="22">
        <f>100*(testdata4[[#This Row],[close]]-testdata4[[#This Row],[LL]])/(testdata4[[#This Row],[HH]]-testdata4[[#This Row],[LL]])</f>
        <v>17.061611374407541</v>
      </c>
      <c r="K177" s="22">
        <f>testdata4[[#This Row],[K(14)'']]</f>
        <v>17.061611374407541</v>
      </c>
      <c r="L177" s="22">
        <f>testdata4[[#This Row],[%K]]-100</f>
        <v>-82.938388625592466</v>
      </c>
      <c r="N177" s="12">
        <v>175</v>
      </c>
      <c r="O177" s="3">
        <v>45162</v>
      </c>
      <c r="P177" s="23" t="s">
        <v>178</v>
      </c>
      <c r="Q177" s="22">
        <f>IF(testdata4[[#This Row],[%R]]&lt;&gt;Table25[[#This Row],[%R]],testdata4[[#This Row],[%R]]-Table25[[#This Row],[%R]],"")</f>
        <v>-7.1054273576010019E-14</v>
      </c>
      <c r="R177" s="11" t="str">
        <f>IF(OR(Table25[[#This Row],[%R]]&lt;-100,Table25[[#This Row],[%R]]&gt;0),"RANGE_ERR","")</f>
        <v>RANGE_ERR</v>
      </c>
    </row>
    <row r="178" spans="1:18" x14ac:dyDescent="0.35">
      <c r="A178" s="6">
        <v>176</v>
      </c>
      <c r="B178" s="3">
        <v>45163</v>
      </c>
      <c r="C178" s="2">
        <v>119.8</v>
      </c>
      <c r="D178" s="2">
        <v>120.82</v>
      </c>
      <c r="E178" s="2">
        <v>118.52</v>
      </c>
      <c r="F178" s="2">
        <v>119.68</v>
      </c>
      <c r="G178" s="1">
        <v>1273321</v>
      </c>
      <c r="H178" s="2">
        <f t="shared" si="6"/>
        <v>117.33</v>
      </c>
      <c r="I178" s="2">
        <f t="shared" si="7"/>
        <v>129.99</v>
      </c>
      <c r="J178" s="22">
        <f>100*(testdata4[[#This Row],[close]]-testdata4[[#This Row],[LL]])/(testdata4[[#This Row],[HH]]-testdata4[[#This Row],[LL]])</f>
        <v>18.562401263823116</v>
      </c>
      <c r="K178" s="22">
        <f>testdata4[[#This Row],[K(14)'']]</f>
        <v>18.562401263823116</v>
      </c>
      <c r="L178" s="22">
        <f>testdata4[[#This Row],[%K]]-100</f>
        <v>-81.437598736176881</v>
      </c>
      <c r="N178" s="12">
        <v>176</v>
      </c>
      <c r="O178" s="3">
        <v>45163</v>
      </c>
      <c r="P178" s="23" t="s">
        <v>179</v>
      </c>
      <c r="Q178" s="22">
        <f>IF(testdata4[[#This Row],[%R]]&lt;&gt;Table25[[#This Row],[%R]],testdata4[[#This Row],[%R]]-Table25[[#This Row],[%R]],"")</f>
        <v>-8.5265128291212022E-14</v>
      </c>
      <c r="R178" s="11" t="str">
        <f>IF(OR(Table25[[#This Row],[%R]]&lt;-100,Table25[[#This Row],[%R]]&gt;0),"RANGE_ERR","")</f>
        <v>RANGE_ERR</v>
      </c>
    </row>
    <row r="179" spans="1:18" x14ac:dyDescent="0.35">
      <c r="A179" s="6">
        <v>177</v>
      </c>
      <c r="B179" s="3">
        <v>45166</v>
      </c>
      <c r="C179" s="2">
        <v>119.95</v>
      </c>
      <c r="D179" s="2">
        <v>120.944</v>
      </c>
      <c r="E179" s="2">
        <v>119.34</v>
      </c>
      <c r="F179" s="2">
        <v>119.92</v>
      </c>
      <c r="G179" s="1">
        <v>1052443</v>
      </c>
      <c r="H179" s="2">
        <f t="shared" si="6"/>
        <v>117.33</v>
      </c>
      <c r="I179" s="2">
        <f t="shared" si="7"/>
        <v>129.99</v>
      </c>
      <c r="J179" s="22">
        <f>100*(testdata4[[#This Row],[close]]-testdata4[[#This Row],[LL]])/(testdata4[[#This Row],[HH]]-testdata4[[#This Row],[LL]])</f>
        <v>20.458135860979471</v>
      </c>
      <c r="K179" s="22">
        <f>testdata4[[#This Row],[K(14)'']]</f>
        <v>20.458135860979471</v>
      </c>
      <c r="L179" s="22">
        <f>testdata4[[#This Row],[%K]]-100</f>
        <v>-79.541864139020532</v>
      </c>
      <c r="N179" s="12">
        <v>177</v>
      </c>
      <c r="O179" s="3">
        <v>45166</v>
      </c>
      <c r="P179" s="23" t="s">
        <v>180</v>
      </c>
      <c r="Q179" s="22">
        <f>IF(testdata4[[#This Row],[%R]]&lt;&gt;Table25[[#This Row],[%R]],testdata4[[#This Row],[%R]]-Table25[[#This Row],[%R]],"")</f>
        <v>-2.8421709430404007E-14</v>
      </c>
      <c r="R179" s="11" t="str">
        <f>IF(OR(Table25[[#This Row],[%R]]&lt;-100,Table25[[#This Row],[%R]]&gt;0),"RANGE_ERR","")</f>
        <v>RANGE_ERR</v>
      </c>
    </row>
    <row r="180" spans="1:18" x14ac:dyDescent="0.35">
      <c r="A180" s="6">
        <v>178</v>
      </c>
      <c r="B180" s="3">
        <v>45167</v>
      </c>
      <c r="C180" s="2">
        <v>120.13</v>
      </c>
      <c r="D180" s="2">
        <v>122.285</v>
      </c>
      <c r="E180" s="2">
        <v>119.61</v>
      </c>
      <c r="F180" s="2">
        <v>122.02</v>
      </c>
      <c r="G180" s="1">
        <v>838333</v>
      </c>
      <c r="H180" s="2">
        <f t="shared" si="6"/>
        <v>117.33</v>
      </c>
      <c r="I180" s="2">
        <f t="shared" si="7"/>
        <v>129.99</v>
      </c>
      <c r="J180" s="22">
        <f>100*(testdata4[[#This Row],[close]]-testdata4[[#This Row],[LL]])/(testdata4[[#This Row],[HH]]-testdata4[[#This Row],[LL]])</f>
        <v>37.0458135860979</v>
      </c>
      <c r="K180" s="22">
        <f>testdata4[[#This Row],[K(14)'']]</f>
        <v>37.0458135860979</v>
      </c>
      <c r="L180" s="22">
        <f>testdata4[[#This Row],[%K]]-100</f>
        <v>-62.9541864139021</v>
      </c>
      <c r="N180" s="12">
        <v>178</v>
      </c>
      <c r="O180" s="3">
        <v>45167</v>
      </c>
      <c r="P180" s="23" t="s">
        <v>181</v>
      </c>
      <c r="Q180" s="22">
        <f>IF(testdata4[[#This Row],[%R]]&lt;&gt;Table25[[#This Row],[%R]],testdata4[[#This Row],[%R]]-Table25[[#This Row],[%R]],"")</f>
        <v>0</v>
      </c>
      <c r="R180" s="11" t="str">
        <f>IF(OR(Table25[[#This Row],[%R]]&lt;-100,Table25[[#This Row],[%R]]&gt;0),"RANGE_ERR","")</f>
        <v>RANGE_ERR</v>
      </c>
    </row>
    <row r="181" spans="1:18" x14ac:dyDescent="0.35">
      <c r="A181" s="6">
        <v>179</v>
      </c>
      <c r="B181" s="3">
        <v>45168</v>
      </c>
      <c r="C181" s="2">
        <v>122.34</v>
      </c>
      <c r="D181" s="2">
        <v>122.94</v>
      </c>
      <c r="E181" s="2">
        <v>121.63</v>
      </c>
      <c r="F181" s="2">
        <v>122.68</v>
      </c>
      <c r="G181" s="1">
        <v>1157905</v>
      </c>
      <c r="H181" s="2">
        <f t="shared" si="6"/>
        <v>117.33</v>
      </c>
      <c r="I181" s="2">
        <f t="shared" si="7"/>
        <v>128</v>
      </c>
      <c r="J181" s="22">
        <f>100*(testdata4[[#This Row],[close]]-testdata4[[#This Row],[LL]])/(testdata4[[#This Row],[HH]]-testdata4[[#This Row],[LL]])</f>
        <v>50.140581068416196</v>
      </c>
      <c r="K181" s="22">
        <f>testdata4[[#This Row],[K(14)'']]</f>
        <v>50.140581068416196</v>
      </c>
      <c r="L181" s="22">
        <f>testdata4[[#This Row],[%K]]-100</f>
        <v>-49.859418931583804</v>
      </c>
      <c r="N181" s="12">
        <v>179</v>
      </c>
      <c r="O181" s="3">
        <v>45168</v>
      </c>
      <c r="P181" s="23" t="s">
        <v>182</v>
      </c>
      <c r="Q181" s="22">
        <f>IF(testdata4[[#This Row],[%R]]&lt;&gt;Table25[[#This Row],[%R]],testdata4[[#This Row],[%R]]-Table25[[#This Row],[%R]],"")</f>
        <v>-7.1054273576010019E-15</v>
      </c>
      <c r="R181" s="11" t="str">
        <f>IF(OR(Table25[[#This Row],[%R]]&lt;-100,Table25[[#This Row],[%R]]&gt;0),"RANGE_ERR","")</f>
        <v>RANGE_ERR</v>
      </c>
    </row>
    <row r="182" spans="1:18" x14ac:dyDescent="0.35">
      <c r="A182" s="6">
        <v>180</v>
      </c>
      <c r="B182" s="3">
        <v>45169</v>
      </c>
      <c r="C182" s="2">
        <v>123.11</v>
      </c>
      <c r="D182" s="2">
        <v>123.12</v>
      </c>
      <c r="E182" s="2">
        <v>120.65</v>
      </c>
      <c r="F182" s="2">
        <v>121.07</v>
      </c>
      <c r="G182" s="1">
        <v>2875120</v>
      </c>
      <c r="H182" s="2">
        <f t="shared" si="6"/>
        <v>117.33</v>
      </c>
      <c r="I182" s="2">
        <f t="shared" si="7"/>
        <v>128</v>
      </c>
      <c r="J182" s="22">
        <f>100*(testdata4[[#This Row],[close]]-testdata4[[#This Row],[LL]])/(testdata4[[#This Row],[HH]]-testdata4[[#This Row],[LL]])</f>
        <v>35.051546391752524</v>
      </c>
      <c r="K182" s="22">
        <f>testdata4[[#This Row],[K(14)'']]</f>
        <v>35.051546391752524</v>
      </c>
      <c r="L182" s="22">
        <f>testdata4[[#This Row],[%K]]-100</f>
        <v>-64.948453608247476</v>
      </c>
      <c r="N182" s="12">
        <v>180</v>
      </c>
      <c r="O182" s="3">
        <v>45169</v>
      </c>
      <c r="P182" s="23" t="s">
        <v>183</v>
      </c>
      <c r="Q182" s="22">
        <f>IF(testdata4[[#This Row],[%R]]&lt;&gt;Table25[[#This Row],[%R]],testdata4[[#This Row],[%R]]-Table25[[#This Row],[%R]],"")</f>
        <v>-7.1054273576010019E-14</v>
      </c>
      <c r="R182" s="11" t="str">
        <f>IF(OR(Table25[[#This Row],[%R]]&lt;-100,Table25[[#This Row],[%R]]&gt;0),"RANGE_ERR","")</f>
        <v>RANGE_ERR</v>
      </c>
    </row>
    <row r="183" spans="1:18" x14ac:dyDescent="0.35">
      <c r="A183" s="6">
        <v>181</v>
      </c>
      <c r="B183" s="3">
        <v>45170</v>
      </c>
      <c r="C183" s="2">
        <v>122.69</v>
      </c>
      <c r="D183" s="2">
        <v>123.68</v>
      </c>
      <c r="E183" s="2">
        <v>121.54</v>
      </c>
      <c r="F183" s="2">
        <v>121.91</v>
      </c>
      <c r="G183" s="1">
        <v>840683</v>
      </c>
      <c r="H183" s="2">
        <f t="shared" si="6"/>
        <v>117.33</v>
      </c>
      <c r="I183" s="2">
        <f t="shared" si="7"/>
        <v>127.18</v>
      </c>
      <c r="J183" s="22">
        <f>100*(testdata4[[#This Row],[close]]-testdata4[[#This Row],[LL]])/(testdata4[[#This Row],[HH]]-testdata4[[#This Row],[LL]])</f>
        <v>46.497461928933951</v>
      </c>
      <c r="K183" s="22">
        <f>testdata4[[#This Row],[K(14)'']]</f>
        <v>46.497461928933951</v>
      </c>
      <c r="L183" s="22">
        <f>testdata4[[#This Row],[%K]]-100</f>
        <v>-53.502538071066049</v>
      </c>
      <c r="N183" s="12">
        <v>181</v>
      </c>
      <c r="O183" s="3">
        <v>45170</v>
      </c>
      <c r="P183" s="23" t="s">
        <v>184</v>
      </c>
      <c r="Q183" s="22">
        <f>IF(testdata4[[#This Row],[%R]]&lt;&gt;Table25[[#This Row],[%R]],testdata4[[#This Row],[%R]]-Table25[[#This Row],[%R]],"")</f>
        <v>-4.9737991503207013E-14</v>
      </c>
      <c r="R183" s="11" t="str">
        <f>IF(OR(Table25[[#This Row],[%R]]&lt;-100,Table25[[#This Row],[%R]]&gt;0),"RANGE_ERR","")</f>
        <v>RANGE_ERR</v>
      </c>
    </row>
    <row r="184" spans="1:18" x14ac:dyDescent="0.35">
      <c r="A184" s="6">
        <v>182</v>
      </c>
      <c r="B184" s="3">
        <v>45174</v>
      </c>
      <c r="C184" s="2">
        <v>121.64</v>
      </c>
      <c r="D184" s="2">
        <v>122.5365</v>
      </c>
      <c r="E184" s="2">
        <v>118.67</v>
      </c>
      <c r="F184" s="2">
        <v>118.73</v>
      </c>
      <c r="G184" s="1">
        <v>1270623</v>
      </c>
      <c r="H184" s="2">
        <f t="shared" si="6"/>
        <v>117.33</v>
      </c>
      <c r="I184" s="2">
        <f t="shared" si="7"/>
        <v>123.68</v>
      </c>
      <c r="J184" s="22">
        <f>100*(testdata4[[#This Row],[close]]-testdata4[[#This Row],[LL]])/(testdata4[[#This Row],[HH]]-testdata4[[#This Row],[LL]])</f>
        <v>22.047244094488249</v>
      </c>
      <c r="K184" s="22">
        <f>testdata4[[#This Row],[K(14)'']]</f>
        <v>22.047244094488249</v>
      </c>
      <c r="L184" s="22">
        <f>testdata4[[#This Row],[%K]]-100</f>
        <v>-77.952755905511751</v>
      </c>
      <c r="N184" s="12">
        <v>182</v>
      </c>
      <c r="O184" s="3">
        <v>45174</v>
      </c>
      <c r="P184" s="23" t="s">
        <v>185</v>
      </c>
      <c r="Q184" s="22">
        <f>IF(testdata4[[#This Row],[%R]]&lt;&gt;Table25[[#This Row],[%R]],testdata4[[#This Row],[%R]]-Table25[[#This Row],[%R]],"")</f>
        <v>-5.6843418860808015E-14</v>
      </c>
      <c r="R184" s="11" t="str">
        <f>IF(OR(Table25[[#This Row],[%R]]&lt;-100,Table25[[#This Row],[%R]]&gt;0),"RANGE_ERR","")</f>
        <v>RANGE_ERR</v>
      </c>
    </row>
    <row r="185" spans="1:18" x14ac:dyDescent="0.35">
      <c r="A185" s="6">
        <v>183</v>
      </c>
      <c r="B185" s="3">
        <v>45175</v>
      </c>
      <c r="C185" s="2">
        <v>118.35</v>
      </c>
      <c r="D185" s="2">
        <v>118.66</v>
      </c>
      <c r="E185" s="2">
        <v>116.53</v>
      </c>
      <c r="F185" s="2">
        <v>117.94</v>
      </c>
      <c r="G185" s="1">
        <v>1668905</v>
      </c>
      <c r="H185" s="2">
        <f t="shared" si="6"/>
        <v>116.53</v>
      </c>
      <c r="I185" s="2">
        <f t="shared" si="7"/>
        <v>123.68</v>
      </c>
      <c r="J185" s="22">
        <f>100*(testdata4[[#This Row],[close]]-testdata4[[#This Row],[LL]])/(testdata4[[#This Row],[HH]]-testdata4[[#This Row],[LL]])</f>
        <v>19.720279720279656</v>
      </c>
      <c r="K185" s="22">
        <f>testdata4[[#This Row],[K(14)'']]</f>
        <v>19.720279720279656</v>
      </c>
      <c r="L185" s="22">
        <f>testdata4[[#This Row],[%K]]-100</f>
        <v>-80.279720279720351</v>
      </c>
      <c r="N185" s="12">
        <v>183</v>
      </c>
      <c r="O185" s="3">
        <v>45175</v>
      </c>
      <c r="P185" s="23" t="s">
        <v>186</v>
      </c>
      <c r="Q185" s="22">
        <f>IF(testdata4[[#This Row],[%R]]&lt;&gt;Table25[[#This Row],[%R]],testdata4[[#This Row],[%R]]-Table25[[#This Row],[%R]],"")</f>
        <v>-5.6843418860808015E-14</v>
      </c>
      <c r="R185" s="11" t="str">
        <f>IF(OR(Table25[[#This Row],[%R]]&lt;-100,Table25[[#This Row],[%R]]&gt;0),"RANGE_ERR","")</f>
        <v>RANGE_ERR</v>
      </c>
    </row>
    <row r="186" spans="1:18" x14ac:dyDescent="0.35">
      <c r="A186" s="6">
        <v>184</v>
      </c>
      <c r="B186" s="3">
        <v>45176</v>
      </c>
      <c r="C186" s="2">
        <v>117.97</v>
      </c>
      <c r="D186" s="2">
        <v>118.01</v>
      </c>
      <c r="E186" s="2">
        <v>116.09</v>
      </c>
      <c r="F186" s="2">
        <v>116.26</v>
      </c>
      <c r="G186" s="1">
        <v>1316995</v>
      </c>
      <c r="H186" s="2">
        <f t="shared" si="6"/>
        <v>116.09</v>
      </c>
      <c r="I186" s="2">
        <f t="shared" si="7"/>
        <v>123.68</v>
      </c>
      <c r="J186" s="22">
        <f>100*(testdata4[[#This Row],[close]]-testdata4[[#This Row],[LL]])/(testdata4[[#This Row],[HH]]-testdata4[[#This Row],[LL]])</f>
        <v>2.2397891963109569</v>
      </c>
      <c r="K186" s="22">
        <f>testdata4[[#This Row],[K(14)'']]</f>
        <v>2.2397891963109569</v>
      </c>
      <c r="L186" s="22">
        <f>testdata4[[#This Row],[%K]]-100</f>
        <v>-97.760210803689048</v>
      </c>
      <c r="N186" s="12">
        <v>184</v>
      </c>
      <c r="O186" s="3">
        <v>45176</v>
      </c>
      <c r="P186" s="23" t="s">
        <v>187</v>
      </c>
      <c r="Q186" s="22">
        <f>IF(testdata4[[#This Row],[%R]]&lt;&gt;Table25[[#This Row],[%R]],testdata4[[#This Row],[%R]]-Table25[[#This Row],[%R]],"")</f>
        <v>-4.2632564145606011E-14</v>
      </c>
      <c r="R186" s="11" t="str">
        <f>IF(OR(Table25[[#This Row],[%R]]&lt;-100,Table25[[#This Row],[%R]]&gt;0),"RANGE_ERR","")</f>
        <v>RANGE_ERR</v>
      </c>
    </row>
    <row r="187" spans="1:18" x14ac:dyDescent="0.35">
      <c r="A187" s="6">
        <v>185</v>
      </c>
      <c r="B187" s="3">
        <v>45177</v>
      </c>
      <c r="C187" s="2">
        <v>116.01</v>
      </c>
      <c r="D187" s="2">
        <v>116.21</v>
      </c>
      <c r="E187" s="2">
        <v>113.71</v>
      </c>
      <c r="F187" s="2">
        <v>113.99</v>
      </c>
      <c r="G187" s="1">
        <v>1789768</v>
      </c>
      <c r="H187" s="2">
        <f t="shared" si="6"/>
        <v>113.71</v>
      </c>
      <c r="I187" s="2">
        <f t="shared" si="7"/>
        <v>123.68</v>
      </c>
      <c r="J187" s="22">
        <f>100*(testdata4[[#This Row],[close]]-testdata4[[#This Row],[LL]])/(testdata4[[#This Row],[HH]]-testdata4[[#This Row],[LL]])</f>
        <v>2.8084252758274904</v>
      </c>
      <c r="K187" s="22">
        <f>testdata4[[#This Row],[K(14)'']]</f>
        <v>2.8084252758274904</v>
      </c>
      <c r="L187" s="22">
        <f>testdata4[[#This Row],[%K]]-100</f>
        <v>-97.191574724172511</v>
      </c>
      <c r="N187" s="12">
        <v>185</v>
      </c>
      <c r="O187" s="3">
        <v>45177</v>
      </c>
      <c r="P187" s="23" t="s">
        <v>188</v>
      </c>
      <c r="Q187" s="22">
        <f>IF(testdata4[[#This Row],[%R]]&lt;&gt;Table25[[#This Row],[%R]],testdata4[[#This Row],[%R]]-Table25[[#This Row],[%R]],"")</f>
        <v>-1.4210854715202004E-14</v>
      </c>
      <c r="R187" s="11" t="str">
        <f>IF(OR(Table25[[#This Row],[%R]]&lt;-100,Table25[[#This Row],[%R]]&gt;0),"RANGE_ERR","")</f>
        <v>RANGE_ERR</v>
      </c>
    </row>
    <row r="188" spans="1:18" x14ac:dyDescent="0.35">
      <c r="A188" s="6">
        <v>186</v>
      </c>
      <c r="B188" s="3">
        <v>45180</v>
      </c>
      <c r="C188" s="2">
        <v>114.29</v>
      </c>
      <c r="D188" s="2">
        <v>114.38500000000001</v>
      </c>
      <c r="E188" s="2">
        <v>112.62</v>
      </c>
      <c r="F188" s="2">
        <v>113.1</v>
      </c>
      <c r="G188" s="1">
        <v>2047515</v>
      </c>
      <c r="H188" s="2">
        <f t="shared" si="6"/>
        <v>112.62</v>
      </c>
      <c r="I188" s="2">
        <f t="shared" si="7"/>
        <v>123.68</v>
      </c>
      <c r="J188" s="22">
        <f>100*(testdata4[[#This Row],[close]]-testdata4[[#This Row],[LL]])/(testdata4[[#This Row],[HH]]-testdata4[[#This Row],[LL]])</f>
        <v>4.3399638336346262</v>
      </c>
      <c r="K188" s="22">
        <f>testdata4[[#This Row],[K(14)'']]</f>
        <v>4.3399638336346262</v>
      </c>
      <c r="L188" s="22">
        <f>testdata4[[#This Row],[%K]]-100</f>
        <v>-95.660036166365373</v>
      </c>
      <c r="N188" s="12">
        <v>186</v>
      </c>
      <c r="O188" s="3">
        <v>45180</v>
      </c>
      <c r="P188" s="23" t="s">
        <v>189</v>
      </c>
      <c r="Q188" s="22">
        <f>IF(testdata4[[#This Row],[%R]]&lt;&gt;Table25[[#This Row],[%R]],testdata4[[#This Row],[%R]]-Table25[[#This Row],[%R]],"")</f>
        <v>-7.1054273576010019E-14</v>
      </c>
      <c r="R188" s="11" t="str">
        <f>IF(OR(Table25[[#This Row],[%R]]&lt;-100,Table25[[#This Row],[%R]]&gt;0),"RANGE_ERR","")</f>
        <v>RANGE_ERR</v>
      </c>
    </row>
    <row r="189" spans="1:18" x14ac:dyDescent="0.35">
      <c r="A189" s="6">
        <v>187</v>
      </c>
      <c r="B189" s="3">
        <v>45181</v>
      </c>
      <c r="C189" s="2">
        <v>113.4</v>
      </c>
      <c r="D189" s="2">
        <v>113.97</v>
      </c>
      <c r="E189" s="2">
        <v>112.075</v>
      </c>
      <c r="F189" s="2">
        <v>112.78</v>
      </c>
      <c r="G189" s="1">
        <v>2035029</v>
      </c>
      <c r="H189" s="2">
        <f t="shared" si="6"/>
        <v>112.075</v>
      </c>
      <c r="I189" s="2">
        <f t="shared" si="7"/>
        <v>123.68</v>
      </c>
      <c r="J189" s="22">
        <f>100*(testdata4[[#This Row],[close]]-testdata4[[#This Row],[LL]])/(testdata4[[#This Row],[HH]]-testdata4[[#This Row],[LL]])</f>
        <v>6.0749676863420774</v>
      </c>
      <c r="K189" s="22">
        <f>testdata4[[#This Row],[K(14)'']]</f>
        <v>6.0749676863420774</v>
      </c>
      <c r="L189" s="22">
        <f>testdata4[[#This Row],[%K]]-100</f>
        <v>-93.925032313657923</v>
      </c>
      <c r="N189" s="12">
        <v>187</v>
      </c>
      <c r="O189" s="3">
        <v>45181</v>
      </c>
      <c r="P189" s="23" t="s">
        <v>190</v>
      </c>
      <c r="Q189" s="22">
        <f>IF(testdata4[[#This Row],[%R]]&lt;&gt;Table25[[#This Row],[%R]],testdata4[[#This Row],[%R]]-Table25[[#This Row],[%R]],"")</f>
        <v>-2.8421709430404007E-14</v>
      </c>
      <c r="R189" s="11" t="str">
        <f>IF(OR(Table25[[#This Row],[%R]]&lt;-100,Table25[[#This Row],[%R]]&gt;0),"RANGE_ERR","")</f>
        <v>RANGE_ERR</v>
      </c>
    </row>
    <row r="190" spans="1:18" x14ac:dyDescent="0.35">
      <c r="A190" s="6">
        <v>188</v>
      </c>
      <c r="B190" s="3">
        <v>45182</v>
      </c>
      <c r="C190" s="2">
        <v>110</v>
      </c>
      <c r="D190" s="2">
        <v>115.9</v>
      </c>
      <c r="E190" s="2">
        <v>109</v>
      </c>
      <c r="F190" s="2">
        <v>113.43</v>
      </c>
      <c r="G190" s="1">
        <v>2520471</v>
      </c>
      <c r="H190" s="2">
        <f t="shared" si="6"/>
        <v>109</v>
      </c>
      <c r="I190" s="2">
        <f t="shared" si="7"/>
        <v>123.68</v>
      </c>
      <c r="J190" s="22">
        <f>100*(testdata4[[#This Row],[close]]-testdata4[[#This Row],[LL]])/(testdata4[[#This Row],[HH]]-testdata4[[#This Row],[LL]])</f>
        <v>30.177111716621287</v>
      </c>
      <c r="K190" s="22">
        <f>testdata4[[#This Row],[K(14)'']]</f>
        <v>30.177111716621287</v>
      </c>
      <c r="L190" s="22">
        <f>testdata4[[#This Row],[%K]]-100</f>
        <v>-69.822888283378717</v>
      </c>
      <c r="N190" s="12">
        <v>188</v>
      </c>
      <c r="O190" s="3">
        <v>45182</v>
      </c>
      <c r="P190" s="23" t="s">
        <v>191</v>
      </c>
      <c r="Q190" s="22">
        <f>IF(testdata4[[#This Row],[%R]]&lt;&gt;Table25[[#This Row],[%R]],testdata4[[#This Row],[%R]]-Table25[[#This Row],[%R]],"")</f>
        <v>-1.4210854715202004E-14</v>
      </c>
      <c r="R190" s="11" t="str">
        <f>IF(OR(Table25[[#This Row],[%R]]&lt;-100,Table25[[#This Row],[%R]]&gt;0),"RANGE_ERR","")</f>
        <v>RANGE_ERR</v>
      </c>
    </row>
    <row r="191" spans="1:18" x14ac:dyDescent="0.35">
      <c r="A191" s="6">
        <v>189</v>
      </c>
      <c r="B191" s="3">
        <v>45183</v>
      </c>
      <c r="C191" s="2">
        <v>113.79</v>
      </c>
      <c r="D191" s="2">
        <v>115.31</v>
      </c>
      <c r="E191" s="2">
        <v>111.675</v>
      </c>
      <c r="F191" s="2">
        <v>114.88</v>
      </c>
      <c r="G191" s="1">
        <v>1815836</v>
      </c>
      <c r="H191" s="2">
        <f t="shared" si="6"/>
        <v>109</v>
      </c>
      <c r="I191" s="2">
        <f t="shared" si="7"/>
        <v>123.68</v>
      </c>
      <c r="J191" s="22">
        <f>100*(testdata4[[#This Row],[close]]-testdata4[[#This Row],[LL]])/(testdata4[[#This Row],[HH]]-testdata4[[#This Row],[LL]])</f>
        <v>40.054495912806487</v>
      </c>
      <c r="K191" s="22">
        <f>testdata4[[#This Row],[K(14)'']]</f>
        <v>40.054495912806487</v>
      </c>
      <c r="L191" s="22">
        <f>testdata4[[#This Row],[%K]]-100</f>
        <v>-59.945504087193513</v>
      </c>
      <c r="N191" s="12">
        <v>189</v>
      </c>
      <c r="O191" s="3">
        <v>45183</v>
      </c>
      <c r="P191" s="23" t="s">
        <v>192</v>
      </c>
      <c r="Q191" s="22">
        <f>IF(testdata4[[#This Row],[%R]]&lt;&gt;Table25[[#This Row],[%R]],testdata4[[#This Row],[%R]]-Table25[[#This Row],[%R]],"")</f>
        <v>-1.4210854715202004E-14</v>
      </c>
      <c r="R191" s="11" t="str">
        <f>IF(OR(Table25[[#This Row],[%R]]&lt;-100,Table25[[#This Row],[%R]]&gt;0),"RANGE_ERR","")</f>
        <v>RANGE_ERR</v>
      </c>
    </row>
    <row r="192" spans="1:18" x14ac:dyDescent="0.35">
      <c r="A192" s="6">
        <v>190</v>
      </c>
      <c r="B192" s="3">
        <v>45184</v>
      </c>
      <c r="C192" s="2">
        <v>114.43</v>
      </c>
      <c r="D192" s="2">
        <v>121.92</v>
      </c>
      <c r="E192" s="2">
        <v>113.43</v>
      </c>
      <c r="F192" s="2">
        <v>115.91</v>
      </c>
      <c r="G192" s="1">
        <v>6889630</v>
      </c>
      <c r="H192" s="2">
        <f t="shared" si="6"/>
        <v>109</v>
      </c>
      <c r="I192" s="2">
        <f t="shared" si="7"/>
        <v>123.68</v>
      </c>
      <c r="J192" s="22">
        <f>100*(testdata4[[#This Row],[close]]-testdata4[[#This Row],[LL]])/(testdata4[[#This Row],[HH]]-testdata4[[#This Row],[LL]])</f>
        <v>47.070844686648456</v>
      </c>
      <c r="K192" s="22">
        <f>testdata4[[#This Row],[K(14)'']]</f>
        <v>47.070844686648456</v>
      </c>
      <c r="L192" s="22">
        <f>testdata4[[#This Row],[%K]]-100</f>
        <v>-52.929155313351544</v>
      </c>
      <c r="N192" s="12">
        <v>190</v>
      </c>
      <c r="O192" s="3">
        <v>45184</v>
      </c>
      <c r="P192" s="23" t="s">
        <v>193</v>
      </c>
      <c r="Q192" s="22">
        <f>IF(testdata4[[#This Row],[%R]]&lt;&gt;Table25[[#This Row],[%R]],testdata4[[#This Row],[%R]]-Table25[[#This Row],[%R]],"")</f>
        <v>-4.2632564145606011E-14</v>
      </c>
      <c r="R192" s="11" t="str">
        <f>IF(OR(Table25[[#This Row],[%R]]&lt;-100,Table25[[#This Row],[%R]]&gt;0),"RANGE_ERR","")</f>
        <v>RANGE_ERR</v>
      </c>
    </row>
    <row r="193" spans="1:18" x14ac:dyDescent="0.35">
      <c r="A193" s="6">
        <v>191</v>
      </c>
      <c r="B193" s="3">
        <v>45187</v>
      </c>
      <c r="C193" s="2">
        <v>115</v>
      </c>
      <c r="D193" s="2">
        <v>115</v>
      </c>
      <c r="E193" s="2">
        <v>112.66</v>
      </c>
      <c r="F193" s="2">
        <v>112.69</v>
      </c>
      <c r="G193" s="1">
        <v>1818037</v>
      </c>
      <c r="H193" s="2">
        <f t="shared" si="6"/>
        <v>109</v>
      </c>
      <c r="I193" s="2">
        <f t="shared" si="7"/>
        <v>123.68</v>
      </c>
      <c r="J193" s="22">
        <f>100*(testdata4[[#This Row],[close]]-testdata4[[#This Row],[LL]])/(testdata4[[#This Row],[HH]]-testdata4[[#This Row],[LL]])</f>
        <v>25.136239782016322</v>
      </c>
      <c r="K193" s="22">
        <f>testdata4[[#This Row],[K(14)'']]</f>
        <v>25.136239782016322</v>
      </c>
      <c r="L193" s="22">
        <f>testdata4[[#This Row],[%K]]-100</f>
        <v>-74.863760217983682</v>
      </c>
      <c r="N193" s="12">
        <v>191</v>
      </c>
      <c r="O193" s="3">
        <v>45187</v>
      </c>
      <c r="P193" s="23" t="s">
        <v>194</v>
      </c>
      <c r="Q193" s="22">
        <f>IF(testdata4[[#This Row],[%R]]&lt;&gt;Table25[[#This Row],[%R]],testdata4[[#This Row],[%R]]-Table25[[#This Row],[%R]],"")</f>
        <v>-8.5265128291212022E-14</v>
      </c>
      <c r="R193" s="11" t="str">
        <f>IF(OR(Table25[[#This Row],[%R]]&lt;-100,Table25[[#This Row],[%R]]&gt;0),"RANGE_ERR","")</f>
        <v>RANGE_ERR</v>
      </c>
    </row>
    <row r="194" spans="1:18" x14ac:dyDescent="0.35">
      <c r="A194" s="6">
        <v>192</v>
      </c>
      <c r="B194" s="3">
        <v>45188</v>
      </c>
      <c r="C194" s="2">
        <v>112.37</v>
      </c>
      <c r="D194" s="2">
        <v>113.23</v>
      </c>
      <c r="E194" s="2">
        <v>111.72</v>
      </c>
      <c r="F194" s="2">
        <v>112.31</v>
      </c>
      <c r="G194" s="1">
        <v>2222433</v>
      </c>
      <c r="H194" s="2">
        <f t="shared" si="6"/>
        <v>109</v>
      </c>
      <c r="I194" s="2">
        <f t="shared" si="7"/>
        <v>123.68</v>
      </c>
      <c r="J194" s="22">
        <f>100*(testdata4[[#This Row],[close]]-testdata4[[#This Row],[LL]])/(testdata4[[#This Row],[HH]]-testdata4[[#This Row],[LL]])</f>
        <v>22.547683923705726</v>
      </c>
      <c r="K194" s="22">
        <f>testdata4[[#This Row],[K(14)'']]</f>
        <v>22.547683923705726</v>
      </c>
      <c r="L194" s="22">
        <f>testdata4[[#This Row],[%K]]-100</f>
        <v>-77.452316076294267</v>
      </c>
      <c r="N194" s="12">
        <v>192</v>
      </c>
      <c r="O194" s="3">
        <v>45188</v>
      </c>
      <c r="P194" s="23" t="s">
        <v>195</v>
      </c>
      <c r="Q194" s="22">
        <f>IF(testdata4[[#This Row],[%R]]&lt;&gt;Table25[[#This Row],[%R]],testdata4[[#This Row],[%R]]-Table25[[#This Row],[%R]],"")</f>
        <v>-7.1054273576010019E-14</v>
      </c>
      <c r="R194" s="11" t="str">
        <f>IF(OR(Table25[[#This Row],[%R]]&lt;-100,Table25[[#This Row],[%R]]&gt;0),"RANGE_ERR","")</f>
        <v>RANGE_ERR</v>
      </c>
    </row>
    <row r="195" spans="1:18" x14ac:dyDescent="0.35">
      <c r="A195" s="6">
        <v>193</v>
      </c>
      <c r="B195" s="3">
        <v>45189</v>
      </c>
      <c r="C195" s="2">
        <v>113.08</v>
      </c>
      <c r="D195" s="2">
        <v>113.47</v>
      </c>
      <c r="E195" s="2">
        <v>112.16500000000001</v>
      </c>
      <c r="F195" s="2">
        <v>112.47</v>
      </c>
      <c r="G195" s="1">
        <v>1744938</v>
      </c>
      <c r="H195" s="2">
        <f t="shared" si="6"/>
        <v>109</v>
      </c>
      <c r="I195" s="2">
        <f t="shared" si="7"/>
        <v>123.68</v>
      </c>
      <c r="J195" s="22">
        <f>100*(testdata4[[#This Row],[close]]-testdata4[[#This Row],[LL]])/(testdata4[[#This Row],[HH]]-testdata4[[#This Row],[LL]])</f>
        <v>23.637602179836495</v>
      </c>
      <c r="K195" s="22">
        <f>testdata4[[#This Row],[K(14)'']]</f>
        <v>23.637602179836495</v>
      </c>
      <c r="L195" s="22">
        <f>testdata4[[#This Row],[%K]]-100</f>
        <v>-76.362397820163508</v>
      </c>
      <c r="N195" s="12">
        <v>193</v>
      </c>
      <c r="O195" s="3">
        <v>45189</v>
      </c>
      <c r="P195" s="23" t="s">
        <v>196</v>
      </c>
      <c r="Q195" s="22">
        <f>IF(testdata4[[#This Row],[%R]]&lt;&gt;Table25[[#This Row],[%R]],testdata4[[#This Row],[%R]]-Table25[[#This Row],[%R]],"")</f>
        <v>-1.4210854715202004E-14</v>
      </c>
      <c r="R195" s="11" t="str">
        <f>IF(OR(Table25[[#This Row],[%R]]&lt;-100,Table25[[#This Row],[%R]]&gt;0),"RANGE_ERR","")</f>
        <v>RANGE_ERR</v>
      </c>
    </row>
    <row r="196" spans="1:18" x14ac:dyDescent="0.35">
      <c r="A196" s="6">
        <v>194</v>
      </c>
      <c r="B196" s="3">
        <v>45190</v>
      </c>
      <c r="C196" s="2">
        <v>112.03</v>
      </c>
      <c r="D196" s="2">
        <v>112.19499999999999</v>
      </c>
      <c r="E196" s="2">
        <v>109.5</v>
      </c>
      <c r="F196" s="2">
        <v>109.73</v>
      </c>
      <c r="G196" s="1">
        <v>1327982</v>
      </c>
      <c r="H196" s="2">
        <f t="shared" si="6"/>
        <v>109</v>
      </c>
      <c r="I196" s="2">
        <f t="shared" si="7"/>
        <v>123.68</v>
      </c>
      <c r="J196" s="22">
        <f>100*(testdata4[[#This Row],[close]]-testdata4[[#This Row],[LL]])/(testdata4[[#This Row],[HH]]-testdata4[[#This Row],[LL]])</f>
        <v>4.9727520435967554</v>
      </c>
      <c r="K196" s="22">
        <f>testdata4[[#This Row],[K(14)'']]</f>
        <v>4.9727520435967554</v>
      </c>
      <c r="L196" s="22">
        <f>testdata4[[#This Row],[%K]]-100</f>
        <v>-95.027247956403244</v>
      </c>
      <c r="N196" s="12">
        <v>194</v>
      </c>
      <c r="O196" s="3">
        <v>45190</v>
      </c>
      <c r="P196" s="23" t="s">
        <v>197</v>
      </c>
      <c r="Q196" s="22">
        <f>IF(testdata4[[#This Row],[%R]]&lt;&gt;Table25[[#This Row],[%R]],testdata4[[#This Row],[%R]]-Table25[[#This Row],[%R]],"")</f>
        <v>-4.2632564145606011E-14</v>
      </c>
      <c r="R196" s="11" t="str">
        <f>IF(OR(Table25[[#This Row],[%R]]&lt;-100,Table25[[#This Row],[%R]]&gt;0),"RANGE_ERR","")</f>
        <v>RANGE_ERR</v>
      </c>
    </row>
    <row r="197" spans="1:18" x14ac:dyDescent="0.35">
      <c r="A197" s="6">
        <v>195</v>
      </c>
      <c r="B197" s="3">
        <v>45191</v>
      </c>
      <c r="C197" s="2">
        <v>109.73</v>
      </c>
      <c r="D197" s="2">
        <v>112.16</v>
      </c>
      <c r="E197" s="2">
        <v>109.11</v>
      </c>
      <c r="F197" s="2">
        <v>111.41</v>
      </c>
      <c r="G197" s="1">
        <v>2050535</v>
      </c>
      <c r="H197" s="2">
        <f t="shared" si="6"/>
        <v>109</v>
      </c>
      <c r="I197" s="2">
        <f t="shared" si="7"/>
        <v>122.5365</v>
      </c>
      <c r="J197" s="22">
        <f>100*(testdata4[[#This Row],[close]]-testdata4[[#This Row],[LL]])/(testdata4[[#This Row],[HH]]-testdata4[[#This Row],[LL]])</f>
        <v>17.8037158792893</v>
      </c>
      <c r="K197" s="22">
        <f>testdata4[[#This Row],[K(14)'']]</f>
        <v>17.8037158792893</v>
      </c>
      <c r="L197" s="22">
        <f>testdata4[[#This Row],[%K]]-100</f>
        <v>-82.1962841207107</v>
      </c>
      <c r="N197" s="12">
        <v>195</v>
      </c>
      <c r="O197" s="3">
        <v>45191</v>
      </c>
      <c r="P197" s="23" t="s">
        <v>198</v>
      </c>
      <c r="Q197" s="22">
        <f>IF(testdata4[[#This Row],[%R]]&lt;&gt;Table25[[#This Row],[%R]],testdata4[[#This Row],[%R]]-Table25[[#This Row],[%R]],"")</f>
        <v>0</v>
      </c>
      <c r="R197" s="11" t="str">
        <f>IF(OR(Table25[[#This Row],[%R]]&lt;-100,Table25[[#This Row],[%R]]&gt;0),"RANGE_ERR","")</f>
        <v>RANGE_ERR</v>
      </c>
    </row>
    <row r="198" spans="1:18" x14ac:dyDescent="0.35">
      <c r="A198" s="6">
        <v>196</v>
      </c>
      <c r="B198" s="3">
        <v>45194</v>
      </c>
      <c r="C198" s="2">
        <v>110.76</v>
      </c>
      <c r="D198" s="2">
        <v>112.03</v>
      </c>
      <c r="E198" s="2">
        <v>110.53</v>
      </c>
      <c r="F198" s="2">
        <v>111.94</v>
      </c>
      <c r="G198" s="1">
        <v>987394</v>
      </c>
      <c r="H198" s="2">
        <f t="shared" si="6"/>
        <v>109</v>
      </c>
      <c r="I198" s="2">
        <f t="shared" si="7"/>
        <v>121.92</v>
      </c>
      <c r="J198" s="22">
        <f>100*(testdata4[[#This Row],[close]]-testdata4[[#This Row],[LL]])/(testdata4[[#This Row],[HH]]-testdata4[[#This Row],[LL]])</f>
        <v>22.755417956656327</v>
      </c>
      <c r="K198" s="22">
        <f>testdata4[[#This Row],[K(14)'']]</f>
        <v>22.755417956656327</v>
      </c>
      <c r="L198" s="22">
        <f>testdata4[[#This Row],[%K]]-100</f>
        <v>-77.244582043343669</v>
      </c>
      <c r="N198" s="12">
        <v>196</v>
      </c>
      <c r="O198" s="3">
        <v>45194</v>
      </c>
      <c r="P198" s="23" t="s">
        <v>199</v>
      </c>
      <c r="Q198" s="22">
        <f>IF(testdata4[[#This Row],[%R]]&lt;&gt;Table25[[#This Row],[%R]],testdata4[[#This Row],[%R]]-Table25[[#This Row],[%R]],"")</f>
        <v>-7.1054273576010019E-14</v>
      </c>
      <c r="R198" s="11" t="str">
        <f>IF(OR(Table25[[#This Row],[%R]]&lt;-100,Table25[[#This Row],[%R]]&gt;0),"RANGE_ERR","")</f>
        <v>RANGE_ERR</v>
      </c>
    </row>
    <row r="199" spans="1:18" x14ac:dyDescent="0.35">
      <c r="A199" s="6">
        <v>197</v>
      </c>
      <c r="B199" s="3">
        <v>45195</v>
      </c>
      <c r="C199" s="2">
        <v>110.88</v>
      </c>
      <c r="D199" s="2">
        <v>112.25</v>
      </c>
      <c r="E199" s="2">
        <v>110.68</v>
      </c>
      <c r="F199" s="2">
        <v>110.73</v>
      </c>
      <c r="G199" s="1">
        <v>1399831</v>
      </c>
      <c r="H199" s="2">
        <f t="shared" si="6"/>
        <v>109</v>
      </c>
      <c r="I199" s="2">
        <f t="shared" si="7"/>
        <v>121.92</v>
      </c>
      <c r="J199" s="22">
        <f>100*(testdata4[[#This Row],[close]]-testdata4[[#This Row],[LL]])/(testdata4[[#This Row],[HH]]-testdata4[[#This Row],[LL]])</f>
        <v>13.390092879256995</v>
      </c>
      <c r="K199" s="22">
        <f>testdata4[[#This Row],[K(14)'']]</f>
        <v>13.390092879256995</v>
      </c>
      <c r="L199" s="22">
        <f>testdata4[[#This Row],[%K]]-100</f>
        <v>-86.609907120743003</v>
      </c>
      <c r="N199" s="12">
        <v>197</v>
      </c>
      <c r="O199" s="3">
        <v>45195</v>
      </c>
      <c r="P199" s="23" t="s">
        <v>200</v>
      </c>
      <c r="Q199" s="22">
        <f>IF(testdata4[[#This Row],[%R]]&lt;&gt;Table25[[#This Row],[%R]],testdata4[[#This Row],[%R]]-Table25[[#This Row],[%R]],"")</f>
        <v>0</v>
      </c>
      <c r="R199" s="11" t="str">
        <f>IF(OR(Table25[[#This Row],[%R]]&lt;-100,Table25[[#This Row],[%R]]&gt;0),"RANGE_ERR","")</f>
        <v>RANGE_ERR</v>
      </c>
    </row>
    <row r="200" spans="1:18" x14ac:dyDescent="0.35">
      <c r="A200" s="6">
        <v>198</v>
      </c>
      <c r="B200" s="3">
        <v>45196</v>
      </c>
      <c r="C200" s="2">
        <v>110.96</v>
      </c>
      <c r="D200" s="2">
        <v>111.25</v>
      </c>
      <c r="E200" s="2">
        <v>109.61499999999999</v>
      </c>
      <c r="F200" s="2">
        <v>110.5</v>
      </c>
      <c r="G200" s="1">
        <v>2268260</v>
      </c>
      <c r="H200" s="2">
        <f t="shared" si="6"/>
        <v>109</v>
      </c>
      <c r="I200" s="2">
        <f t="shared" si="7"/>
        <v>121.92</v>
      </c>
      <c r="J200" s="22">
        <f>100*(testdata4[[#This Row],[close]]-testdata4[[#This Row],[LL]])/(testdata4[[#This Row],[HH]]-testdata4[[#This Row],[LL]])</f>
        <v>11.609907120743033</v>
      </c>
      <c r="K200" s="22">
        <f>testdata4[[#This Row],[K(14)'']]</f>
        <v>11.609907120743033</v>
      </c>
      <c r="L200" s="22">
        <f>testdata4[[#This Row],[%K]]-100</f>
        <v>-88.390092879256969</v>
      </c>
      <c r="N200" s="12">
        <v>198</v>
      </c>
      <c r="O200" s="3">
        <v>45196</v>
      </c>
      <c r="P200" s="23" t="s">
        <v>201</v>
      </c>
      <c r="Q200" s="22">
        <f>IF(testdata4[[#This Row],[%R]]&lt;&gt;Table25[[#This Row],[%R]],testdata4[[#This Row],[%R]]-Table25[[#This Row],[%R]],"")</f>
        <v>-7.1054273576010019E-14</v>
      </c>
      <c r="R200" s="11" t="str">
        <f>IF(OR(Table25[[#This Row],[%R]]&lt;-100,Table25[[#This Row],[%R]]&gt;0),"RANGE_ERR","")</f>
        <v>RANGE_ERR</v>
      </c>
    </row>
    <row r="201" spans="1:18" x14ac:dyDescent="0.35">
      <c r="A201" s="6">
        <v>199</v>
      </c>
      <c r="B201" s="3">
        <v>45197</v>
      </c>
      <c r="C201" s="2">
        <v>110.48</v>
      </c>
      <c r="D201" s="2">
        <v>112.68</v>
      </c>
      <c r="E201" s="2">
        <v>110.44</v>
      </c>
      <c r="F201" s="2">
        <v>112</v>
      </c>
      <c r="G201" s="1">
        <v>1959912</v>
      </c>
      <c r="H201" s="2">
        <f t="shared" si="6"/>
        <v>109</v>
      </c>
      <c r="I201" s="2">
        <f t="shared" si="7"/>
        <v>121.92</v>
      </c>
      <c r="J201" s="22">
        <f>100*(testdata4[[#This Row],[close]]-testdata4[[#This Row],[LL]])/(testdata4[[#This Row],[HH]]-testdata4[[#This Row],[LL]])</f>
        <v>23.219814241486066</v>
      </c>
      <c r="K201" s="22">
        <f>testdata4[[#This Row],[K(14)'']]</f>
        <v>23.219814241486066</v>
      </c>
      <c r="L201" s="22">
        <f>testdata4[[#This Row],[%K]]-100</f>
        <v>-76.780185758513937</v>
      </c>
      <c r="N201" s="12">
        <v>199</v>
      </c>
      <c r="O201" s="3">
        <v>45197</v>
      </c>
      <c r="P201" s="23" t="s">
        <v>202</v>
      </c>
      <c r="Q201" s="22">
        <f>IF(testdata4[[#This Row],[%R]]&lt;&gt;Table25[[#This Row],[%R]],testdata4[[#This Row],[%R]]-Table25[[#This Row],[%R]],"")</f>
        <v>-4.2632564145606011E-14</v>
      </c>
      <c r="R201" s="11" t="str">
        <f>IF(OR(Table25[[#This Row],[%R]]&lt;-100,Table25[[#This Row],[%R]]&gt;0),"RANGE_ERR","")</f>
        <v>RANGE_ERR</v>
      </c>
    </row>
    <row r="202" spans="1:18" x14ac:dyDescent="0.35">
      <c r="A202" s="6">
        <v>200</v>
      </c>
      <c r="B202" s="3">
        <v>45198</v>
      </c>
      <c r="C202" s="2">
        <v>113.12</v>
      </c>
      <c r="D202" s="2">
        <v>113.16500000000001</v>
      </c>
      <c r="E202" s="2">
        <v>111.44499999999999</v>
      </c>
      <c r="F202" s="2">
        <v>111.82</v>
      </c>
      <c r="G202" s="1">
        <v>1830543</v>
      </c>
      <c r="H202" s="2">
        <f t="shared" si="6"/>
        <v>109</v>
      </c>
      <c r="I202" s="2">
        <f t="shared" si="7"/>
        <v>121.92</v>
      </c>
      <c r="J202" s="22">
        <f>100*(testdata4[[#This Row],[close]]-testdata4[[#This Row],[LL]])/(testdata4[[#This Row],[HH]]-testdata4[[#This Row],[LL]])</f>
        <v>21.826625386996849</v>
      </c>
      <c r="K202" s="22">
        <f>testdata4[[#This Row],[K(14)'']]</f>
        <v>21.826625386996849</v>
      </c>
      <c r="L202" s="22">
        <f>testdata4[[#This Row],[%K]]-100</f>
        <v>-78.173374613003148</v>
      </c>
      <c r="N202" s="12">
        <v>200</v>
      </c>
      <c r="O202" s="3">
        <v>45198</v>
      </c>
      <c r="P202" s="23" t="s">
        <v>203</v>
      </c>
      <c r="Q202" s="22">
        <f>IF(testdata4[[#This Row],[%R]]&lt;&gt;Table25[[#This Row],[%R]],testdata4[[#This Row],[%R]]-Table25[[#This Row],[%R]],"")</f>
        <v>-4.2632564145606011E-14</v>
      </c>
      <c r="R202" s="11" t="str">
        <f>IF(OR(Table25[[#This Row],[%R]]&lt;-100,Table25[[#This Row],[%R]]&gt;0),"RANGE_ERR","")</f>
        <v>RANGE_ERR</v>
      </c>
    </row>
    <row r="203" spans="1:18" x14ac:dyDescent="0.35">
      <c r="A203" s="6">
        <v>201</v>
      </c>
      <c r="B203" s="3">
        <v>45201</v>
      </c>
      <c r="C203" s="2">
        <v>110.9</v>
      </c>
      <c r="D203" s="2">
        <v>111.8</v>
      </c>
      <c r="E203" s="2">
        <v>109.77</v>
      </c>
      <c r="F203" s="2">
        <v>110.9</v>
      </c>
      <c r="G203" s="1">
        <v>1569105</v>
      </c>
      <c r="H203" s="2">
        <f t="shared" si="6"/>
        <v>109</v>
      </c>
      <c r="I203" s="2">
        <f t="shared" si="7"/>
        <v>121.92</v>
      </c>
      <c r="J203" s="22">
        <f>100*(testdata4[[#This Row],[close]]-testdata4[[#This Row],[LL]])/(testdata4[[#This Row],[HH]]-testdata4[[#This Row],[LL]])</f>
        <v>14.705882352941218</v>
      </c>
      <c r="K203" s="22">
        <f>testdata4[[#This Row],[K(14)'']]</f>
        <v>14.705882352941218</v>
      </c>
      <c r="L203" s="22">
        <f>testdata4[[#This Row],[%K]]-100</f>
        <v>-85.294117647058783</v>
      </c>
      <c r="N203" s="12">
        <v>201</v>
      </c>
      <c r="O203" s="3">
        <v>45201</v>
      </c>
      <c r="P203" s="23" t="s">
        <v>204</v>
      </c>
      <c r="Q203" s="22">
        <f>IF(testdata4[[#This Row],[%R]]&lt;&gt;Table25[[#This Row],[%R]],testdata4[[#This Row],[%R]]-Table25[[#This Row],[%R]],"")</f>
        <v>-8.5265128291212022E-14</v>
      </c>
      <c r="R203" s="11" t="str">
        <f>IF(OR(Table25[[#This Row],[%R]]&lt;-100,Table25[[#This Row],[%R]]&gt;0),"RANGE_ERR","")</f>
        <v>RANGE_ERR</v>
      </c>
    </row>
    <row r="204" spans="1:18" x14ac:dyDescent="0.35">
      <c r="A204" s="6">
        <v>202</v>
      </c>
      <c r="B204" s="3">
        <v>45202</v>
      </c>
      <c r="C204" s="2">
        <v>110.23</v>
      </c>
      <c r="D204" s="2">
        <v>111.755</v>
      </c>
      <c r="E204" s="2">
        <v>110.05</v>
      </c>
      <c r="F204" s="2">
        <v>110.26</v>
      </c>
      <c r="G204" s="1">
        <v>1543379</v>
      </c>
      <c r="H204" s="2">
        <f t="shared" si="6"/>
        <v>109.11</v>
      </c>
      <c r="I204" s="2">
        <f t="shared" si="7"/>
        <v>121.92</v>
      </c>
      <c r="J204" s="22">
        <f>100*(testdata4[[#This Row],[close]]-testdata4[[#This Row],[LL]])/(testdata4[[#This Row],[HH]]-testdata4[[#This Row],[LL]])</f>
        <v>8.9773614363778726</v>
      </c>
      <c r="K204" s="22">
        <f>testdata4[[#This Row],[K(14)'']]</f>
        <v>8.9773614363778726</v>
      </c>
      <c r="L204" s="22">
        <f>testdata4[[#This Row],[%K]]-100</f>
        <v>-91.022638563622124</v>
      </c>
      <c r="N204" s="12">
        <v>202</v>
      </c>
      <c r="O204" s="3">
        <v>45202</v>
      </c>
      <c r="P204" s="23" t="s">
        <v>205</v>
      </c>
      <c r="Q204" s="22">
        <f>IF(testdata4[[#This Row],[%R]]&lt;&gt;Table25[[#This Row],[%R]],testdata4[[#This Row],[%R]]-Table25[[#This Row],[%R]],"")</f>
        <v>-2.8421709430404007E-14</v>
      </c>
      <c r="R204" s="11" t="str">
        <f>IF(OR(Table25[[#This Row],[%R]]&lt;-100,Table25[[#This Row],[%R]]&gt;0),"RANGE_ERR","")</f>
        <v>RANGE_ERR</v>
      </c>
    </row>
    <row r="205" spans="1:18" x14ac:dyDescent="0.35">
      <c r="A205" s="6">
        <v>203</v>
      </c>
      <c r="B205" s="3">
        <v>45203</v>
      </c>
      <c r="C205" s="2">
        <v>110.41</v>
      </c>
      <c r="D205" s="2">
        <v>111.89</v>
      </c>
      <c r="E205" s="2">
        <v>109.3801</v>
      </c>
      <c r="F205" s="2">
        <v>111.67</v>
      </c>
      <c r="G205" s="1">
        <v>1541741</v>
      </c>
      <c r="H205" s="2">
        <f t="shared" si="6"/>
        <v>109.11</v>
      </c>
      <c r="I205" s="2">
        <f t="shared" si="7"/>
        <v>121.92</v>
      </c>
      <c r="J205" s="22">
        <f>100*(testdata4[[#This Row],[close]]-testdata4[[#This Row],[LL]])/(testdata4[[#This Row],[HH]]-testdata4[[#This Row],[LL]])</f>
        <v>19.984387197501967</v>
      </c>
      <c r="K205" s="22">
        <f>testdata4[[#This Row],[K(14)'']]</f>
        <v>19.984387197501967</v>
      </c>
      <c r="L205" s="22">
        <f>testdata4[[#This Row],[%K]]-100</f>
        <v>-80.015612802498026</v>
      </c>
      <c r="N205" s="12">
        <v>203</v>
      </c>
      <c r="O205" s="3">
        <v>45203</v>
      </c>
      <c r="P205" s="23" t="s">
        <v>206</v>
      </c>
      <c r="Q205" s="22">
        <f>IF(testdata4[[#This Row],[%R]]&lt;&gt;Table25[[#This Row],[%R]],testdata4[[#This Row],[%R]]-Table25[[#This Row],[%R]],"")</f>
        <v>-2.8421709430404007E-14</v>
      </c>
      <c r="R205" s="11" t="str">
        <f>IF(OR(Table25[[#This Row],[%R]]&lt;-100,Table25[[#This Row],[%R]]&gt;0),"RANGE_ERR","")</f>
        <v>RANGE_ERR</v>
      </c>
    </row>
    <row r="206" spans="1:18" x14ac:dyDescent="0.35">
      <c r="A206" s="6">
        <v>204</v>
      </c>
      <c r="B206" s="3">
        <v>45204</v>
      </c>
      <c r="C206" s="2">
        <v>112.09</v>
      </c>
      <c r="D206" s="2">
        <v>112.24</v>
      </c>
      <c r="E206" s="2">
        <v>108.77</v>
      </c>
      <c r="F206" s="2">
        <v>110.35</v>
      </c>
      <c r="G206" s="1">
        <v>1295963</v>
      </c>
      <c r="H206" s="2">
        <f t="shared" si="6"/>
        <v>108.77</v>
      </c>
      <c r="I206" s="2">
        <f t="shared" si="7"/>
        <v>115</v>
      </c>
      <c r="J206" s="22">
        <f>100*(testdata4[[#This Row],[close]]-testdata4[[#This Row],[LL]])/(testdata4[[#This Row],[HH]]-testdata4[[#This Row],[LL]])</f>
        <v>25.361155698234306</v>
      </c>
      <c r="K206" s="22">
        <f>testdata4[[#This Row],[K(14)'']]</f>
        <v>25.361155698234306</v>
      </c>
      <c r="L206" s="22">
        <f>testdata4[[#This Row],[%K]]-100</f>
        <v>-74.638844301765687</v>
      </c>
      <c r="N206" s="12">
        <v>204</v>
      </c>
      <c r="O206" s="3">
        <v>45204</v>
      </c>
      <c r="P206" s="23" t="s">
        <v>207</v>
      </c>
      <c r="Q206" s="22">
        <f>IF(testdata4[[#This Row],[%R]]&lt;&gt;Table25[[#This Row],[%R]],testdata4[[#This Row],[%R]]-Table25[[#This Row],[%R]],"")</f>
        <v>-8.5265128291212022E-14</v>
      </c>
      <c r="R206" s="11" t="str">
        <f>IF(OR(Table25[[#This Row],[%R]]&lt;-100,Table25[[#This Row],[%R]]&gt;0),"RANGE_ERR","")</f>
        <v>RANGE_ERR</v>
      </c>
    </row>
    <row r="207" spans="1:18" x14ac:dyDescent="0.35">
      <c r="A207" s="6">
        <v>205</v>
      </c>
      <c r="B207" s="3">
        <v>45205</v>
      </c>
      <c r="C207" s="2">
        <v>109.49</v>
      </c>
      <c r="D207" s="2">
        <v>111.77</v>
      </c>
      <c r="E207" s="2">
        <v>109.36</v>
      </c>
      <c r="F207" s="2">
        <v>110.64</v>
      </c>
      <c r="G207" s="1">
        <v>1796055</v>
      </c>
      <c r="H207" s="2">
        <f t="shared" si="6"/>
        <v>108.77</v>
      </c>
      <c r="I207" s="2">
        <f t="shared" si="7"/>
        <v>113.47</v>
      </c>
      <c r="J207" s="22">
        <f>100*(testdata4[[#This Row],[close]]-testdata4[[#This Row],[LL]])/(testdata4[[#This Row],[HH]]-testdata4[[#This Row],[LL]])</f>
        <v>39.787234042553266</v>
      </c>
      <c r="K207" s="22">
        <f>testdata4[[#This Row],[K(14)'']]</f>
        <v>39.787234042553266</v>
      </c>
      <c r="L207" s="22">
        <f>testdata4[[#This Row],[%K]]-100</f>
        <v>-60.212765957446734</v>
      </c>
      <c r="N207" s="12">
        <v>205</v>
      </c>
      <c r="O207" s="3">
        <v>45205</v>
      </c>
      <c r="P207" s="23" t="s">
        <v>208</v>
      </c>
      <c r="Q207" s="22">
        <f>IF(testdata4[[#This Row],[%R]]&lt;&gt;Table25[[#This Row],[%R]],testdata4[[#This Row],[%R]]-Table25[[#This Row],[%R]],"")</f>
        <v>-3.5527136788005009E-14</v>
      </c>
      <c r="R207" s="11" t="str">
        <f>IF(OR(Table25[[#This Row],[%R]]&lt;-100,Table25[[#This Row],[%R]]&gt;0),"RANGE_ERR","")</f>
        <v>RANGE_ERR</v>
      </c>
    </row>
    <row r="208" spans="1:18" x14ac:dyDescent="0.35">
      <c r="A208" s="6">
        <v>206</v>
      </c>
      <c r="B208" s="3">
        <v>45208</v>
      </c>
      <c r="C208" s="2">
        <v>109.97</v>
      </c>
      <c r="D208" s="2">
        <v>111.31</v>
      </c>
      <c r="E208" s="2">
        <v>109.12</v>
      </c>
      <c r="F208" s="2">
        <v>111.28</v>
      </c>
      <c r="G208" s="1">
        <v>1320327</v>
      </c>
      <c r="H208" s="2">
        <f t="shared" ref="H208:H271" si="8">MIN(E195:E208)</f>
        <v>108.77</v>
      </c>
      <c r="I208" s="2">
        <f t="shared" ref="I208:I271" si="9">MAX(D195:D208)</f>
        <v>113.47</v>
      </c>
      <c r="J208" s="22">
        <f>100*(testdata4[[#This Row],[close]]-testdata4[[#This Row],[LL]])/(testdata4[[#This Row],[HH]]-testdata4[[#This Row],[LL]])</f>
        <v>53.404255319149016</v>
      </c>
      <c r="K208" s="22">
        <f>testdata4[[#This Row],[K(14)'']]</f>
        <v>53.404255319149016</v>
      </c>
      <c r="L208" s="22">
        <f>testdata4[[#This Row],[%K]]-100</f>
        <v>-46.595744680850984</v>
      </c>
      <c r="N208" s="12">
        <v>206</v>
      </c>
      <c r="O208" s="3">
        <v>45208</v>
      </c>
      <c r="P208" s="23" t="s">
        <v>209</v>
      </c>
      <c r="Q208" s="22">
        <f>IF(testdata4[[#This Row],[%R]]&lt;&gt;Table25[[#This Row],[%R]],testdata4[[#This Row],[%R]]-Table25[[#This Row],[%R]],"")</f>
        <v>-8.5265128291212022E-14</v>
      </c>
      <c r="R208" s="11" t="str">
        <f>IF(OR(Table25[[#This Row],[%R]]&lt;-100,Table25[[#This Row],[%R]]&gt;0),"RANGE_ERR","")</f>
        <v>RANGE_ERR</v>
      </c>
    </row>
    <row r="209" spans="1:18" x14ac:dyDescent="0.35">
      <c r="A209" s="6">
        <v>207</v>
      </c>
      <c r="B209" s="3">
        <v>45209</v>
      </c>
      <c r="C209" s="2">
        <v>111.31</v>
      </c>
      <c r="D209" s="2">
        <v>113.83</v>
      </c>
      <c r="E209" s="2">
        <v>111.02</v>
      </c>
      <c r="F209" s="2">
        <v>113.29</v>
      </c>
      <c r="G209" s="1">
        <v>2183040</v>
      </c>
      <c r="H209" s="2">
        <f t="shared" si="8"/>
        <v>108.77</v>
      </c>
      <c r="I209" s="2">
        <f t="shared" si="9"/>
        <v>113.83</v>
      </c>
      <c r="J209" s="22">
        <f>100*(testdata4[[#This Row],[close]]-testdata4[[#This Row],[LL]])/(testdata4[[#This Row],[HH]]-testdata4[[#This Row],[LL]])</f>
        <v>89.328063241106875</v>
      </c>
      <c r="K209" s="22">
        <f>testdata4[[#This Row],[K(14)'']]</f>
        <v>89.328063241106875</v>
      </c>
      <c r="L209" s="22">
        <f>testdata4[[#This Row],[%K]]-100</f>
        <v>-10.671936758893125</v>
      </c>
      <c r="N209" s="12">
        <v>207</v>
      </c>
      <c r="O209" s="3">
        <v>45209</v>
      </c>
      <c r="P209" s="23" t="s">
        <v>210</v>
      </c>
      <c r="Q209" s="22">
        <f>IF(testdata4[[#This Row],[%R]]&lt;&gt;Table25[[#This Row],[%R]],testdata4[[#This Row],[%R]]-Table25[[#This Row],[%R]],"")</f>
        <v>-2.4868995751603507E-14</v>
      </c>
      <c r="R209" s="11" t="str">
        <f>IF(OR(Table25[[#This Row],[%R]]&lt;-100,Table25[[#This Row],[%R]]&gt;0),"RANGE_ERR","")</f>
        <v>RANGE_ERR</v>
      </c>
    </row>
    <row r="210" spans="1:18" x14ac:dyDescent="0.35">
      <c r="A210" s="6">
        <v>208</v>
      </c>
      <c r="B210" s="3">
        <v>45210</v>
      </c>
      <c r="C210" s="2">
        <v>113.41</v>
      </c>
      <c r="D210" s="2">
        <v>113.6</v>
      </c>
      <c r="E210" s="2">
        <v>112.05</v>
      </c>
      <c r="F210" s="2">
        <v>113.38</v>
      </c>
      <c r="G210" s="1">
        <v>1381524</v>
      </c>
      <c r="H210" s="2">
        <f t="shared" si="8"/>
        <v>108.77</v>
      </c>
      <c r="I210" s="2">
        <f t="shared" si="9"/>
        <v>113.83</v>
      </c>
      <c r="J210" s="22">
        <f>100*(testdata4[[#This Row],[close]]-testdata4[[#This Row],[LL]])/(testdata4[[#This Row],[HH]]-testdata4[[#This Row],[LL]])</f>
        <v>91.10671936758888</v>
      </c>
      <c r="K210" s="22">
        <f>testdata4[[#This Row],[K(14)'']]</f>
        <v>91.10671936758888</v>
      </c>
      <c r="L210" s="22">
        <f>testdata4[[#This Row],[%K]]-100</f>
        <v>-8.8932806324111198</v>
      </c>
      <c r="N210" s="12">
        <v>208</v>
      </c>
      <c r="O210" s="3">
        <v>45210</v>
      </c>
      <c r="P210" s="23" t="s">
        <v>211</v>
      </c>
      <c r="Q210" s="22">
        <f>IF(testdata4[[#This Row],[%R]]&lt;&gt;Table25[[#This Row],[%R]],testdata4[[#This Row],[%R]]-Table25[[#This Row],[%R]],"")</f>
        <v>-8.8817841970012523E-15</v>
      </c>
      <c r="R210" s="11" t="str">
        <f>IF(OR(Table25[[#This Row],[%R]]&lt;-100,Table25[[#This Row],[%R]]&gt;0),"RANGE_ERR","")</f>
        <v>RANGE_ERR</v>
      </c>
    </row>
    <row r="211" spans="1:18" x14ac:dyDescent="0.35">
      <c r="A211" s="6">
        <v>209</v>
      </c>
      <c r="B211" s="3">
        <v>45211</v>
      </c>
      <c r="C211" s="2">
        <v>113.11</v>
      </c>
      <c r="D211" s="2">
        <v>113.4</v>
      </c>
      <c r="E211" s="2">
        <v>108.33</v>
      </c>
      <c r="F211" s="2">
        <v>108.94</v>
      </c>
      <c r="G211" s="1">
        <v>3622519</v>
      </c>
      <c r="H211" s="2">
        <f t="shared" si="8"/>
        <v>108.33</v>
      </c>
      <c r="I211" s="2">
        <f t="shared" si="9"/>
        <v>113.83</v>
      </c>
      <c r="J211" s="22">
        <f>100*(testdata4[[#This Row],[close]]-testdata4[[#This Row],[LL]])/(testdata4[[#This Row],[HH]]-testdata4[[#This Row],[LL]])</f>
        <v>11.090909090909081</v>
      </c>
      <c r="K211" s="22">
        <f>testdata4[[#This Row],[K(14)'']]</f>
        <v>11.090909090909081</v>
      </c>
      <c r="L211" s="22">
        <f>testdata4[[#This Row],[%K]]-100</f>
        <v>-88.909090909090921</v>
      </c>
      <c r="N211" s="12">
        <v>209</v>
      </c>
      <c r="O211" s="3">
        <v>45211</v>
      </c>
      <c r="P211" s="23" t="s">
        <v>212</v>
      </c>
      <c r="Q211" s="22">
        <f>IF(testdata4[[#This Row],[%R]]&lt;&gt;Table25[[#This Row],[%R]],testdata4[[#This Row],[%R]]-Table25[[#This Row],[%R]],"")</f>
        <v>-1.4210854715202004E-14</v>
      </c>
      <c r="R211" s="11" t="str">
        <f>IF(OR(Table25[[#This Row],[%R]]&lt;-100,Table25[[#This Row],[%R]]&gt;0),"RANGE_ERR","")</f>
        <v>RANGE_ERR</v>
      </c>
    </row>
    <row r="212" spans="1:18" x14ac:dyDescent="0.35">
      <c r="A212" s="6">
        <v>210</v>
      </c>
      <c r="B212" s="3">
        <v>45212</v>
      </c>
      <c r="C212" s="2">
        <v>108.02</v>
      </c>
      <c r="D212" s="2">
        <v>110.61</v>
      </c>
      <c r="E212" s="2">
        <v>106.82</v>
      </c>
      <c r="F212" s="2">
        <v>110.51</v>
      </c>
      <c r="G212" s="1">
        <v>2807637</v>
      </c>
      <c r="H212" s="2">
        <f t="shared" si="8"/>
        <v>106.82</v>
      </c>
      <c r="I212" s="2">
        <f t="shared" si="9"/>
        <v>113.83</v>
      </c>
      <c r="J212" s="22">
        <f>100*(testdata4[[#This Row],[close]]-testdata4[[#This Row],[LL]])/(testdata4[[#This Row],[HH]]-testdata4[[#This Row],[LL]])</f>
        <v>52.639087018545069</v>
      </c>
      <c r="K212" s="22">
        <f>testdata4[[#This Row],[K(14)'']]</f>
        <v>52.639087018545069</v>
      </c>
      <c r="L212" s="22">
        <f>testdata4[[#This Row],[%K]]-100</f>
        <v>-47.360912981454931</v>
      </c>
      <c r="N212" s="12">
        <v>210</v>
      </c>
      <c r="O212" s="3">
        <v>45212</v>
      </c>
      <c r="P212" s="23" t="s">
        <v>213</v>
      </c>
      <c r="Q212" s="22">
        <f>IF(testdata4[[#This Row],[%R]]&lt;&gt;Table25[[#This Row],[%R]],testdata4[[#This Row],[%R]]-Table25[[#This Row],[%R]],"")</f>
        <v>-2.8421709430404007E-14</v>
      </c>
      <c r="R212" s="11" t="str">
        <f>IF(OR(Table25[[#This Row],[%R]]&lt;-100,Table25[[#This Row],[%R]]&gt;0),"RANGE_ERR","")</f>
        <v>RANGE_ERR</v>
      </c>
    </row>
    <row r="213" spans="1:18" x14ac:dyDescent="0.35">
      <c r="A213" s="6">
        <v>211</v>
      </c>
      <c r="B213" s="3">
        <v>45215</v>
      </c>
      <c r="C213" s="2">
        <v>111.04</v>
      </c>
      <c r="D213" s="2">
        <v>112.79</v>
      </c>
      <c r="E213" s="2">
        <v>109.64</v>
      </c>
      <c r="F213" s="2">
        <v>111.5</v>
      </c>
      <c r="G213" s="1">
        <v>1675542</v>
      </c>
      <c r="H213" s="2">
        <f t="shared" si="8"/>
        <v>106.82</v>
      </c>
      <c r="I213" s="2">
        <f t="shared" si="9"/>
        <v>113.83</v>
      </c>
      <c r="J213" s="22">
        <f>100*(testdata4[[#This Row],[close]]-testdata4[[#This Row],[LL]])/(testdata4[[#This Row],[HH]]-testdata4[[#This Row],[LL]])</f>
        <v>66.761768901569241</v>
      </c>
      <c r="K213" s="22">
        <f>testdata4[[#This Row],[K(14)'']]</f>
        <v>66.761768901569241</v>
      </c>
      <c r="L213" s="22">
        <f>testdata4[[#This Row],[%K]]-100</f>
        <v>-33.238231098430759</v>
      </c>
      <c r="N213" s="12">
        <v>211</v>
      </c>
      <c r="O213" s="3">
        <v>45215</v>
      </c>
      <c r="P213" s="23" t="s">
        <v>214</v>
      </c>
      <c r="Q213" s="22">
        <f>IF(testdata4[[#This Row],[%R]]&lt;&gt;Table25[[#This Row],[%R]],testdata4[[#This Row],[%R]]-Table25[[#This Row],[%R]],"")</f>
        <v>-5.6843418860808015E-14</v>
      </c>
      <c r="R213" s="11" t="str">
        <f>IF(OR(Table25[[#This Row],[%R]]&lt;-100,Table25[[#This Row],[%R]]&gt;0),"RANGE_ERR","")</f>
        <v>RANGE_ERR</v>
      </c>
    </row>
    <row r="214" spans="1:18" x14ac:dyDescent="0.35">
      <c r="A214" s="6">
        <v>212</v>
      </c>
      <c r="B214" s="3">
        <v>45216</v>
      </c>
      <c r="C214" s="2">
        <v>110.1</v>
      </c>
      <c r="D214" s="2">
        <v>112.91</v>
      </c>
      <c r="E214" s="2">
        <v>109.21</v>
      </c>
      <c r="F214" s="2">
        <v>112.4</v>
      </c>
      <c r="G214" s="1">
        <v>1682751</v>
      </c>
      <c r="H214" s="2">
        <f t="shared" si="8"/>
        <v>106.82</v>
      </c>
      <c r="I214" s="2">
        <f t="shared" si="9"/>
        <v>113.83</v>
      </c>
      <c r="J214" s="22">
        <f>100*(testdata4[[#This Row],[close]]-testdata4[[#This Row],[LL]])/(testdata4[[#This Row],[HH]]-testdata4[[#This Row],[LL]])</f>
        <v>79.600570613409531</v>
      </c>
      <c r="K214" s="22">
        <f>testdata4[[#This Row],[K(14)'']]</f>
        <v>79.600570613409531</v>
      </c>
      <c r="L214" s="22">
        <f>testdata4[[#This Row],[%K]]-100</f>
        <v>-20.399429386590469</v>
      </c>
      <c r="N214" s="12">
        <v>212</v>
      </c>
      <c r="O214" s="3">
        <v>45216</v>
      </c>
      <c r="P214" s="23" t="s">
        <v>215</v>
      </c>
      <c r="Q214" s="22">
        <f>IF(testdata4[[#This Row],[%R]]&lt;&gt;Table25[[#This Row],[%R]],testdata4[[#This Row],[%R]]-Table25[[#This Row],[%R]],"")</f>
        <v>-7.1054273576010019E-14</v>
      </c>
      <c r="R214" s="11" t="str">
        <f>IF(OR(Table25[[#This Row],[%R]]&lt;-100,Table25[[#This Row],[%R]]&gt;0),"RANGE_ERR","")</f>
        <v>RANGE_ERR</v>
      </c>
    </row>
    <row r="215" spans="1:18" x14ac:dyDescent="0.35">
      <c r="A215" s="6">
        <v>213</v>
      </c>
      <c r="B215" s="3">
        <v>45217</v>
      </c>
      <c r="C215" s="2">
        <v>111.33</v>
      </c>
      <c r="D215" s="2">
        <v>111.33</v>
      </c>
      <c r="E215" s="2">
        <v>108.535</v>
      </c>
      <c r="F215" s="2">
        <v>108.61</v>
      </c>
      <c r="G215" s="1">
        <v>1803500</v>
      </c>
      <c r="H215" s="2">
        <f t="shared" si="8"/>
        <v>106.82</v>
      </c>
      <c r="I215" s="2">
        <f t="shared" si="9"/>
        <v>113.83</v>
      </c>
      <c r="J215" s="22">
        <f>100*(testdata4[[#This Row],[close]]-testdata4[[#This Row],[LL]])/(testdata4[[#This Row],[HH]]-testdata4[[#This Row],[LL]])</f>
        <v>25.534950071326747</v>
      </c>
      <c r="K215" s="22">
        <f>testdata4[[#This Row],[K(14)'']]</f>
        <v>25.534950071326747</v>
      </c>
      <c r="L215" s="22">
        <f>testdata4[[#This Row],[%K]]-100</f>
        <v>-74.465049928673253</v>
      </c>
      <c r="N215" s="12">
        <v>213</v>
      </c>
      <c r="O215" s="3">
        <v>45217</v>
      </c>
      <c r="P215" s="23" t="s">
        <v>216</v>
      </c>
      <c r="Q215" s="22">
        <f>IF(testdata4[[#This Row],[%R]]&lt;&gt;Table25[[#This Row],[%R]],testdata4[[#This Row],[%R]]-Table25[[#This Row],[%R]],"")</f>
        <v>-5.6843418860808015E-14</v>
      </c>
      <c r="R215" s="11" t="str">
        <f>IF(OR(Table25[[#This Row],[%R]]&lt;-100,Table25[[#This Row],[%R]]&gt;0),"RANGE_ERR","")</f>
        <v>RANGE_ERR</v>
      </c>
    </row>
    <row r="216" spans="1:18" x14ac:dyDescent="0.35">
      <c r="A216" s="6">
        <v>214</v>
      </c>
      <c r="B216" s="3">
        <v>45218</v>
      </c>
      <c r="C216" s="2">
        <v>109.25</v>
      </c>
      <c r="D216" s="2">
        <v>111.38</v>
      </c>
      <c r="E216" s="2">
        <v>108.86</v>
      </c>
      <c r="F216" s="2">
        <v>109.51</v>
      </c>
      <c r="G216" s="1">
        <v>2028933</v>
      </c>
      <c r="H216" s="2">
        <f t="shared" si="8"/>
        <v>106.82</v>
      </c>
      <c r="I216" s="2">
        <f t="shared" si="9"/>
        <v>113.83</v>
      </c>
      <c r="J216" s="22">
        <f>100*(testdata4[[#This Row],[close]]-testdata4[[#This Row],[LL]])/(testdata4[[#This Row],[HH]]-testdata4[[#This Row],[LL]])</f>
        <v>38.373751783167044</v>
      </c>
      <c r="K216" s="22">
        <f>testdata4[[#This Row],[K(14)'']]</f>
        <v>38.373751783167044</v>
      </c>
      <c r="L216" s="22">
        <f>testdata4[[#This Row],[%K]]-100</f>
        <v>-61.626248216832956</v>
      </c>
      <c r="N216" s="12">
        <v>214</v>
      </c>
      <c r="O216" s="3">
        <v>45218</v>
      </c>
      <c r="P216" s="23" t="s">
        <v>217</v>
      </c>
      <c r="Q216" s="22">
        <f>IF(testdata4[[#This Row],[%R]]&lt;&gt;Table25[[#This Row],[%R]],testdata4[[#This Row],[%R]]-Table25[[#This Row],[%R]],"")</f>
        <v>-5.6843418860808015E-14</v>
      </c>
      <c r="R216" s="11" t="str">
        <f>IF(OR(Table25[[#This Row],[%R]]&lt;-100,Table25[[#This Row],[%R]]&gt;0),"RANGE_ERR","")</f>
        <v>RANGE_ERR</v>
      </c>
    </row>
    <row r="217" spans="1:18" x14ac:dyDescent="0.35">
      <c r="A217" s="6">
        <v>215</v>
      </c>
      <c r="B217" s="3">
        <v>45219</v>
      </c>
      <c r="C217" s="2">
        <v>109.54</v>
      </c>
      <c r="D217" s="2">
        <v>110.59</v>
      </c>
      <c r="E217" s="2">
        <v>109.18</v>
      </c>
      <c r="F217" s="2">
        <v>109.23</v>
      </c>
      <c r="G217" s="1">
        <v>2367337</v>
      </c>
      <c r="H217" s="2">
        <f t="shared" si="8"/>
        <v>106.82</v>
      </c>
      <c r="I217" s="2">
        <f t="shared" si="9"/>
        <v>113.83</v>
      </c>
      <c r="J217" s="22">
        <f>100*(testdata4[[#This Row],[close]]-testdata4[[#This Row],[LL]])/(testdata4[[#This Row],[HH]]-testdata4[[#This Row],[LL]])</f>
        <v>34.379457917261185</v>
      </c>
      <c r="K217" s="22">
        <f>testdata4[[#This Row],[K(14)'']]</f>
        <v>34.379457917261185</v>
      </c>
      <c r="L217" s="22">
        <f>testdata4[[#This Row],[%K]]-100</f>
        <v>-65.620542082738808</v>
      </c>
      <c r="N217" s="12">
        <v>215</v>
      </c>
      <c r="O217" s="3">
        <v>45219</v>
      </c>
      <c r="P217" s="23" t="s">
        <v>218</v>
      </c>
      <c r="Q217" s="22">
        <f>IF(testdata4[[#This Row],[%R]]&lt;&gt;Table25[[#This Row],[%R]],testdata4[[#This Row],[%R]]-Table25[[#This Row],[%R]],"")</f>
        <v>-1.4210854715202004E-14</v>
      </c>
      <c r="R217" s="11" t="str">
        <f>IF(OR(Table25[[#This Row],[%R]]&lt;-100,Table25[[#This Row],[%R]]&gt;0),"RANGE_ERR","")</f>
        <v>RANGE_ERR</v>
      </c>
    </row>
    <row r="218" spans="1:18" x14ac:dyDescent="0.35">
      <c r="A218" s="6">
        <v>216</v>
      </c>
      <c r="B218" s="3">
        <v>45222</v>
      </c>
      <c r="C218" s="2">
        <v>108.1</v>
      </c>
      <c r="D218" s="2">
        <v>109.9075</v>
      </c>
      <c r="E218" s="2">
        <v>107.4</v>
      </c>
      <c r="F218" s="2">
        <v>109.34</v>
      </c>
      <c r="G218" s="1">
        <v>2886025</v>
      </c>
      <c r="H218" s="2">
        <f t="shared" si="8"/>
        <v>106.82</v>
      </c>
      <c r="I218" s="2">
        <f t="shared" si="9"/>
        <v>113.83</v>
      </c>
      <c r="J218" s="22">
        <f>100*(testdata4[[#This Row],[close]]-testdata4[[#This Row],[LL]])/(testdata4[[#This Row],[HH]]-testdata4[[#This Row],[LL]])</f>
        <v>35.948644793152759</v>
      </c>
      <c r="K218" s="22">
        <f>testdata4[[#This Row],[K(14)'']]</f>
        <v>35.948644793152759</v>
      </c>
      <c r="L218" s="22">
        <f>testdata4[[#This Row],[%K]]-100</f>
        <v>-64.051355206847234</v>
      </c>
      <c r="N218" s="12">
        <v>216</v>
      </c>
      <c r="O218" s="3">
        <v>45222</v>
      </c>
      <c r="P218" s="23" t="s">
        <v>219</v>
      </c>
      <c r="Q218" s="22">
        <f>IF(testdata4[[#This Row],[%R]]&lt;&gt;Table25[[#This Row],[%R]],testdata4[[#This Row],[%R]]-Table25[[#This Row],[%R]],"")</f>
        <v>-2.8421709430404007E-14</v>
      </c>
      <c r="R218" s="11" t="str">
        <f>IF(OR(Table25[[#This Row],[%R]]&lt;-100,Table25[[#This Row],[%R]]&gt;0),"RANGE_ERR","")</f>
        <v>RANGE_ERR</v>
      </c>
    </row>
    <row r="219" spans="1:18" x14ac:dyDescent="0.35">
      <c r="A219" s="6">
        <v>217</v>
      </c>
      <c r="B219" s="3">
        <v>45223</v>
      </c>
      <c r="C219" s="2">
        <v>107.5</v>
      </c>
      <c r="D219" s="2">
        <v>108.06</v>
      </c>
      <c r="E219" s="2">
        <v>105.36</v>
      </c>
      <c r="F219" s="2">
        <v>105.64</v>
      </c>
      <c r="G219" s="1">
        <v>3204185</v>
      </c>
      <c r="H219" s="2">
        <f t="shared" si="8"/>
        <v>105.36</v>
      </c>
      <c r="I219" s="2">
        <f t="shared" si="9"/>
        <v>113.83</v>
      </c>
      <c r="J219" s="22">
        <f>100*(testdata4[[#This Row],[close]]-testdata4[[#This Row],[LL]])/(testdata4[[#This Row],[HH]]-testdata4[[#This Row],[LL]])</f>
        <v>3.305785123966956</v>
      </c>
      <c r="K219" s="22">
        <f>testdata4[[#This Row],[K(14)'']]</f>
        <v>3.305785123966956</v>
      </c>
      <c r="L219" s="22">
        <f>testdata4[[#This Row],[%K]]-100</f>
        <v>-96.694214876033044</v>
      </c>
      <c r="N219" s="12">
        <v>217</v>
      </c>
      <c r="O219" s="3">
        <v>45223</v>
      </c>
      <c r="P219" s="23" t="s">
        <v>220</v>
      </c>
      <c r="Q219" s="22">
        <f>IF(testdata4[[#This Row],[%R]]&lt;&gt;Table25[[#This Row],[%R]],testdata4[[#This Row],[%R]]-Table25[[#This Row],[%R]],"")</f>
        <v>-4.2632564145606011E-14</v>
      </c>
      <c r="R219" s="11" t="str">
        <f>IF(OR(Table25[[#This Row],[%R]]&lt;-100,Table25[[#This Row],[%R]]&gt;0),"RANGE_ERR","")</f>
        <v>RANGE_ERR</v>
      </c>
    </row>
    <row r="220" spans="1:18" x14ac:dyDescent="0.35">
      <c r="A220" s="6">
        <v>218</v>
      </c>
      <c r="B220" s="3">
        <v>45224</v>
      </c>
      <c r="C220" s="2">
        <v>102.9</v>
      </c>
      <c r="D220" s="2">
        <v>104.17</v>
      </c>
      <c r="E220" s="2">
        <v>100.08</v>
      </c>
      <c r="F220" s="2">
        <v>103.4</v>
      </c>
      <c r="G220" s="1">
        <v>2699609</v>
      </c>
      <c r="H220" s="2">
        <f t="shared" si="8"/>
        <v>100.08</v>
      </c>
      <c r="I220" s="2">
        <f t="shared" si="9"/>
        <v>113.83</v>
      </c>
      <c r="J220" s="22">
        <f>100*(testdata4[[#This Row],[close]]-testdata4[[#This Row],[LL]])/(testdata4[[#This Row],[HH]]-testdata4[[#This Row],[LL]])</f>
        <v>24.145454545454598</v>
      </c>
      <c r="K220" s="22">
        <f>testdata4[[#This Row],[K(14)'']]</f>
        <v>24.145454545454598</v>
      </c>
      <c r="L220" s="22">
        <f>testdata4[[#This Row],[%K]]-100</f>
        <v>-75.854545454545402</v>
      </c>
      <c r="N220" s="12">
        <v>218</v>
      </c>
      <c r="O220" s="3">
        <v>45224</v>
      </c>
      <c r="P220" s="23" t="s">
        <v>221</v>
      </c>
      <c r="Q220" s="22">
        <f>IF(testdata4[[#This Row],[%R]]&lt;&gt;Table25[[#This Row],[%R]],testdata4[[#This Row],[%R]]-Table25[[#This Row],[%R]],"")</f>
        <v>0</v>
      </c>
      <c r="R220" s="11" t="str">
        <f>IF(OR(Table25[[#This Row],[%R]]&lt;-100,Table25[[#This Row],[%R]]&gt;0),"RANGE_ERR","")</f>
        <v>RANGE_ERR</v>
      </c>
    </row>
    <row r="221" spans="1:18" x14ac:dyDescent="0.35">
      <c r="A221" s="6">
        <v>219</v>
      </c>
      <c r="B221" s="3">
        <v>45225</v>
      </c>
      <c r="C221" s="2">
        <v>103.47</v>
      </c>
      <c r="D221" s="2">
        <v>104.91</v>
      </c>
      <c r="E221" s="2">
        <v>103.24</v>
      </c>
      <c r="F221" s="2">
        <v>104.31</v>
      </c>
      <c r="G221" s="1">
        <v>1599149</v>
      </c>
      <c r="H221" s="2">
        <f t="shared" si="8"/>
        <v>100.08</v>
      </c>
      <c r="I221" s="2">
        <f t="shared" si="9"/>
        <v>113.83</v>
      </c>
      <c r="J221" s="22">
        <f>100*(testdata4[[#This Row],[close]]-testdata4[[#This Row],[LL]])/(testdata4[[#This Row],[HH]]-testdata4[[#This Row],[LL]])</f>
        <v>30.763636363636394</v>
      </c>
      <c r="K221" s="22">
        <f>testdata4[[#This Row],[K(14)'']]</f>
        <v>30.763636363636394</v>
      </c>
      <c r="L221" s="22">
        <f>testdata4[[#This Row],[%K]]-100</f>
        <v>-69.236363636363606</v>
      </c>
      <c r="N221" s="12">
        <v>219</v>
      </c>
      <c r="O221" s="3">
        <v>45225</v>
      </c>
      <c r="P221" s="23" t="s">
        <v>222</v>
      </c>
      <c r="Q221" s="22">
        <f>IF(testdata4[[#This Row],[%R]]&lt;&gt;Table25[[#This Row],[%R]],testdata4[[#This Row],[%R]]-Table25[[#This Row],[%R]],"")</f>
        <v>0</v>
      </c>
      <c r="R221" s="11" t="str">
        <f>IF(OR(Table25[[#This Row],[%R]]&lt;-100,Table25[[#This Row],[%R]]&gt;0),"RANGE_ERR","")</f>
        <v>RANGE_ERR</v>
      </c>
    </row>
    <row r="222" spans="1:18" x14ac:dyDescent="0.35">
      <c r="A222" s="6">
        <v>220</v>
      </c>
      <c r="B222" s="3">
        <v>45226</v>
      </c>
      <c r="C222" s="2">
        <v>104.54</v>
      </c>
      <c r="D222" s="2">
        <v>104.78</v>
      </c>
      <c r="E222" s="2">
        <v>102.4</v>
      </c>
      <c r="F222" s="2">
        <v>102.77</v>
      </c>
      <c r="G222" s="1">
        <v>2004019</v>
      </c>
      <c r="H222" s="2">
        <f t="shared" si="8"/>
        <v>100.08</v>
      </c>
      <c r="I222" s="2">
        <f t="shared" si="9"/>
        <v>113.83</v>
      </c>
      <c r="J222" s="22">
        <f>100*(testdata4[[#This Row],[close]]-testdata4[[#This Row],[LL]])/(testdata4[[#This Row],[HH]]-testdata4[[#This Row],[LL]])</f>
        <v>19.563636363636348</v>
      </c>
      <c r="K222" s="22">
        <f>testdata4[[#This Row],[K(14)'']]</f>
        <v>19.563636363636348</v>
      </c>
      <c r="L222" s="22">
        <f>testdata4[[#This Row],[%K]]-100</f>
        <v>-80.436363636363652</v>
      </c>
      <c r="N222" s="12">
        <v>220</v>
      </c>
      <c r="O222" s="3">
        <v>45226</v>
      </c>
      <c r="P222" s="23" t="s">
        <v>223</v>
      </c>
      <c r="Q222" s="22">
        <f>IF(testdata4[[#This Row],[%R]]&lt;&gt;Table25[[#This Row],[%R]],testdata4[[#This Row],[%R]]-Table25[[#This Row],[%R]],"")</f>
        <v>-5.6843418860808015E-14</v>
      </c>
      <c r="R222" s="11" t="str">
        <f>IF(OR(Table25[[#This Row],[%R]]&lt;-100,Table25[[#This Row],[%R]]&gt;0),"RANGE_ERR","")</f>
        <v>RANGE_ERR</v>
      </c>
    </row>
    <row r="223" spans="1:18" x14ac:dyDescent="0.35">
      <c r="A223" s="6">
        <v>221</v>
      </c>
      <c r="B223" s="3">
        <v>45229</v>
      </c>
      <c r="C223" s="2">
        <v>102.71</v>
      </c>
      <c r="D223" s="2">
        <v>102.78</v>
      </c>
      <c r="E223" s="2">
        <v>96.8</v>
      </c>
      <c r="F223" s="2">
        <v>101.17</v>
      </c>
      <c r="G223" s="1">
        <v>3684908</v>
      </c>
      <c r="H223" s="2">
        <f t="shared" si="8"/>
        <v>96.8</v>
      </c>
      <c r="I223" s="2">
        <f t="shared" si="9"/>
        <v>113.6</v>
      </c>
      <c r="J223" s="22">
        <f>100*(testdata4[[#This Row],[close]]-testdata4[[#This Row],[LL]])/(testdata4[[#This Row],[HH]]-testdata4[[#This Row],[LL]])</f>
        <v>26.011904761904795</v>
      </c>
      <c r="K223" s="22">
        <f>testdata4[[#This Row],[K(14)'']]</f>
        <v>26.011904761904795</v>
      </c>
      <c r="L223" s="22">
        <f>testdata4[[#This Row],[%K]]-100</f>
        <v>-73.988095238095212</v>
      </c>
      <c r="N223" s="12">
        <v>221</v>
      </c>
      <c r="O223" s="3">
        <v>45229</v>
      </c>
      <c r="P223" s="23" t="s">
        <v>224</v>
      </c>
      <c r="Q223" s="22">
        <f>IF(testdata4[[#This Row],[%R]]&lt;&gt;Table25[[#This Row],[%R]],testdata4[[#This Row],[%R]]-Table25[[#This Row],[%R]],"")</f>
        <v>-1.4210854715202004E-14</v>
      </c>
      <c r="R223" s="11" t="str">
        <f>IF(OR(Table25[[#This Row],[%R]]&lt;-100,Table25[[#This Row],[%R]]&gt;0),"RANGE_ERR","")</f>
        <v>RANGE_ERR</v>
      </c>
    </row>
    <row r="224" spans="1:18" x14ac:dyDescent="0.35">
      <c r="A224" s="6">
        <v>222</v>
      </c>
      <c r="B224" s="3">
        <v>45230</v>
      </c>
      <c r="C224" s="2">
        <v>103</v>
      </c>
      <c r="D224" s="2">
        <v>104.2</v>
      </c>
      <c r="E224" s="2">
        <v>101.94</v>
      </c>
      <c r="F224" s="2">
        <v>103.37</v>
      </c>
      <c r="G224" s="1">
        <v>2218807</v>
      </c>
      <c r="H224" s="2">
        <f t="shared" si="8"/>
        <v>96.8</v>
      </c>
      <c r="I224" s="2">
        <f t="shared" si="9"/>
        <v>113.4</v>
      </c>
      <c r="J224" s="22">
        <f>100*(testdata4[[#This Row],[close]]-testdata4[[#This Row],[LL]])/(testdata4[[#This Row],[HH]]-testdata4[[#This Row],[LL]])</f>
        <v>39.57831325301207</v>
      </c>
      <c r="K224" s="22">
        <f>testdata4[[#This Row],[K(14)'']]</f>
        <v>39.57831325301207</v>
      </c>
      <c r="L224" s="22">
        <f>testdata4[[#This Row],[%K]]-100</f>
        <v>-60.42168674698793</v>
      </c>
      <c r="N224" s="12">
        <v>222</v>
      </c>
      <c r="O224" s="3">
        <v>45230</v>
      </c>
      <c r="P224" s="23" t="s">
        <v>225</v>
      </c>
      <c r="Q224" s="22">
        <f>IF(testdata4[[#This Row],[%R]]&lt;&gt;Table25[[#This Row],[%R]],testdata4[[#This Row],[%R]]-Table25[[#This Row],[%R]],"")</f>
        <v>-2.8421709430404007E-14</v>
      </c>
      <c r="R224" s="11" t="str">
        <f>IF(OR(Table25[[#This Row],[%R]]&lt;-100,Table25[[#This Row],[%R]]&gt;0),"RANGE_ERR","")</f>
        <v>RANGE_ERR</v>
      </c>
    </row>
    <row r="225" spans="1:18" x14ac:dyDescent="0.35">
      <c r="A225" s="6">
        <v>223</v>
      </c>
      <c r="B225" s="3">
        <v>45231</v>
      </c>
      <c r="C225" s="2">
        <v>102.5</v>
      </c>
      <c r="D225" s="2">
        <v>103.21</v>
      </c>
      <c r="E225" s="2">
        <v>100.26</v>
      </c>
      <c r="F225" s="2">
        <v>102.86</v>
      </c>
      <c r="G225" s="1">
        <v>2284563</v>
      </c>
      <c r="H225" s="2">
        <f t="shared" si="8"/>
        <v>96.8</v>
      </c>
      <c r="I225" s="2">
        <f t="shared" si="9"/>
        <v>112.91</v>
      </c>
      <c r="J225" s="22">
        <f>100*(testdata4[[#This Row],[close]]-testdata4[[#This Row],[LL]])/(testdata4[[#This Row],[HH]]-testdata4[[#This Row],[LL]])</f>
        <v>37.616387337057745</v>
      </c>
      <c r="K225" s="22">
        <f>testdata4[[#This Row],[K(14)'']]</f>
        <v>37.616387337057745</v>
      </c>
      <c r="L225" s="22">
        <f>testdata4[[#This Row],[%K]]-100</f>
        <v>-62.383612662942255</v>
      </c>
      <c r="N225" s="12">
        <v>223</v>
      </c>
      <c r="O225" s="3">
        <v>45231</v>
      </c>
      <c r="P225" s="23" t="s">
        <v>226</v>
      </c>
      <c r="Q225" s="22">
        <f>IF(testdata4[[#This Row],[%R]]&lt;&gt;Table25[[#This Row],[%R]],testdata4[[#This Row],[%R]]-Table25[[#This Row],[%R]],"")</f>
        <v>-5.6843418860808015E-14</v>
      </c>
      <c r="R225" s="11" t="str">
        <f>IF(OR(Table25[[#This Row],[%R]]&lt;-100,Table25[[#This Row],[%R]]&gt;0),"RANGE_ERR","")</f>
        <v>RANGE_ERR</v>
      </c>
    </row>
    <row r="226" spans="1:18" x14ac:dyDescent="0.35">
      <c r="A226" s="6">
        <v>224</v>
      </c>
      <c r="B226" s="3">
        <v>45232</v>
      </c>
      <c r="C226" s="2">
        <v>103.97</v>
      </c>
      <c r="D226" s="2">
        <v>104.63500000000001</v>
      </c>
      <c r="E226" s="2">
        <v>102.7</v>
      </c>
      <c r="F226" s="2">
        <v>104.47</v>
      </c>
      <c r="G226" s="1">
        <v>1488985</v>
      </c>
      <c r="H226" s="2">
        <f t="shared" si="8"/>
        <v>96.8</v>
      </c>
      <c r="I226" s="2">
        <f t="shared" si="9"/>
        <v>112.91</v>
      </c>
      <c r="J226" s="22">
        <f>100*(testdata4[[#This Row],[close]]-testdata4[[#This Row],[LL]])/(testdata4[[#This Row],[HH]]-testdata4[[#This Row],[LL]])</f>
        <v>47.610180012414666</v>
      </c>
      <c r="K226" s="22">
        <f>testdata4[[#This Row],[K(14)'']]</f>
        <v>47.610180012414666</v>
      </c>
      <c r="L226" s="22">
        <f>testdata4[[#This Row],[%K]]-100</f>
        <v>-52.389819987585334</v>
      </c>
      <c r="N226" s="12">
        <v>224</v>
      </c>
      <c r="O226" s="3">
        <v>45232</v>
      </c>
      <c r="P226" s="23" t="s">
        <v>227</v>
      </c>
      <c r="Q226" s="22">
        <f>IF(testdata4[[#This Row],[%R]]&lt;&gt;Table25[[#This Row],[%R]],testdata4[[#This Row],[%R]]-Table25[[#This Row],[%R]],"")</f>
        <v>-3.5527136788005009E-14</v>
      </c>
      <c r="R226" s="11" t="str">
        <f>IF(OR(Table25[[#This Row],[%R]]&lt;-100,Table25[[#This Row],[%R]]&gt;0),"RANGE_ERR","")</f>
        <v>RANGE_ERR</v>
      </c>
    </row>
    <row r="227" spans="1:18" x14ac:dyDescent="0.35">
      <c r="A227" s="6">
        <v>225</v>
      </c>
      <c r="B227" s="3">
        <v>45233</v>
      </c>
      <c r="C227" s="2">
        <v>106.5</v>
      </c>
      <c r="D227" s="2">
        <v>109.59</v>
      </c>
      <c r="E227" s="2">
        <v>106.12009999999999</v>
      </c>
      <c r="F227" s="2">
        <v>109.02</v>
      </c>
      <c r="G227" s="1">
        <v>2511312</v>
      </c>
      <c r="H227" s="2">
        <f t="shared" si="8"/>
        <v>96.8</v>
      </c>
      <c r="I227" s="2">
        <f t="shared" si="9"/>
        <v>112.91</v>
      </c>
      <c r="J227" s="22">
        <f>100*(testdata4[[#This Row],[close]]-testdata4[[#This Row],[LL]])/(testdata4[[#This Row],[HH]]-testdata4[[#This Row],[LL]])</f>
        <v>75.853507138423339</v>
      </c>
      <c r="K227" s="22">
        <f>testdata4[[#This Row],[K(14)'']]</f>
        <v>75.853507138423339</v>
      </c>
      <c r="L227" s="22">
        <f>testdata4[[#This Row],[%K]]-100</f>
        <v>-24.146492861576661</v>
      </c>
      <c r="N227" s="12">
        <v>225</v>
      </c>
      <c r="O227" s="3">
        <v>45233</v>
      </c>
      <c r="P227" s="23" t="s">
        <v>228</v>
      </c>
      <c r="Q227" s="22">
        <f>IF(testdata4[[#This Row],[%R]]&lt;&gt;Table25[[#This Row],[%R]],testdata4[[#This Row],[%R]]-Table25[[#This Row],[%R]],"")</f>
        <v>-6.0396132539608516E-14</v>
      </c>
      <c r="R227" s="11" t="str">
        <f>IF(OR(Table25[[#This Row],[%R]]&lt;-100,Table25[[#This Row],[%R]]&gt;0),"RANGE_ERR","")</f>
        <v>RANGE_ERR</v>
      </c>
    </row>
    <row r="228" spans="1:18" x14ac:dyDescent="0.35">
      <c r="A228" s="6">
        <v>226</v>
      </c>
      <c r="B228" s="3">
        <v>45236</v>
      </c>
      <c r="C228" s="2">
        <v>108.81</v>
      </c>
      <c r="D228" s="2">
        <v>109.52</v>
      </c>
      <c r="E228" s="2">
        <v>107.17</v>
      </c>
      <c r="F228" s="2">
        <v>107.53</v>
      </c>
      <c r="G228" s="1">
        <v>1411996</v>
      </c>
      <c r="H228" s="2">
        <f t="shared" si="8"/>
        <v>96.8</v>
      </c>
      <c r="I228" s="2">
        <f t="shared" si="9"/>
        <v>111.38</v>
      </c>
      <c r="J228" s="22">
        <f>100*(testdata4[[#This Row],[close]]-testdata4[[#This Row],[LL]])/(testdata4[[#This Row],[HH]]-testdata4[[#This Row],[LL]])</f>
        <v>73.59396433470512</v>
      </c>
      <c r="K228" s="22">
        <f>testdata4[[#This Row],[K(14)'']]</f>
        <v>73.59396433470512</v>
      </c>
      <c r="L228" s="22">
        <f>testdata4[[#This Row],[%K]]-100</f>
        <v>-26.40603566529488</v>
      </c>
      <c r="N228" s="12">
        <v>226</v>
      </c>
      <c r="O228" s="3">
        <v>45236</v>
      </c>
      <c r="P228" s="23" t="s">
        <v>229</v>
      </c>
      <c r="Q228" s="22">
        <f>IF(testdata4[[#This Row],[%R]]&lt;&gt;Table25[[#This Row],[%R]],testdata4[[#This Row],[%R]]-Table25[[#This Row],[%R]],"")</f>
        <v>-7.815970093361102E-14</v>
      </c>
      <c r="R228" s="11" t="str">
        <f>IF(OR(Table25[[#This Row],[%R]]&lt;-100,Table25[[#This Row],[%R]]&gt;0),"RANGE_ERR","")</f>
        <v>RANGE_ERR</v>
      </c>
    </row>
    <row r="229" spans="1:18" x14ac:dyDescent="0.35">
      <c r="A229" s="6">
        <v>227</v>
      </c>
      <c r="B229" s="3">
        <v>45237</v>
      </c>
      <c r="C229" s="2">
        <v>106.84</v>
      </c>
      <c r="D229" s="2">
        <v>110.81</v>
      </c>
      <c r="E229" s="2">
        <v>106.545</v>
      </c>
      <c r="F229" s="2">
        <v>110.54</v>
      </c>
      <c r="G229" s="1">
        <v>2142464</v>
      </c>
      <c r="H229" s="2">
        <f t="shared" si="8"/>
        <v>96.8</v>
      </c>
      <c r="I229" s="2">
        <f t="shared" si="9"/>
        <v>111.38</v>
      </c>
      <c r="J229" s="22">
        <f>100*(testdata4[[#This Row],[close]]-testdata4[[#This Row],[LL]])/(testdata4[[#This Row],[HH]]-testdata4[[#This Row],[LL]])</f>
        <v>94.238683127572088</v>
      </c>
      <c r="K229" s="22">
        <f>testdata4[[#This Row],[K(14)'']]</f>
        <v>94.238683127572088</v>
      </c>
      <c r="L229" s="22">
        <f>testdata4[[#This Row],[%K]]-100</f>
        <v>-5.761316872427912</v>
      </c>
      <c r="N229" s="12">
        <v>227</v>
      </c>
      <c r="O229" s="3">
        <v>45237</v>
      </c>
      <c r="P229" s="23" t="s">
        <v>230</v>
      </c>
      <c r="Q229" s="22">
        <f>IF(testdata4[[#This Row],[%R]]&lt;&gt;Table25[[#This Row],[%R]],testdata4[[#This Row],[%R]]-Table25[[#This Row],[%R]],"")</f>
        <v>-1.7763568394002505E-15</v>
      </c>
      <c r="R229" s="11" t="str">
        <f>IF(OR(Table25[[#This Row],[%R]]&lt;-100,Table25[[#This Row],[%R]]&gt;0),"RANGE_ERR","")</f>
        <v>RANGE_ERR</v>
      </c>
    </row>
    <row r="230" spans="1:18" x14ac:dyDescent="0.35">
      <c r="A230" s="6">
        <v>228</v>
      </c>
      <c r="B230" s="3">
        <v>45238</v>
      </c>
      <c r="C230" s="2">
        <v>110.89</v>
      </c>
      <c r="D230" s="2">
        <v>111.57</v>
      </c>
      <c r="E230" s="2">
        <v>108.46</v>
      </c>
      <c r="F230" s="2">
        <v>109.39</v>
      </c>
      <c r="G230" s="1">
        <v>1494952</v>
      </c>
      <c r="H230" s="2">
        <f t="shared" si="8"/>
        <v>96.8</v>
      </c>
      <c r="I230" s="2">
        <f t="shared" si="9"/>
        <v>111.57</v>
      </c>
      <c r="J230" s="22">
        <f>100*(testdata4[[#This Row],[close]]-testdata4[[#This Row],[LL]])/(testdata4[[#This Row],[HH]]-testdata4[[#This Row],[LL]])</f>
        <v>85.240352064996671</v>
      </c>
      <c r="K230" s="22">
        <f>testdata4[[#This Row],[K(14)'']]</f>
        <v>85.240352064996671</v>
      </c>
      <c r="L230" s="22">
        <f>testdata4[[#This Row],[%K]]-100</f>
        <v>-14.759647935003329</v>
      </c>
      <c r="N230" s="12">
        <v>228</v>
      </c>
      <c r="O230" s="3">
        <v>45238</v>
      </c>
      <c r="P230" s="23" t="s">
        <v>231</v>
      </c>
      <c r="Q230" s="22">
        <f>IF(testdata4[[#This Row],[%R]]&lt;&gt;Table25[[#This Row],[%R]],testdata4[[#This Row],[%R]]-Table25[[#This Row],[%R]],"")</f>
        <v>-2.8421709430404007E-14</v>
      </c>
      <c r="R230" s="11" t="str">
        <f>IF(OR(Table25[[#This Row],[%R]]&lt;-100,Table25[[#This Row],[%R]]&gt;0),"RANGE_ERR","")</f>
        <v>RANGE_ERR</v>
      </c>
    </row>
    <row r="231" spans="1:18" x14ac:dyDescent="0.35">
      <c r="A231" s="6">
        <v>229</v>
      </c>
      <c r="B231" s="3">
        <v>45239</v>
      </c>
      <c r="C231" s="2">
        <v>110.12</v>
      </c>
      <c r="D231" s="2">
        <v>110.12</v>
      </c>
      <c r="E231" s="2">
        <v>107.54</v>
      </c>
      <c r="F231" s="2">
        <v>107.74</v>
      </c>
      <c r="G231" s="1">
        <v>1481269</v>
      </c>
      <c r="H231" s="2">
        <f t="shared" si="8"/>
        <v>96.8</v>
      </c>
      <c r="I231" s="2">
        <f t="shared" si="9"/>
        <v>111.57</v>
      </c>
      <c r="J231" s="22">
        <f>100*(testdata4[[#This Row],[close]]-testdata4[[#This Row],[LL]])/(testdata4[[#This Row],[HH]]-testdata4[[#This Row],[LL]])</f>
        <v>74.069058903182125</v>
      </c>
      <c r="K231" s="22">
        <f>testdata4[[#This Row],[K(14)'']]</f>
        <v>74.069058903182125</v>
      </c>
      <c r="L231" s="22">
        <f>testdata4[[#This Row],[%K]]-100</f>
        <v>-25.930941096817875</v>
      </c>
      <c r="N231" s="12">
        <v>229</v>
      </c>
      <c r="O231" s="3">
        <v>45239</v>
      </c>
      <c r="P231" s="23" t="s">
        <v>232</v>
      </c>
      <c r="Q231" s="22">
        <f>IF(testdata4[[#This Row],[%R]]&lt;&gt;Table25[[#This Row],[%R]],testdata4[[#This Row],[%R]]-Table25[[#This Row],[%R]],"")</f>
        <v>-7.460698725481052E-14</v>
      </c>
      <c r="R231" s="11" t="str">
        <f>IF(OR(Table25[[#This Row],[%R]]&lt;-100,Table25[[#This Row],[%R]]&gt;0),"RANGE_ERR","")</f>
        <v>RANGE_ERR</v>
      </c>
    </row>
    <row r="232" spans="1:18" x14ac:dyDescent="0.35">
      <c r="A232" s="6">
        <v>230</v>
      </c>
      <c r="B232" s="3">
        <v>45240</v>
      </c>
      <c r="C232" s="2">
        <v>107.72</v>
      </c>
      <c r="D232" s="2">
        <v>108.48</v>
      </c>
      <c r="E232" s="2">
        <v>104.09</v>
      </c>
      <c r="F232" s="2">
        <v>108.47</v>
      </c>
      <c r="G232" s="1">
        <v>1847852</v>
      </c>
      <c r="H232" s="2">
        <f t="shared" si="8"/>
        <v>96.8</v>
      </c>
      <c r="I232" s="2">
        <f t="shared" si="9"/>
        <v>111.57</v>
      </c>
      <c r="J232" s="22">
        <f>100*(testdata4[[#This Row],[close]]-testdata4[[#This Row],[LL]])/(testdata4[[#This Row],[HH]]-testdata4[[#This Row],[LL]])</f>
        <v>79.011509817197052</v>
      </c>
      <c r="K232" s="22">
        <f>testdata4[[#This Row],[K(14)'']]</f>
        <v>79.011509817197052</v>
      </c>
      <c r="L232" s="22">
        <f>testdata4[[#This Row],[%K]]-100</f>
        <v>-20.988490182802948</v>
      </c>
      <c r="N232" s="12">
        <v>230</v>
      </c>
      <c r="O232" s="3">
        <v>45240</v>
      </c>
      <c r="P232" s="23" t="s">
        <v>233</v>
      </c>
      <c r="Q232" s="22">
        <f>IF(testdata4[[#This Row],[%R]]&lt;&gt;Table25[[#This Row],[%R]],testdata4[[#This Row],[%R]]-Table25[[#This Row],[%R]],"")</f>
        <v>-4.9737991503207013E-14</v>
      </c>
      <c r="R232" s="11" t="str">
        <f>IF(OR(Table25[[#This Row],[%R]]&lt;-100,Table25[[#This Row],[%R]]&gt;0),"RANGE_ERR","")</f>
        <v>RANGE_ERR</v>
      </c>
    </row>
    <row r="233" spans="1:18" x14ac:dyDescent="0.35">
      <c r="A233" s="6">
        <v>231</v>
      </c>
      <c r="B233" s="3">
        <v>45243</v>
      </c>
      <c r="C233" s="2">
        <v>108.13</v>
      </c>
      <c r="D233" s="2">
        <v>108.27</v>
      </c>
      <c r="E233" s="2">
        <v>106.96</v>
      </c>
      <c r="F233" s="2">
        <v>107.46</v>
      </c>
      <c r="G233" s="1">
        <v>1200324</v>
      </c>
      <c r="H233" s="2">
        <f t="shared" si="8"/>
        <v>96.8</v>
      </c>
      <c r="I233" s="2">
        <f t="shared" si="9"/>
        <v>111.57</v>
      </c>
      <c r="J233" s="22">
        <f>100*(testdata4[[#This Row],[close]]-testdata4[[#This Row],[LL]])/(testdata4[[#This Row],[HH]]-testdata4[[#This Row],[LL]])</f>
        <v>72.173324306025719</v>
      </c>
      <c r="K233" s="22">
        <f>testdata4[[#This Row],[K(14)'']]</f>
        <v>72.173324306025719</v>
      </c>
      <c r="L233" s="22">
        <f>testdata4[[#This Row],[%K]]-100</f>
        <v>-27.826675693974281</v>
      </c>
      <c r="N233" s="12">
        <v>231</v>
      </c>
      <c r="O233" s="3">
        <v>45243</v>
      </c>
      <c r="P233" s="23" t="s">
        <v>234</v>
      </c>
      <c r="Q233" s="22">
        <f>IF(testdata4[[#This Row],[%R]]&lt;&gt;Table25[[#This Row],[%R]],testdata4[[#This Row],[%R]]-Table25[[#This Row],[%R]],"")</f>
        <v>-8.1712414612411521E-14</v>
      </c>
      <c r="R233" s="11" t="str">
        <f>IF(OR(Table25[[#This Row],[%R]]&lt;-100,Table25[[#This Row],[%R]]&gt;0),"RANGE_ERR","")</f>
        <v>RANGE_ERR</v>
      </c>
    </row>
    <row r="234" spans="1:18" x14ac:dyDescent="0.35">
      <c r="A234" s="6">
        <v>232</v>
      </c>
      <c r="B234" s="3">
        <v>45244</v>
      </c>
      <c r="C234" s="2">
        <v>109.55</v>
      </c>
      <c r="D234" s="2">
        <v>112.29</v>
      </c>
      <c r="E234" s="2">
        <v>109.46</v>
      </c>
      <c r="F234" s="2">
        <v>111.61</v>
      </c>
      <c r="G234" s="1">
        <v>2009745</v>
      </c>
      <c r="H234" s="2">
        <f t="shared" si="8"/>
        <v>96.8</v>
      </c>
      <c r="I234" s="2">
        <f t="shared" si="9"/>
        <v>112.29</v>
      </c>
      <c r="J234" s="22">
        <f>100*(testdata4[[#This Row],[close]]-testdata4[[#This Row],[LL]])/(testdata4[[#This Row],[HH]]-testdata4[[#This Row],[LL]])</f>
        <v>95.610071013557089</v>
      </c>
      <c r="K234" s="22">
        <f>testdata4[[#This Row],[K(14)'']]</f>
        <v>95.610071013557089</v>
      </c>
      <c r="L234" s="22">
        <f>testdata4[[#This Row],[%K]]-100</f>
        <v>-4.3899289864429107</v>
      </c>
      <c r="N234" s="12">
        <v>232</v>
      </c>
      <c r="O234" s="3">
        <v>45244</v>
      </c>
      <c r="P234" s="23" t="s">
        <v>235</v>
      </c>
      <c r="Q234" s="22">
        <f>IF(testdata4[[#This Row],[%R]]&lt;&gt;Table25[[#This Row],[%R]],testdata4[[#This Row],[%R]]-Table25[[#This Row],[%R]],"")</f>
        <v>-8.8817841970012523E-16</v>
      </c>
      <c r="R234" s="11" t="str">
        <f>IF(OR(Table25[[#This Row],[%R]]&lt;-100,Table25[[#This Row],[%R]]&gt;0),"RANGE_ERR","")</f>
        <v>RANGE_ERR</v>
      </c>
    </row>
    <row r="235" spans="1:18" x14ac:dyDescent="0.35">
      <c r="A235" s="6">
        <v>233</v>
      </c>
      <c r="B235" s="3">
        <v>45245</v>
      </c>
      <c r="C235" s="2">
        <v>111.85</v>
      </c>
      <c r="D235" s="2">
        <v>114.52</v>
      </c>
      <c r="E235" s="2">
        <v>111.33</v>
      </c>
      <c r="F235" s="2">
        <v>113.6</v>
      </c>
      <c r="G235" s="1">
        <v>2021381</v>
      </c>
      <c r="H235" s="2">
        <f t="shared" si="8"/>
        <v>96.8</v>
      </c>
      <c r="I235" s="2">
        <f t="shared" si="9"/>
        <v>114.52</v>
      </c>
      <c r="J235" s="22">
        <f>100*(testdata4[[#This Row],[close]]-testdata4[[#This Row],[LL]])/(testdata4[[#This Row],[HH]]-testdata4[[#This Row],[LL]])</f>
        <v>94.808126410835214</v>
      </c>
      <c r="K235" s="22">
        <f>testdata4[[#This Row],[K(14)'']]</f>
        <v>94.808126410835214</v>
      </c>
      <c r="L235" s="22">
        <f>testdata4[[#This Row],[%K]]-100</f>
        <v>-5.1918735891647856</v>
      </c>
      <c r="N235" s="12">
        <v>233</v>
      </c>
      <c r="O235" s="3">
        <v>45245</v>
      </c>
      <c r="P235" s="23" t="s">
        <v>236</v>
      </c>
      <c r="Q235" s="22">
        <f>IF(testdata4[[#This Row],[%R]]&lt;&gt;Table25[[#This Row],[%R]],testdata4[[#This Row],[%R]]-Table25[[#This Row],[%R]],"")</f>
        <v>-5.3290705182007514E-15</v>
      </c>
      <c r="R235" s="11" t="str">
        <f>IF(OR(Table25[[#This Row],[%R]]&lt;-100,Table25[[#This Row],[%R]]&gt;0),"RANGE_ERR","")</f>
        <v>RANGE_ERR</v>
      </c>
    </row>
    <row r="236" spans="1:18" x14ac:dyDescent="0.35">
      <c r="A236" s="6">
        <v>234</v>
      </c>
      <c r="B236" s="3">
        <v>45246</v>
      </c>
      <c r="C236" s="2">
        <v>113.94</v>
      </c>
      <c r="D236" s="2">
        <v>114.5</v>
      </c>
      <c r="E236" s="2">
        <v>113.56</v>
      </c>
      <c r="F236" s="2">
        <v>114.19</v>
      </c>
      <c r="G236" s="1">
        <v>1728065</v>
      </c>
      <c r="H236" s="2">
        <f t="shared" si="8"/>
        <v>96.8</v>
      </c>
      <c r="I236" s="2">
        <f t="shared" si="9"/>
        <v>114.52</v>
      </c>
      <c r="J236" s="22">
        <f>100*(testdata4[[#This Row],[close]]-testdata4[[#This Row],[LL]])/(testdata4[[#This Row],[HH]]-testdata4[[#This Row],[LL]])</f>
        <v>98.137697516930032</v>
      </c>
      <c r="K236" s="22">
        <f>testdata4[[#This Row],[K(14)'']]</f>
        <v>98.137697516930032</v>
      </c>
      <c r="L236" s="22">
        <f>testdata4[[#This Row],[%K]]-100</f>
        <v>-1.8623024830699677</v>
      </c>
      <c r="N236" s="12">
        <v>234</v>
      </c>
      <c r="O236" s="3">
        <v>45246</v>
      </c>
      <c r="P236" s="23" t="s">
        <v>237</v>
      </c>
      <c r="Q236" s="22">
        <f>IF(testdata4[[#This Row],[%R]]&lt;&gt;Table25[[#This Row],[%R]],testdata4[[#This Row],[%R]]-Table25[[#This Row],[%R]],"")</f>
        <v>-7.7715611723760958E-15</v>
      </c>
      <c r="R236" s="11" t="str">
        <f>IF(OR(Table25[[#This Row],[%R]]&lt;-100,Table25[[#This Row],[%R]]&gt;0),"RANGE_ERR","")</f>
        <v>RANGE_ERR</v>
      </c>
    </row>
    <row r="237" spans="1:18" x14ac:dyDescent="0.35">
      <c r="A237" s="6">
        <v>235</v>
      </c>
      <c r="B237" s="3">
        <v>45247</v>
      </c>
      <c r="C237" s="2">
        <v>113.98</v>
      </c>
      <c r="D237" s="2">
        <v>114.47</v>
      </c>
      <c r="E237" s="2">
        <v>112.06</v>
      </c>
      <c r="F237" s="2">
        <v>113.15</v>
      </c>
      <c r="G237" s="1">
        <v>2700771</v>
      </c>
      <c r="H237" s="2">
        <f t="shared" si="8"/>
        <v>100.26</v>
      </c>
      <c r="I237" s="2">
        <f t="shared" si="9"/>
        <v>114.52</v>
      </c>
      <c r="J237" s="22">
        <f>100*(testdata4[[#This Row],[close]]-testdata4[[#This Row],[LL]])/(testdata4[[#This Row],[HH]]-testdata4[[#This Row],[LL]])</f>
        <v>90.392706872370326</v>
      </c>
      <c r="K237" s="22">
        <f>testdata4[[#This Row],[K(14)'']]</f>
        <v>90.392706872370326</v>
      </c>
      <c r="L237" s="22">
        <f>testdata4[[#This Row],[%K]]-100</f>
        <v>-9.6072931276296742</v>
      </c>
      <c r="N237" s="12">
        <v>235</v>
      </c>
      <c r="O237" s="3">
        <v>45247</v>
      </c>
      <c r="P237" s="23" t="s">
        <v>238</v>
      </c>
      <c r="Q237" s="22">
        <f>IF(testdata4[[#This Row],[%R]]&lt;&gt;Table25[[#This Row],[%R]],testdata4[[#This Row],[%R]]-Table25[[#This Row],[%R]],"")</f>
        <v>-3.5527136788005009E-15</v>
      </c>
      <c r="R237" s="11" t="str">
        <f>IF(OR(Table25[[#This Row],[%R]]&lt;-100,Table25[[#This Row],[%R]]&gt;0),"RANGE_ERR","")</f>
        <v>RANGE_ERR</v>
      </c>
    </row>
    <row r="238" spans="1:18" x14ac:dyDescent="0.35">
      <c r="A238" s="6">
        <v>236</v>
      </c>
      <c r="B238" s="3">
        <v>45250</v>
      </c>
      <c r="C238" s="2">
        <v>113.25</v>
      </c>
      <c r="D238" s="2">
        <v>114.5</v>
      </c>
      <c r="E238" s="2">
        <v>112.39</v>
      </c>
      <c r="F238" s="2">
        <v>113.98</v>
      </c>
      <c r="G238" s="1">
        <v>3063839</v>
      </c>
      <c r="H238" s="2">
        <f t="shared" si="8"/>
        <v>100.26</v>
      </c>
      <c r="I238" s="2">
        <f t="shared" si="9"/>
        <v>114.52</v>
      </c>
      <c r="J238" s="22">
        <f>100*(testdata4[[#This Row],[close]]-testdata4[[#This Row],[LL]])/(testdata4[[#This Row],[HH]]-testdata4[[#This Row],[LL]])</f>
        <v>96.213183730715343</v>
      </c>
      <c r="K238" s="22">
        <f>testdata4[[#This Row],[K(14)'']]</f>
        <v>96.213183730715343</v>
      </c>
      <c r="L238" s="22">
        <f>testdata4[[#This Row],[%K]]-100</f>
        <v>-3.7868162692846568</v>
      </c>
      <c r="N238" s="12">
        <v>236</v>
      </c>
      <c r="O238" s="3">
        <v>45250</v>
      </c>
      <c r="P238" s="23" t="s">
        <v>239</v>
      </c>
      <c r="Q238" s="22">
        <f>IF(testdata4[[#This Row],[%R]]&lt;&gt;Table25[[#This Row],[%R]],testdata4[[#This Row],[%R]]-Table25[[#This Row],[%R]],"")</f>
        <v>-6.6613381477509392E-15</v>
      </c>
      <c r="R238" s="11" t="str">
        <f>IF(OR(Table25[[#This Row],[%R]]&lt;-100,Table25[[#This Row],[%R]]&gt;0),"RANGE_ERR","")</f>
        <v>RANGE_ERR</v>
      </c>
    </row>
    <row r="239" spans="1:18" x14ac:dyDescent="0.35">
      <c r="A239" s="6">
        <v>237</v>
      </c>
      <c r="B239" s="3">
        <v>45251</v>
      </c>
      <c r="C239" s="2">
        <v>121.46</v>
      </c>
      <c r="D239" s="2">
        <v>124.68</v>
      </c>
      <c r="E239" s="2">
        <v>121.23</v>
      </c>
      <c r="F239" s="2">
        <v>123.92</v>
      </c>
      <c r="G239" s="1">
        <v>6085765</v>
      </c>
      <c r="H239" s="2">
        <f t="shared" si="8"/>
        <v>102.7</v>
      </c>
      <c r="I239" s="2">
        <f t="shared" si="9"/>
        <v>124.68</v>
      </c>
      <c r="J239" s="22">
        <f>100*(testdata4[[#This Row],[close]]-testdata4[[#This Row],[LL]])/(testdata4[[#This Row],[HH]]-testdata4[[#This Row],[LL]])</f>
        <v>96.542311191992709</v>
      </c>
      <c r="K239" s="22">
        <f>testdata4[[#This Row],[K(14)'']]</f>
        <v>96.542311191992709</v>
      </c>
      <c r="L239" s="22">
        <f>testdata4[[#This Row],[%K]]-100</f>
        <v>-3.4576888080072905</v>
      </c>
      <c r="N239" s="12">
        <v>237</v>
      </c>
      <c r="O239" s="3">
        <v>45251</v>
      </c>
      <c r="P239" s="23" t="s">
        <v>240</v>
      </c>
      <c r="Q239" s="22">
        <f>IF(testdata4[[#This Row],[%R]]&lt;&gt;Table25[[#This Row],[%R]],testdata4[[#This Row],[%R]]-Table25[[#This Row],[%R]],"")</f>
        <v>-4.4408920985006262E-16</v>
      </c>
      <c r="R239" s="11" t="str">
        <f>IF(OR(Table25[[#This Row],[%R]]&lt;-100,Table25[[#This Row],[%R]]&gt;0),"RANGE_ERR","")</f>
        <v>RANGE_ERR</v>
      </c>
    </row>
    <row r="240" spans="1:18" x14ac:dyDescent="0.35">
      <c r="A240" s="6">
        <v>238</v>
      </c>
      <c r="B240" s="3">
        <v>45252</v>
      </c>
      <c r="C240" s="2">
        <v>123.87</v>
      </c>
      <c r="D240" s="2">
        <v>125.4</v>
      </c>
      <c r="E240" s="2">
        <v>123.80500000000001</v>
      </c>
      <c r="F240" s="2">
        <v>123.99</v>
      </c>
      <c r="G240" s="1">
        <v>2630688</v>
      </c>
      <c r="H240" s="2">
        <f t="shared" si="8"/>
        <v>104.09</v>
      </c>
      <c r="I240" s="2">
        <f t="shared" si="9"/>
        <v>125.4</v>
      </c>
      <c r="J240" s="22">
        <f>100*(testdata4[[#This Row],[close]]-testdata4[[#This Row],[LL]])/(testdata4[[#This Row],[HH]]-testdata4[[#This Row],[LL]])</f>
        <v>93.383388080713232</v>
      </c>
      <c r="K240" s="22">
        <f>testdata4[[#This Row],[K(14)'']]</f>
        <v>93.383388080713232</v>
      </c>
      <c r="L240" s="22">
        <f>testdata4[[#This Row],[%K]]-100</f>
        <v>-6.6166119192867683</v>
      </c>
      <c r="N240" s="12">
        <v>238</v>
      </c>
      <c r="O240" s="3">
        <v>45252</v>
      </c>
      <c r="P240" s="23" t="s">
        <v>241</v>
      </c>
      <c r="Q240" s="22">
        <f>IF(testdata4[[#This Row],[%R]]&lt;&gt;Table25[[#This Row],[%R]],testdata4[[#This Row],[%R]]-Table25[[#This Row],[%R]],"")</f>
        <v>-7.9936057773011271E-15</v>
      </c>
      <c r="R240" s="11" t="str">
        <f>IF(OR(Table25[[#This Row],[%R]]&lt;-100,Table25[[#This Row],[%R]]&gt;0),"RANGE_ERR","")</f>
        <v>RANGE_ERR</v>
      </c>
    </row>
    <row r="241" spans="1:18" x14ac:dyDescent="0.35">
      <c r="A241" s="6">
        <v>239</v>
      </c>
      <c r="B241" s="3">
        <v>45254</v>
      </c>
      <c r="C241" s="2">
        <v>123.92</v>
      </c>
      <c r="D241" s="2">
        <v>126.77</v>
      </c>
      <c r="E241" s="2">
        <v>123.48</v>
      </c>
      <c r="F241" s="2">
        <v>126.62</v>
      </c>
      <c r="G241" s="1">
        <v>1226729</v>
      </c>
      <c r="H241" s="2">
        <f t="shared" si="8"/>
        <v>104.09</v>
      </c>
      <c r="I241" s="2">
        <f t="shared" si="9"/>
        <v>126.77</v>
      </c>
      <c r="J241" s="22">
        <f>100*(testdata4[[#This Row],[close]]-testdata4[[#This Row],[LL]])/(testdata4[[#This Row],[HH]]-testdata4[[#This Row],[LL]])</f>
        <v>99.338624338624371</v>
      </c>
      <c r="K241" s="22">
        <f>testdata4[[#This Row],[K(14)'']]</f>
        <v>99.338624338624371</v>
      </c>
      <c r="L241" s="22">
        <f>testdata4[[#This Row],[%K]]-100</f>
        <v>-0.66137566137562942</v>
      </c>
      <c r="N241" s="12">
        <v>239</v>
      </c>
      <c r="O241" s="3">
        <v>45254</v>
      </c>
      <c r="P241" s="23" t="s">
        <v>242</v>
      </c>
      <c r="Q241" s="22">
        <f>IF(testdata4[[#This Row],[%R]]&lt;&gt;Table25[[#This Row],[%R]],testdata4[[#This Row],[%R]]-Table25[[#This Row],[%R]],"")</f>
        <v>-4.4408920985006262E-16</v>
      </c>
      <c r="R241" s="11" t="str">
        <f>IF(OR(Table25[[#This Row],[%R]]&lt;-100,Table25[[#This Row],[%R]]&gt;0),"RANGE_ERR","")</f>
        <v>RANGE_ERR</v>
      </c>
    </row>
    <row r="242" spans="1:18" x14ac:dyDescent="0.35">
      <c r="A242" s="6">
        <v>240</v>
      </c>
      <c r="B242" s="3">
        <v>45257</v>
      </c>
      <c r="C242" s="2">
        <v>125.98</v>
      </c>
      <c r="D242" s="2">
        <v>126.68</v>
      </c>
      <c r="E242" s="2">
        <v>124.89</v>
      </c>
      <c r="F242" s="2">
        <v>125.01</v>
      </c>
      <c r="G242" s="1">
        <v>2255398</v>
      </c>
      <c r="H242" s="2">
        <f t="shared" si="8"/>
        <v>104.09</v>
      </c>
      <c r="I242" s="2">
        <f t="shared" si="9"/>
        <v>126.77</v>
      </c>
      <c r="J242" s="22">
        <f>100*(testdata4[[#This Row],[close]]-testdata4[[#This Row],[LL]])/(testdata4[[#This Row],[HH]]-testdata4[[#This Row],[LL]])</f>
        <v>92.239858906525598</v>
      </c>
      <c r="K242" s="22">
        <f>testdata4[[#This Row],[K(14)'']]</f>
        <v>92.239858906525598</v>
      </c>
      <c r="L242" s="22">
        <f>testdata4[[#This Row],[%K]]-100</f>
        <v>-7.7601410934744024</v>
      </c>
      <c r="N242" s="12">
        <v>240</v>
      </c>
      <c r="O242" s="3">
        <v>45257</v>
      </c>
      <c r="P242" s="23" t="s">
        <v>243</v>
      </c>
      <c r="Q242" s="22">
        <f>IF(testdata4[[#This Row],[%R]]&lt;&gt;Table25[[#This Row],[%R]],testdata4[[#This Row],[%R]]-Table25[[#This Row],[%R]],"")</f>
        <v>-2.6645352591003757E-15</v>
      </c>
      <c r="R242" s="11" t="str">
        <f>IF(OR(Table25[[#This Row],[%R]]&lt;-100,Table25[[#This Row],[%R]]&gt;0),"RANGE_ERR","")</f>
        <v>RANGE_ERR</v>
      </c>
    </row>
    <row r="243" spans="1:18" x14ac:dyDescent="0.35">
      <c r="A243" s="6">
        <v>241</v>
      </c>
      <c r="B243" s="3">
        <v>45258</v>
      </c>
      <c r="C243" s="2">
        <v>124.64</v>
      </c>
      <c r="D243" s="2">
        <v>126.27</v>
      </c>
      <c r="E243" s="2">
        <v>124.1</v>
      </c>
      <c r="F243" s="2">
        <v>124.71</v>
      </c>
      <c r="G243" s="1">
        <v>1949788</v>
      </c>
      <c r="H243" s="2">
        <f t="shared" si="8"/>
        <v>104.09</v>
      </c>
      <c r="I243" s="2">
        <f t="shared" si="9"/>
        <v>126.77</v>
      </c>
      <c r="J243" s="22">
        <f>100*(testdata4[[#This Row],[close]]-testdata4[[#This Row],[LL]])/(testdata4[[#This Row],[HH]]-testdata4[[#This Row],[LL]])</f>
        <v>90.917107583774239</v>
      </c>
      <c r="K243" s="22">
        <f>testdata4[[#This Row],[K(14)'']]</f>
        <v>90.917107583774239</v>
      </c>
      <c r="L243" s="22">
        <f>testdata4[[#This Row],[%K]]-100</f>
        <v>-9.0828924162257607</v>
      </c>
      <c r="N243" s="12">
        <v>241</v>
      </c>
      <c r="O243" s="3">
        <v>45258</v>
      </c>
      <c r="P243" s="23" t="s">
        <v>244</v>
      </c>
      <c r="Q243" s="22">
        <f>IF(testdata4[[#This Row],[%R]]&lt;&gt;Table25[[#This Row],[%R]],testdata4[[#This Row],[%R]]-Table25[[#This Row],[%R]],"")</f>
        <v>0</v>
      </c>
      <c r="R243" s="11" t="str">
        <f>IF(OR(Table25[[#This Row],[%R]]&lt;-100,Table25[[#This Row],[%R]]&gt;0),"RANGE_ERR","")</f>
        <v>RANGE_ERR</v>
      </c>
    </row>
    <row r="244" spans="1:18" x14ac:dyDescent="0.35">
      <c r="A244" s="6">
        <v>242</v>
      </c>
      <c r="B244" s="3">
        <v>45259</v>
      </c>
      <c r="C244" s="2">
        <v>125.59</v>
      </c>
      <c r="D244" s="2">
        <v>127.73</v>
      </c>
      <c r="E244" s="2">
        <v>125.59</v>
      </c>
      <c r="F244" s="2">
        <v>127.59</v>
      </c>
      <c r="G244" s="1">
        <v>2266253</v>
      </c>
      <c r="H244" s="2">
        <f t="shared" si="8"/>
        <v>104.09</v>
      </c>
      <c r="I244" s="2">
        <f t="shared" si="9"/>
        <v>127.73</v>
      </c>
      <c r="J244" s="22">
        <f>100*(testdata4[[#This Row],[close]]-testdata4[[#This Row],[LL]])/(testdata4[[#This Row],[HH]]-testdata4[[#This Row],[LL]])</f>
        <v>99.407783417935704</v>
      </c>
      <c r="K244" s="22">
        <f>testdata4[[#This Row],[K(14)'']]</f>
        <v>99.407783417935704</v>
      </c>
      <c r="L244" s="22">
        <f>testdata4[[#This Row],[%K]]-100</f>
        <v>-0.59221658206429595</v>
      </c>
      <c r="N244" s="12">
        <v>242</v>
      </c>
      <c r="O244" s="3">
        <v>45259</v>
      </c>
      <c r="P244" s="23" t="s">
        <v>245</v>
      </c>
      <c r="Q244" s="22">
        <f>IF(testdata4[[#This Row],[%R]]&lt;&gt;Table25[[#This Row],[%R]],testdata4[[#This Row],[%R]]-Table25[[#This Row],[%R]],"")</f>
        <v>-9.9920072216264089E-16</v>
      </c>
      <c r="R244" s="11" t="str">
        <f>IF(OR(Table25[[#This Row],[%R]]&lt;-100,Table25[[#This Row],[%R]]&gt;0),"RANGE_ERR","")</f>
        <v>RANGE_ERR</v>
      </c>
    </row>
    <row r="245" spans="1:18" x14ac:dyDescent="0.35">
      <c r="A245" s="6">
        <v>243</v>
      </c>
      <c r="B245" s="3">
        <v>45260</v>
      </c>
      <c r="C245" s="2">
        <v>128</v>
      </c>
      <c r="D245" s="2">
        <v>128.44999999999999</v>
      </c>
      <c r="E245" s="2">
        <v>126.965</v>
      </c>
      <c r="F245" s="2">
        <v>127.8</v>
      </c>
      <c r="G245" s="1">
        <v>2442906</v>
      </c>
      <c r="H245" s="2">
        <f t="shared" si="8"/>
        <v>104.09</v>
      </c>
      <c r="I245" s="2">
        <f t="shared" si="9"/>
        <v>128.44999999999999</v>
      </c>
      <c r="J245" s="22">
        <f>100*(testdata4[[#This Row],[close]]-testdata4[[#This Row],[LL]])/(testdata4[[#This Row],[HH]]-testdata4[[#This Row],[LL]])</f>
        <v>97.331691297208579</v>
      </c>
      <c r="K245" s="22">
        <f>testdata4[[#This Row],[K(14)'']]</f>
        <v>97.331691297208579</v>
      </c>
      <c r="L245" s="22">
        <f>testdata4[[#This Row],[%K]]-100</f>
        <v>-2.6683087027914212</v>
      </c>
      <c r="N245" s="12">
        <v>243</v>
      </c>
      <c r="O245" s="3">
        <v>45260</v>
      </c>
      <c r="P245" s="23" t="s">
        <v>246</v>
      </c>
      <c r="Q245" s="22">
        <f>IF(testdata4[[#This Row],[%R]]&lt;&gt;Table25[[#This Row],[%R]],testdata4[[#This Row],[%R]]-Table25[[#This Row],[%R]],"")</f>
        <v>-1.3322676295501878E-15</v>
      </c>
      <c r="R245" s="11" t="str">
        <f>IF(OR(Table25[[#This Row],[%R]]&lt;-100,Table25[[#This Row],[%R]]&gt;0),"RANGE_ERR","")</f>
        <v>RANGE_ERR</v>
      </c>
    </row>
    <row r="246" spans="1:18" x14ac:dyDescent="0.35">
      <c r="A246" s="6">
        <v>244</v>
      </c>
      <c r="B246" s="3">
        <v>45261</v>
      </c>
      <c r="C246" s="2">
        <v>127.34</v>
      </c>
      <c r="D246" s="2">
        <v>129.01</v>
      </c>
      <c r="E246" s="2">
        <v>126.51</v>
      </c>
      <c r="F246" s="2">
        <v>128.79</v>
      </c>
      <c r="G246" s="1">
        <v>1729631</v>
      </c>
      <c r="H246" s="2">
        <f t="shared" si="8"/>
        <v>106.96</v>
      </c>
      <c r="I246" s="2">
        <f t="shared" si="9"/>
        <v>129.01</v>
      </c>
      <c r="J246" s="22">
        <f>100*(testdata4[[#This Row],[close]]-testdata4[[#This Row],[LL]])/(testdata4[[#This Row],[HH]]-testdata4[[#This Row],[LL]])</f>
        <v>99.002267573696159</v>
      </c>
      <c r="K246" s="22">
        <f>testdata4[[#This Row],[K(14)'']]</f>
        <v>99.002267573696159</v>
      </c>
      <c r="L246" s="22">
        <f>testdata4[[#This Row],[%K]]-100</f>
        <v>-0.99773242630384118</v>
      </c>
      <c r="N246" s="12">
        <v>244</v>
      </c>
      <c r="O246" s="3">
        <v>45261</v>
      </c>
      <c r="P246" s="23" t="s">
        <v>247</v>
      </c>
      <c r="Q246" s="22">
        <f>IF(testdata4[[#This Row],[%R]]&lt;&gt;Table25[[#This Row],[%R]],testdata4[[#This Row],[%R]]-Table25[[#This Row],[%R]],"")</f>
        <v>-2.2204460492503131E-16</v>
      </c>
      <c r="R246" s="11" t="str">
        <f>IF(OR(Table25[[#This Row],[%R]]&lt;-100,Table25[[#This Row],[%R]]&gt;0),"RANGE_ERR","")</f>
        <v>RANGE_ERR</v>
      </c>
    </row>
    <row r="247" spans="1:18" x14ac:dyDescent="0.35">
      <c r="A247" s="6">
        <v>245</v>
      </c>
      <c r="B247" s="3">
        <v>45264</v>
      </c>
      <c r="C247" s="2">
        <v>128.405</v>
      </c>
      <c r="D247" s="2">
        <v>129.22</v>
      </c>
      <c r="E247" s="2">
        <v>127.87</v>
      </c>
      <c r="F247" s="2">
        <v>128.88</v>
      </c>
      <c r="G247" s="1">
        <v>1543257</v>
      </c>
      <c r="H247" s="2">
        <f t="shared" si="8"/>
        <v>109.46</v>
      </c>
      <c r="I247" s="2">
        <f t="shared" si="9"/>
        <v>129.22</v>
      </c>
      <c r="J247" s="22">
        <f>100*(testdata4[[#This Row],[close]]-testdata4[[#This Row],[LL]])/(testdata4[[#This Row],[HH]]-testdata4[[#This Row],[LL]])</f>
        <v>98.279352226720633</v>
      </c>
      <c r="K247" s="22">
        <f>testdata4[[#This Row],[K(14)'']]</f>
        <v>98.279352226720633</v>
      </c>
      <c r="L247" s="22">
        <f>testdata4[[#This Row],[%K]]-100</f>
        <v>-1.7206477732793672</v>
      </c>
      <c r="N247" s="12">
        <v>245</v>
      </c>
      <c r="O247" s="3">
        <v>45264</v>
      </c>
      <c r="P247" s="23" t="s">
        <v>248</v>
      </c>
      <c r="Q247" s="22">
        <f>IF(testdata4[[#This Row],[%R]]&lt;&gt;Table25[[#This Row],[%R]],testdata4[[#This Row],[%R]]-Table25[[#This Row],[%R]],"")</f>
        <v>-7.3274719625260332E-15</v>
      </c>
      <c r="R247" s="11" t="str">
        <f>IF(OR(Table25[[#This Row],[%R]]&lt;-100,Table25[[#This Row],[%R]]&gt;0),"RANGE_ERR","")</f>
        <v>RANGE_ERR</v>
      </c>
    </row>
    <row r="248" spans="1:18" x14ac:dyDescent="0.35">
      <c r="A248" s="6">
        <v>246</v>
      </c>
      <c r="B248" s="3">
        <v>45265</v>
      </c>
      <c r="C248" s="2">
        <v>127.81</v>
      </c>
      <c r="D248" s="2">
        <v>128.63</v>
      </c>
      <c r="E248" s="2">
        <v>125.7735</v>
      </c>
      <c r="F248" s="2">
        <v>127.88</v>
      </c>
      <c r="G248" s="1">
        <v>1933846</v>
      </c>
      <c r="H248" s="2">
        <f t="shared" si="8"/>
        <v>111.33</v>
      </c>
      <c r="I248" s="2">
        <f t="shared" si="9"/>
        <v>129.22</v>
      </c>
      <c r="J248" s="22">
        <f>100*(testdata4[[#This Row],[close]]-testdata4[[#This Row],[LL]])/(testdata4[[#This Row],[HH]]-testdata4[[#This Row],[LL]])</f>
        <v>92.509782001117927</v>
      </c>
      <c r="K248" s="22">
        <f>testdata4[[#This Row],[K(14)'']]</f>
        <v>92.509782001117927</v>
      </c>
      <c r="L248" s="22">
        <f>testdata4[[#This Row],[%K]]-100</f>
        <v>-7.4902179988820734</v>
      </c>
      <c r="N248" s="12">
        <v>246</v>
      </c>
      <c r="O248" s="3">
        <v>45265</v>
      </c>
      <c r="P248" s="23" t="s">
        <v>249</v>
      </c>
      <c r="Q248" s="22">
        <f>IF(testdata4[[#This Row],[%R]]&lt;&gt;Table25[[#This Row],[%R]],testdata4[[#This Row],[%R]]-Table25[[#This Row],[%R]],"")</f>
        <v>-3.5527136788005009E-15</v>
      </c>
      <c r="R248" s="11" t="str">
        <f>IF(OR(Table25[[#This Row],[%R]]&lt;-100,Table25[[#This Row],[%R]]&gt;0),"RANGE_ERR","")</f>
        <v>RANGE_ERR</v>
      </c>
    </row>
    <row r="249" spans="1:18" x14ac:dyDescent="0.35">
      <c r="A249" s="6">
        <v>247</v>
      </c>
      <c r="B249" s="3">
        <v>45266</v>
      </c>
      <c r="C249" s="2">
        <v>128.5</v>
      </c>
      <c r="D249" s="2">
        <v>129.76</v>
      </c>
      <c r="E249" s="2">
        <v>127.92</v>
      </c>
      <c r="F249" s="2">
        <v>128.91</v>
      </c>
      <c r="G249" s="1">
        <v>1816829</v>
      </c>
      <c r="H249" s="2">
        <f t="shared" si="8"/>
        <v>112.06</v>
      </c>
      <c r="I249" s="2">
        <f t="shared" si="9"/>
        <v>129.76</v>
      </c>
      <c r="J249" s="22">
        <f>100*(testdata4[[#This Row],[close]]-testdata4[[#This Row],[LL]])/(testdata4[[#This Row],[HH]]-testdata4[[#This Row],[LL]])</f>
        <v>95.197740112994381</v>
      </c>
      <c r="K249" s="22">
        <f>testdata4[[#This Row],[K(14)'']]</f>
        <v>95.197740112994381</v>
      </c>
      <c r="L249" s="22">
        <f>testdata4[[#This Row],[%K]]-100</f>
        <v>-4.8022598870056186</v>
      </c>
      <c r="N249" s="12">
        <v>247</v>
      </c>
      <c r="O249" s="3">
        <v>45266</v>
      </c>
      <c r="P249" s="23" t="s">
        <v>250</v>
      </c>
      <c r="Q249" s="22">
        <f>IF(testdata4[[#This Row],[%R]]&lt;&gt;Table25[[#This Row],[%R]],testdata4[[#This Row],[%R]]-Table25[[#This Row],[%R]],"")</f>
        <v>-8.8817841970012523E-15</v>
      </c>
      <c r="R249" s="11" t="str">
        <f>IF(OR(Table25[[#This Row],[%R]]&lt;-100,Table25[[#This Row],[%R]]&gt;0),"RANGE_ERR","")</f>
        <v>RANGE_ERR</v>
      </c>
    </row>
    <row r="250" spans="1:18" x14ac:dyDescent="0.35">
      <c r="A250" s="6">
        <v>248</v>
      </c>
      <c r="B250" s="3">
        <v>45267</v>
      </c>
      <c r="C250" s="2">
        <v>129.19999999999999</v>
      </c>
      <c r="D250" s="2">
        <v>130.48070000000001</v>
      </c>
      <c r="E250" s="2">
        <v>127.81</v>
      </c>
      <c r="F250" s="2">
        <v>128.68</v>
      </c>
      <c r="G250" s="1">
        <v>1696641</v>
      </c>
      <c r="H250" s="2">
        <f t="shared" si="8"/>
        <v>112.06</v>
      </c>
      <c r="I250" s="2">
        <f t="shared" si="9"/>
        <v>130.48070000000001</v>
      </c>
      <c r="J250" s="22">
        <f>100*(testdata4[[#This Row],[close]]-testdata4[[#This Row],[LL]])/(testdata4[[#This Row],[HH]]-testdata4[[#This Row],[LL]])</f>
        <v>90.224584299185125</v>
      </c>
      <c r="K250" s="22">
        <f>testdata4[[#This Row],[K(14)'']]</f>
        <v>90.224584299185125</v>
      </c>
      <c r="L250" s="22">
        <f>testdata4[[#This Row],[%K]]-100</f>
        <v>-9.7754157008148752</v>
      </c>
      <c r="N250" s="12">
        <v>248</v>
      </c>
      <c r="O250" s="3">
        <v>45267</v>
      </c>
      <c r="P250" s="23" t="s">
        <v>251</v>
      </c>
      <c r="Q250" s="22">
        <f>IF(testdata4[[#This Row],[%R]]&lt;&gt;Table25[[#This Row],[%R]],testdata4[[#This Row],[%R]]-Table25[[#This Row],[%R]],"")</f>
        <v>-5.3290705182007514E-15</v>
      </c>
      <c r="R250" s="11" t="str">
        <f>IF(OR(Table25[[#This Row],[%R]]&lt;-100,Table25[[#This Row],[%R]]&gt;0),"RANGE_ERR","")</f>
        <v>RANGE_ERR</v>
      </c>
    </row>
    <row r="251" spans="1:18" x14ac:dyDescent="0.35">
      <c r="A251" s="6">
        <v>249</v>
      </c>
      <c r="B251" s="3">
        <v>45268</v>
      </c>
      <c r="C251" s="2">
        <v>128.09</v>
      </c>
      <c r="D251" s="2">
        <v>129</v>
      </c>
      <c r="E251" s="2">
        <v>126.97</v>
      </c>
      <c r="F251" s="2">
        <v>127.2</v>
      </c>
      <c r="G251" s="1">
        <v>1438074</v>
      </c>
      <c r="H251" s="2">
        <f t="shared" si="8"/>
        <v>112.39</v>
      </c>
      <c r="I251" s="2">
        <f t="shared" si="9"/>
        <v>130.48070000000001</v>
      </c>
      <c r="J251" s="22">
        <f>100*(testdata4[[#This Row],[close]]-testdata4[[#This Row],[LL]])/(testdata4[[#This Row],[HH]]-testdata4[[#This Row],[LL]])</f>
        <v>81.865267789527167</v>
      </c>
      <c r="K251" s="22">
        <f>testdata4[[#This Row],[K(14)'']]</f>
        <v>81.865267789527167</v>
      </c>
      <c r="L251" s="22">
        <f>testdata4[[#This Row],[%K]]-100</f>
        <v>-18.134732210472833</v>
      </c>
      <c r="N251" s="12">
        <v>249</v>
      </c>
      <c r="O251" s="3">
        <v>45268</v>
      </c>
      <c r="P251" s="23" t="s">
        <v>252</v>
      </c>
      <c r="Q251" s="22">
        <f>IF(testdata4[[#This Row],[%R]]&lt;&gt;Table25[[#This Row],[%R]],testdata4[[#This Row],[%R]]-Table25[[#This Row],[%R]],"")</f>
        <v>-3.1974423109204508E-14</v>
      </c>
      <c r="R251" s="11" t="str">
        <f>IF(OR(Table25[[#This Row],[%R]]&lt;-100,Table25[[#This Row],[%R]]&gt;0),"RANGE_ERR","")</f>
        <v>RANGE_ERR</v>
      </c>
    </row>
    <row r="252" spans="1:18" x14ac:dyDescent="0.35">
      <c r="A252" s="6">
        <v>250</v>
      </c>
      <c r="B252" s="3">
        <v>45271</v>
      </c>
      <c r="C252" s="2">
        <v>127.62</v>
      </c>
      <c r="D252" s="2">
        <v>129.63</v>
      </c>
      <c r="E252" s="2">
        <v>127.22</v>
      </c>
      <c r="F252" s="2">
        <v>128.97</v>
      </c>
      <c r="G252" s="1">
        <v>1897134</v>
      </c>
      <c r="H252" s="2">
        <f t="shared" si="8"/>
        <v>121.23</v>
      </c>
      <c r="I252" s="2">
        <f t="shared" si="9"/>
        <v>130.48070000000001</v>
      </c>
      <c r="J252" s="22">
        <f>100*(testdata4[[#This Row],[close]]-testdata4[[#This Row],[LL]])/(testdata4[[#This Row],[HH]]-testdata4[[#This Row],[LL]])</f>
        <v>83.669343941539424</v>
      </c>
      <c r="K252" s="22">
        <f>testdata4[[#This Row],[K(14)'']]</f>
        <v>83.669343941539424</v>
      </c>
      <c r="L252" s="22">
        <f>testdata4[[#This Row],[%K]]-100</f>
        <v>-16.330656058460576</v>
      </c>
      <c r="N252" s="12">
        <v>250</v>
      </c>
      <c r="O252" s="3">
        <v>45271</v>
      </c>
      <c r="P252" s="23" t="s">
        <v>253</v>
      </c>
      <c r="Q252" s="22">
        <f>IF(testdata4[[#This Row],[%R]]&lt;&gt;Table25[[#This Row],[%R]],testdata4[[#This Row],[%R]]-Table25[[#This Row],[%R]],"")</f>
        <v>-7.460698725481052E-14</v>
      </c>
      <c r="R252" s="11" t="str">
        <f>IF(OR(Table25[[#This Row],[%R]]&lt;-100,Table25[[#This Row],[%R]]&gt;0),"RANGE_ERR","")</f>
        <v>RANGE_ERR</v>
      </c>
    </row>
    <row r="253" spans="1:18" x14ac:dyDescent="0.35">
      <c r="A253" s="6">
        <v>251</v>
      </c>
      <c r="B253" s="3">
        <v>45272</v>
      </c>
      <c r="C253" s="2">
        <v>128.05000000000001</v>
      </c>
      <c r="D253" s="2">
        <v>129.19499999999999</v>
      </c>
      <c r="E253" s="2">
        <v>127</v>
      </c>
      <c r="F253" s="2">
        <v>128.79</v>
      </c>
      <c r="G253" s="1">
        <v>1453450</v>
      </c>
      <c r="H253" s="2">
        <f t="shared" si="8"/>
        <v>123.48</v>
      </c>
      <c r="I253" s="2">
        <f t="shared" si="9"/>
        <v>130.48070000000001</v>
      </c>
      <c r="J253" s="22">
        <f>100*(testdata4[[#This Row],[close]]-testdata4[[#This Row],[LL]])/(testdata4[[#This Row],[HH]]-testdata4[[#This Row],[LL]])</f>
        <v>75.849557901352455</v>
      </c>
      <c r="K253" s="22">
        <f>testdata4[[#This Row],[K(14)'']]</f>
        <v>75.849557901352455</v>
      </c>
      <c r="L253" s="22">
        <f>testdata4[[#This Row],[%K]]-100</f>
        <v>-24.150442098647545</v>
      </c>
      <c r="N253" s="12">
        <v>251</v>
      </c>
      <c r="O253" s="3">
        <v>45272</v>
      </c>
      <c r="P253" s="23" t="s">
        <v>254</v>
      </c>
      <c r="Q253" s="22">
        <f>IF(testdata4[[#This Row],[%R]]&lt;&gt;Table25[[#This Row],[%R]],testdata4[[#This Row],[%R]]-Table25[[#This Row],[%R]],"")</f>
        <v>-4.6185277824406512E-14</v>
      </c>
      <c r="R253" s="11" t="str">
        <f>IF(OR(Table25[[#This Row],[%R]]&lt;-100,Table25[[#This Row],[%R]]&gt;0),"RANGE_ERR","")</f>
        <v>RANGE_ERR</v>
      </c>
    </row>
    <row r="254" spans="1:18" x14ac:dyDescent="0.35">
      <c r="A254" s="6">
        <v>252</v>
      </c>
      <c r="B254" s="3">
        <v>45273</v>
      </c>
      <c r="C254" s="2">
        <v>129.09</v>
      </c>
      <c r="D254" s="2">
        <v>134.04</v>
      </c>
      <c r="E254" s="2">
        <v>128.77000000000001</v>
      </c>
      <c r="F254" s="2">
        <v>133.74</v>
      </c>
      <c r="G254" s="1">
        <v>1731449</v>
      </c>
      <c r="H254" s="2">
        <f t="shared" si="8"/>
        <v>123.48</v>
      </c>
      <c r="I254" s="2">
        <f t="shared" si="9"/>
        <v>134.04</v>
      </c>
      <c r="J254" s="22">
        <f>100*(testdata4[[#This Row],[close]]-testdata4[[#This Row],[LL]])/(testdata4[[#This Row],[HH]]-testdata4[[#This Row],[LL]])</f>
        <v>97.159090909091063</v>
      </c>
      <c r="K254" s="22">
        <f>testdata4[[#This Row],[K(14)'']]</f>
        <v>97.159090909091063</v>
      </c>
      <c r="L254" s="22">
        <f>testdata4[[#This Row],[%K]]-100</f>
        <v>-2.8409090909089372</v>
      </c>
      <c r="N254" s="12">
        <v>252</v>
      </c>
      <c r="O254" s="3">
        <v>45273</v>
      </c>
      <c r="P254" s="23" t="s">
        <v>255</v>
      </c>
      <c r="Q254" s="22">
        <f>IF(testdata4[[#This Row],[%R]]&lt;&gt;Table25[[#This Row],[%R]],testdata4[[#This Row],[%R]]-Table25[[#This Row],[%R]],"")</f>
        <v>-7.1054273576010019E-15</v>
      </c>
      <c r="R254" s="11" t="str">
        <f>IF(OR(Table25[[#This Row],[%R]]&lt;-100,Table25[[#This Row],[%R]]&gt;0),"RANGE_ERR","")</f>
        <v>RANGE_ERR</v>
      </c>
    </row>
    <row r="255" spans="1:18" x14ac:dyDescent="0.35">
      <c r="A255" s="6">
        <v>253</v>
      </c>
      <c r="B255" s="3">
        <v>45274</v>
      </c>
      <c r="C255" s="2">
        <v>135</v>
      </c>
      <c r="D255" s="2">
        <v>138.16999999999999</v>
      </c>
      <c r="E255" s="2">
        <v>135</v>
      </c>
      <c r="F255" s="2">
        <v>137.96</v>
      </c>
      <c r="G255" s="1">
        <v>2950536</v>
      </c>
      <c r="H255" s="2">
        <f t="shared" si="8"/>
        <v>124.1</v>
      </c>
      <c r="I255" s="2">
        <f t="shared" si="9"/>
        <v>138.16999999999999</v>
      </c>
      <c r="J255" s="22">
        <f>100*(testdata4[[#This Row],[close]]-testdata4[[#This Row],[LL]])/(testdata4[[#This Row],[HH]]-testdata4[[#This Row],[LL]])</f>
        <v>98.507462686567308</v>
      </c>
      <c r="K255" s="22">
        <f>testdata4[[#This Row],[K(14)'']]</f>
        <v>98.507462686567308</v>
      </c>
      <c r="L255" s="22">
        <f>testdata4[[#This Row],[%K]]-100</f>
        <v>-1.4925373134326918</v>
      </c>
      <c r="N255" s="12">
        <v>253</v>
      </c>
      <c r="O255" s="3">
        <v>45274</v>
      </c>
      <c r="P255" s="23" t="s">
        <v>256</v>
      </c>
      <c r="Q255" s="22">
        <f>IF(testdata4[[#This Row],[%R]]&lt;&gt;Table25[[#This Row],[%R]],testdata4[[#This Row],[%R]]-Table25[[#This Row],[%R]],"")</f>
        <v>-1.7763568394002505E-15</v>
      </c>
      <c r="R255" s="11" t="str">
        <f>IF(OR(Table25[[#This Row],[%R]]&lt;-100,Table25[[#This Row],[%R]]&gt;0),"RANGE_ERR","")</f>
        <v>RANGE_ERR</v>
      </c>
    </row>
    <row r="256" spans="1:18" x14ac:dyDescent="0.35">
      <c r="A256" s="6">
        <v>254</v>
      </c>
      <c r="B256" s="3">
        <v>45275</v>
      </c>
      <c r="C256" s="2">
        <v>137.24</v>
      </c>
      <c r="D256" s="2">
        <v>138.9</v>
      </c>
      <c r="E256" s="2">
        <v>136.28</v>
      </c>
      <c r="F256" s="2">
        <v>136.78</v>
      </c>
      <c r="G256" s="1">
        <v>4875971</v>
      </c>
      <c r="H256" s="2">
        <f t="shared" si="8"/>
        <v>124.1</v>
      </c>
      <c r="I256" s="2">
        <f t="shared" si="9"/>
        <v>138.9</v>
      </c>
      <c r="J256" s="22">
        <f>100*(testdata4[[#This Row],[close]]-testdata4[[#This Row],[LL]])/(testdata4[[#This Row],[HH]]-testdata4[[#This Row],[LL]])</f>
        <v>85.675675675675663</v>
      </c>
      <c r="K256" s="22">
        <f>testdata4[[#This Row],[K(14)'']]</f>
        <v>85.675675675675663</v>
      </c>
      <c r="L256" s="22">
        <f>testdata4[[#This Row],[%K]]-100</f>
        <v>-14.324324324324337</v>
      </c>
      <c r="N256" s="12">
        <v>254</v>
      </c>
      <c r="O256" s="3">
        <v>45275</v>
      </c>
      <c r="P256" s="23" t="s">
        <v>257</v>
      </c>
      <c r="Q256" s="22">
        <f>IF(testdata4[[#This Row],[%R]]&lt;&gt;Table25[[#This Row],[%R]],testdata4[[#This Row],[%R]]-Table25[[#This Row],[%R]],"")</f>
        <v>-3.730349362740526E-14</v>
      </c>
      <c r="R256" s="11" t="str">
        <f>IF(OR(Table25[[#This Row],[%R]]&lt;-100,Table25[[#This Row],[%R]]&gt;0),"RANGE_ERR","")</f>
        <v>RANGE_ERR</v>
      </c>
    </row>
    <row r="257" spans="1:18" x14ac:dyDescent="0.35">
      <c r="A257" s="6">
        <v>255</v>
      </c>
      <c r="B257" s="3">
        <v>45278</v>
      </c>
      <c r="C257" s="2">
        <v>137.59</v>
      </c>
      <c r="D257" s="2">
        <v>138.19</v>
      </c>
      <c r="E257" s="2">
        <v>136.86000000000001</v>
      </c>
      <c r="F257" s="2">
        <v>137.53</v>
      </c>
      <c r="G257" s="1">
        <v>1634687</v>
      </c>
      <c r="H257" s="2">
        <f t="shared" si="8"/>
        <v>125.59</v>
      </c>
      <c r="I257" s="2">
        <f t="shared" si="9"/>
        <v>138.9</v>
      </c>
      <c r="J257" s="22">
        <f>100*(testdata4[[#This Row],[close]]-testdata4[[#This Row],[LL]])/(testdata4[[#This Row],[HH]]-testdata4[[#This Row],[LL]])</f>
        <v>89.706987227648355</v>
      </c>
      <c r="K257" s="22">
        <f>testdata4[[#This Row],[K(14)'']]</f>
        <v>89.706987227648355</v>
      </c>
      <c r="L257" s="22">
        <f>testdata4[[#This Row],[%K]]-100</f>
        <v>-10.293012772351645</v>
      </c>
      <c r="N257" s="12">
        <v>255</v>
      </c>
      <c r="O257" s="3">
        <v>45278</v>
      </c>
      <c r="P257" s="23" t="s">
        <v>258</v>
      </c>
      <c r="Q257" s="22">
        <f>IF(testdata4[[#This Row],[%R]]&lt;&gt;Table25[[#This Row],[%R]],testdata4[[#This Row],[%R]]-Table25[[#This Row],[%R]],"")</f>
        <v>-4.4408920985006262E-14</v>
      </c>
      <c r="R257" s="11" t="str">
        <f>IF(OR(Table25[[#This Row],[%R]]&lt;-100,Table25[[#This Row],[%R]]&gt;0),"RANGE_ERR","")</f>
        <v>RANGE_ERR</v>
      </c>
    </row>
    <row r="258" spans="1:18" x14ac:dyDescent="0.35">
      <c r="A258" s="6">
        <v>256</v>
      </c>
      <c r="B258" s="3">
        <v>45279</v>
      </c>
      <c r="C258" s="2">
        <v>138.51</v>
      </c>
      <c r="D258" s="2">
        <v>139.88999999999999</v>
      </c>
      <c r="E258" s="2">
        <v>137.32</v>
      </c>
      <c r="F258" s="2">
        <v>139.79</v>
      </c>
      <c r="G258" s="1">
        <v>1523339</v>
      </c>
      <c r="H258" s="2">
        <f t="shared" si="8"/>
        <v>125.7735</v>
      </c>
      <c r="I258" s="2">
        <f t="shared" si="9"/>
        <v>139.88999999999999</v>
      </c>
      <c r="J258" s="22">
        <f>100*(testdata4[[#This Row],[close]]-testdata4[[#This Row],[LL]])/(testdata4[[#This Row],[HH]]-testdata4[[#This Row],[LL]])</f>
        <v>99.291609109906886</v>
      </c>
      <c r="K258" s="22">
        <f>testdata4[[#This Row],[K(14)'']]</f>
        <v>99.291609109906886</v>
      </c>
      <c r="L258" s="22">
        <f>testdata4[[#This Row],[%K]]-100</f>
        <v>-0.70839089009311351</v>
      </c>
      <c r="N258" s="12">
        <v>256</v>
      </c>
      <c r="O258" s="3">
        <v>45279</v>
      </c>
      <c r="P258" s="23" t="s">
        <v>259</v>
      </c>
      <c r="Q258" s="22">
        <f>IF(testdata4[[#This Row],[%R]]&lt;&gt;Table25[[#This Row],[%R]],testdata4[[#This Row],[%R]]-Table25[[#This Row],[%R]],"")</f>
        <v>-5.5511151231257827E-16</v>
      </c>
      <c r="R258" s="11" t="str">
        <f>IF(OR(Table25[[#This Row],[%R]]&lt;-100,Table25[[#This Row],[%R]]&gt;0),"RANGE_ERR","")</f>
        <v>RANGE_ERR</v>
      </c>
    </row>
    <row r="259" spans="1:18" x14ac:dyDescent="0.35">
      <c r="A259" s="6">
        <v>257</v>
      </c>
      <c r="B259" s="3">
        <v>45280</v>
      </c>
      <c r="C259" s="2">
        <v>139.79</v>
      </c>
      <c r="D259" s="2">
        <v>141.24</v>
      </c>
      <c r="E259" s="2">
        <v>138.13999999999999</v>
      </c>
      <c r="F259" s="2">
        <v>138.18</v>
      </c>
      <c r="G259" s="1">
        <v>2121066</v>
      </c>
      <c r="H259" s="2">
        <f t="shared" si="8"/>
        <v>125.7735</v>
      </c>
      <c r="I259" s="2">
        <f t="shared" si="9"/>
        <v>141.24</v>
      </c>
      <c r="J259" s="22">
        <f>100*(testdata4[[#This Row],[close]]-testdata4[[#This Row],[LL]])/(testdata4[[#This Row],[HH]]-testdata4[[#This Row],[LL]])</f>
        <v>80.215304044224609</v>
      </c>
      <c r="K259" s="22">
        <f>testdata4[[#This Row],[K(14)'']]</f>
        <v>80.215304044224609</v>
      </c>
      <c r="L259" s="22">
        <f>testdata4[[#This Row],[%K]]-100</f>
        <v>-19.784695955775391</v>
      </c>
      <c r="N259" s="12">
        <v>257</v>
      </c>
      <c r="O259" s="3">
        <v>45280</v>
      </c>
      <c r="P259" s="23" t="s">
        <v>260</v>
      </c>
      <c r="Q259" s="22">
        <f>IF(testdata4[[#This Row],[%R]]&lt;&gt;Table25[[#This Row],[%R]],testdata4[[#This Row],[%R]]-Table25[[#This Row],[%R]],"")</f>
        <v>-8.8817841970012523E-14</v>
      </c>
      <c r="R259" s="11" t="str">
        <f>IF(OR(Table25[[#This Row],[%R]]&lt;-100,Table25[[#This Row],[%R]]&gt;0),"RANGE_ERR","")</f>
        <v>RANGE_ERR</v>
      </c>
    </row>
    <row r="260" spans="1:18" x14ac:dyDescent="0.35">
      <c r="A260" s="6">
        <v>258</v>
      </c>
      <c r="B260" s="3">
        <v>45281</v>
      </c>
      <c r="C260" s="2">
        <v>139.38</v>
      </c>
      <c r="D260" s="2">
        <v>139.66999999999999</v>
      </c>
      <c r="E260" s="2">
        <v>138</v>
      </c>
      <c r="F260" s="2">
        <v>138.94</v>
      </c>
      <c r="G260" s="1">
        <v>1685889</v>
      </c>
      <c r="H260" s="2">
        <f t="shared" si="8"/>
        <v>125.7735</v>
      </c>
      <c r="I260" s="2">
        <f t="shared" si="9"/>
        <v>141.24</v>
      </c>
      <c r="J260" s="22">
        <f>100*(testdata4[[#This Row],[close]]-testdata4[[#This Row],[LL]])/(testdata4[[#This Row],[HH]]-testdata4[[#This Row],[LL]])</f>
        <v>85.129150098600135</v>
      </c>
      <c r="K260" s="22">
        <f>testdata4[[#This Row],[K(14)'']]</f>
        <v>85.129150098600135</v>
      </c>
      <c r="L260" s="22">
        <f>testdata4[[#This Row],[%K]]-100</f>
        <v>-14.870849901399865</v>
      </c>
      <c r="N260" s="12">
        <v>258</v>
      </c>
      <c r="O260" s="3">
        <v>45281</v>
      </c>
      <c r="P260" s="23" t="s">
        <v>261</v>
      </c>
      <c r="Q260" s="22">
        <f>IF(testdata4[[#This Row],[%R]]&lt;&gt;Table25[[#This Row],[%R]],testdata4[[#This Row],[%R]]-Table25[[#This Row],[%R]],"")</f>
        <v>-6.3948846218409017E-14</v>
      </c>
      <c r="R260" s="11" t="str">
        <f>IF(OR(Table25[[#This Row],[%R]]&lt;-100,Table25[[#This Row],[%R]]&gt;0),"RANGE_ERR","")</f>
        <v>RANGE_ERR</v>
      </c>
    </row>
    <row r="261" spans="1:18" x14ac:dyDescent="0.35">
      <c r="A261" s="6">
        <v>259</v>
      </c>
      <c r="B261" s="3">
        <v>45282</v>
      </c>
      <c r="C261" s="2">
        <v>139.61000000000001</v>
      </c>
      <c r="D261" s="2">
        <v>140.36000000000001</v>
      </c>
      <c r="E261" s="2">
        <v>138.79</v>
      </c>
      <c r="F261" s="2">
        <v>139.57</v>
      </c>
      <c r="G261" s="1">
        <v>1204144</v>
      </c>
      <c r="H261" s="2">
        <f t="shared" si="8"/>
        <v>125.7735</v>
      </c>
      <c r="I261" s="2">
        <f t="shared" si="9"/>
        <v>141.24</v>
      </c>
      <c r="J261" s="22">
        <f>100*(testdata4[[#This Row],[close]]-testdata4[[#This Row],[LL]])/(testdata4[[#This Row],[HH]]-testdata4[[#This Row],[LL]])</f>
        <v>89.202469854200913</v>
      </c>
      <c r="K261" s="22">
        <f>testdata4[[#This Row],[K(14)'']]</f>
        <v>89.202469854200913</v>
      </c>
      <c r="L261" s="22">
        <f>testdata4[[#This Row],[%K]]-100</f>
        <v>-10.797530145799087</v>
      </c>
      <c r="N261" s="12">
        <v>259</v>
      </c>
      <c r="O261" s="3">
        <v>45282</v>
      </c>
      <c r="P261" s="23" t="s">
        <v>262</v>
      </c>
      <c r="Q261" s="22">
        <f>IF(testdata4[[#This Row],[%R]]&lt;&gt;Table25[[#This Row],[%R]],testdata4[[#This Row],[%R]]-Table25[[#This Row],[%R]],"")</f>
        <v>-8.7041485130612273E-14</v>
      </c>
      <c r="R261" s="11" t="str">
        <f>IF(OR(Table25[[#This Row],[%R]]&lt;-100,Table25[[#This Row],[%R]]&gt;0),"RANGE_ERR","")</f>
        <v>RANGE_ERR</v>
      </c>
    </row>
    <row r="262" spans="1:18" x14ac:dyDescent="0.35">
      <c r="A262" s="6">
        <v>260</v>
      </c>
      <c r="B262" s="3">
        <v>45286</v>
      </c>
      <c r="C262" s="2">
        <v>139.31</v>
      </c>
      <c r="D262" s="2">
        <v>140.47</v>
      </c>
      <c r="E262" s="2">
        <v>139.0866</v>
      </c>
      <c r="F262" s="2">
        <v>139.81</v>
      </c>
      <c r="G262" s="1">
        <v>948390</v>
      </c>
      <c r="H262" s="2">
        <f t="shared" si="8"/>
        <v>126.97</v>
      </c>
      <c r="I262" s="2">
        <f t="shared" si="9"/>
        <v>141.24</v>
      </c>
      <c r="J262" s="22">
        <f>100*(testdata4[[#This Row],[close]]-testdata4[[#This Row],[LL]])/(testdata4[[#This Row],[HH]]-testdata4[[#This Row],[LL]])</f>
        <v>89.97897687456198</v>
      </c>
      <c r="K262" s="22">
        <f>testdata4[[#This Row],[K(14)'']]</f>
        <v>89.97897687456198</v>
      </c>
      <c r="L262" s="22">
        <f>testdata4[[#This Row],[%K]]-100</f>
        <v>-10.02102312543802</v>
      </c>
      <c r="N262" s="12">
        <v>260</v>
      </c>
      <c r="O262" s="3">
        <v>45286</v>
      </c>
      <c r="P262" s="23" t="s">
        <v>263</v>
      </c>
      <c r="Q262" s="22">
        <f>IF(testdata4[[#This Row],[%R]]&lt;&gt;Table25[[#This Row],[%R]],testdata4[[#This Row],[%R]]-Table25[[#This Row],[%R]],"")</f>
        <v>-2.1316282072803006E-14</v>
      </c>
      <c r="R262" s="11" t="str">
        <f>IF(OR(Table25[[#This Row],[%R]]&lt;-100,Table25[[#This Row],[%R]]&gt;0),"RANGE_ERR","")</f>
        <v>RANGE_ERR</v>
      </c>
    </row>
    <row r="263" spans="1:18" x14ac:dyDescent="0.35">
      <c r="A263" s="6">
        <v>261</v>
      </c>
      <c r="B263" s="3">
        <v>45287</v>
      </c>
      <c r="C263" s="2">
        <v>139.78</v>
      </c>
      <c r="D263" s="2">
        <v>140.155</v>
      </c>
      <c r="E263" s="2">
        <v>139.08000000000001</v>
      </c>
      <c r="F263" s="2">
        <v>139.82</v>
      </c>
      <c r="G263" s="1">
        <v>1182351</v>
      </c>
      <c r="H263" s="2">
        <f t="shared" si="8"/>
        <v>126.97</v>
      </c>
      <c r="I263" s="2">
        <f t="shared" si="9"/>
        <v>141.24</v>
      </c>
      <c r="J263" s="22">
        <f>100*(testdata4[[#This Row],[close]]-testdata4[[#This Row],[LL]])/(testdata4[[#This Row],[HH]]-testdata4[[#This Row],[LL]])</f>
        <v>90.049053959355192</v>
      </c>
      <c r="K263" s="22">
        <f>testdata4[[#This Row],[K(14)'']]</f>
        <v>90.049053959355192</v>
      </c>
      <c r="L263" s="22">
        <f>testdata4[[#This Row],[%K]]-100</f>
        <v>-9.9509460406448085</v>
      </c>
      <c r="N263" s="12">
        <v>261</v>
      </c>
      <c r="O263" s="3">
        <v>45287</v>
      </c>
      <c r="P263" s="23" t="s">
        <v>264</v>
      </c>
      <c r="Q263" s="22">
        <f>IF(testdata4[[#This Row],[%R]]&lt;&gt;Table25[[#This Row],[%R]],testdata4[[#This Row],[%R]]-Table25[[#This Row],[%R]],"")</f>
        <v>-8.8817841970012523E-15</v>
      </c>
      <c r="R263" s="11" t="str">
        <f>IF(OR(Table25[[#This Row],[%R]]&lt;-100,Table25[[#This Row],[%R]]&gt;0),"RANGE_ERR","")</f>
        <v>RANGE_ERR</v>
      </c>
    </row>
    <row r="264" spans="1:18" x14ac:dyDescent="0.35">
      <c r="A264" s="6">
        <v>262</v>
      </c>
      <c r="B264" s="3">
        <v>45288</v>
      </c>
      <c r="C264" s="2">
        <v>140.54</v>
      </c>
      <c r="D264" s="2">
        <v>140.81139999999999</v>
      </c>
      <c r="E264" s="2">
        <v>139.65</v>
      </c>
      <c r="F264" s="2">
        <v>139.77000000000001</v>
      </c>
      <c r="G264" s="1">
        <v>892560</v>
      </c>
      <c r="H264" s="2">
        <f t="shared" si="8"/>
        <v>126.97</v>
      </c>
      <c r="I264" s="2">
        <f t="shared" si="9"/>
        <v>141.24</v>
      </c>
      <c r="J264" s="22">
        <f>100*(testdata4[[#This Row],[close]]-testdata4[[#This Row],[LL]])/(testdata4[[#This Row],[HH]]-testdata4[[#This Row],[LL]])</f>
        <v>89.698668535388947</v>
      </c>
      <c r="K264" s="22">
        <f>testdata4[[#This Row],[K(14)'']]</f>
        <v>89.698668535388947</v>
      </c>
      <c r="L264" s="22">
        <f>testdata4[[#This Row],[%K]]-100</f>
        <v>-10.301331464611053</v>
      </c>
      <c r="N264" s="12">
        <v>262</v>
      </c>
      <c r="O264" s="3">
        <v>45288</v>
      </c>
      <c r="P264" s="23" t="s">
        <v>265</v>
      </c>
      <c r="Q264" s="22">
        <f>IF(testdata4[[#This Row],[%R]]&lt;&gt;Table25[[#This Row],[%R]],testdata4[[#This Row],[%R]]-Table25[[#This Row],[%R]],"")</f>
        <v>-5.3290705182007514E-14</v>
      </c>
      <c r="R264" s="11" t="str">
        <f>IF(OR(Table25[[#This Row],[%R]]&lt;-100,Table25[[#This Row],[%R]]&gt;0),"RANGE_ERR","")</f>
        <v>RANGE_ERR</v>
      </c>
    </row>
    <row r="265" spans="1:18" x14ac:dyDescent="0.35">
      <c r="A265" s="6">
        <v>263</v>
      </c>
      <c r="B265" s="3">
        <v>45289</v>
      </c>
      <c r="C265" s="2">
        <v>139.07</v>
      </c>
      <c r="D265" s="2">
        <v>139.69999999999999</v>
      </c>
      <c r="E265" s="2">
        <v>138.36000000000001</v>
      </c>
      <c r="F265" s="2">
        <v>139.03</v>
      </c>
      <c r="G265" s="1">
        <v>1014431</v>
      </c>
      <c r="H265" s="2">
        <f t="shared" si="8"/>
        <v>127</v>
      </c>
      <c r="I265" s="2">
        <f t="shared" si="9"/>
        <v>141.24</v>
      </c>
      <c r="J265" s="22">
        <f>100*(testdata4[[#This Row],[close]]-testdata4[[#This Row],[LL]])/(testdata4[[#This Row],[HH]]-testdata4[[#This Row],[LL]])</f>
        <v>84.48033707865163</v>
      </c>
      <c r="K265" s="22">
        <f>testdata4[[#This Row],[K(14)'']]</f>
        <v>84.48033707865163</v>
      </c>
      <c r="L265" s="22">
        <f>testdata4[[#This Row],[%K]]-100</f>
        <v>-15.51966292134837</v>
      </c>
      <c r="N265" s="12">
        <v>263</v>
      </c>
      <c r="O265" s="3">
        <v>45289</v>
      </c>
      <c r="P265" s="23" t="s">
        <v>266</v>
      </c>
      <c r="Q265" s="22">
        <f>IF(testdata4[[#This Row],[%R]]&lt;&gt;Table25[[#This Row],[%R]],testdata4[[#This Row],[%R]]-Table25[[#This Row],[%R]],"")</f>
        <v>-7.1054273576010019E-14</v>
      </c>
      <c r="R265" s="11" t="str">
        <f>IF(OR(Table25[[#This Row],[%R]]&lt;-100,Table25[[#This Row],[%R]]&gt;0),"RANGE_ERR","")</f>
        <v>RANGE_ERR</v>
      </c>
    </row>
    <row r="266" spans="1:18" x14ac:dyDescent="0.35">
      <c r="A266" s="6">
        <v>264</v>
      </c>
      <c r="B266" s="3">
        <v>45293</v>
      </c>
      <c r="C266" s="2">
        <v>138.19</v>
      </c>
      <c r="D266" s="2">
        <v>140.59</v>
      </c>
      <c r="E266" s="2">
        <v>137.91</v>
      </c>
      <c r="F266" s="2">
        <v>138.75</v>
      </c>
      <c r="G266" s="1">
        <v>1441581</v>
      </c>
      <c r="H266" s="2">
        <f t="shared" si="8"/>
        <v>127</v>
      </c>
      <c r="I266" s="2">
        <f t="shared" si="9"/>
        <v>141.24</v>
      </c>
      <c r="J266" s="22">
        <f>100*(testdata4[[#This Row],[close]]-testdata4[[#This Row],[LL]])/(testdata4[[#This Row],[HH]]-testdata4[[#This Row],[LL]])</f>
        <v>82.514044943820167</v>
      </c>
      <c r="K266" s="22">
        <f>testdata4[[#This Row],[K(14)'']]</f>
        <v>82.514044943820167</v>
      </c>
      <c r="L266" s="22">
        <f>testdata4[[#This Row],[%K]]-100</f>
        <v>-17.485955056179833</v>
      </c>
      <c r="N266" s="12">
        <v>264</v>
      </c>
      <c r="O266" s="3">
        <v>45293</v>
      </c>
      <c r="P266" s="23" t="s">
        <v>267</v>
      </c>
      <c r="Q266" s="22">
        <f>IF(testdata4[[#This Row],[%R]]&lt;&gt;Table25[[#This Row],[%R]],testdata4[[#This Row],[%R]]-Table25[[#This Row],[%R]],"")</f>
        <v>-3.1974423109204508E-14</v>
      </c>
      <c r="R266" s="11" t="str">
        <f>IF(OR(Table25[[#This Row],[%R]]&lt;-100,Table25[[#This Row],[%R]]&gt;0),"RANGE_ERR","")</f>
        <v>RANGE_ERR</v>
      </c>
    </row>
    <row r="267" spans="1:18" x14ac:dyDescent="0.35">
      <c r="A267" s="6">
        <v>265</v>
      </c>
      <c r="B267" s="3">
        <v>45294</v>
      </c>
      <c r="C267" s="2">
        <v>138</v>
      </c>
      <c r="D267" s="2">
        <v>138</v>
      </c>
      <c r="E267" s="2">
        <v>131.065</v>
      </c>
      <c r="F267" s="2">
        <v>131.16</v>
      </c>
      <c r="G267" s="1">
        <v>2074480</v>
      </c>
      <c r="H267" s="2">
        <f t="shared" si="8"/>
        <v>128.77000000000001</v>
      </c>
      <c r="I267" s="2">
        <f t="shared" si="9"/>
        <v>141.24</v>
      </c>
      <c r="J267" s="22">
        <f>100*(testdata4[[#This Row],[close]]-testdata4[[#This Row],[LL]])/(testdata4[[#This Row],[HH]]-testdata4[[#This Row],[LL]])</f>
        <v>19.165998396150655</v>
      </c>
      <c r="K267" s="22">
        <f>testdata4[[#This Row],[K(14)'']]</f>
        <v>19.165998396150655</v>
      </c>
      <c r="L267" s="22">
        <f>testdata4[[#This Row],[%K]]-100</f>
        <v>-80.834001603849345</v>
      </c>
      <c r="N267" s="12">
        <v>265</v>
      </c>
      <c r="O267" s="3">
        <v>45294</v>
      </c>
      <c r="P267" s="23" t="s">
        <v>268</v>
      </c>
      <c r="Q267" s="22">
        <f>IF(testdata4[[#This Row],[%R]]&lt;&gt;Table25[[#This Row],[%R]],testdata4[[#This Row],[%R]]-Table25[[#This Row],[%R]],"")</f>
        <v>-4.2632564145606011E-14</v>
      </c>
      <c r="R267" s="11" t="str">
        <f>IF(OR(Table25[[#This Row],[%R]]&lt;-100,Table25[[#This Row],[%R]]&gt;0),"RANGE_ERR","")</f>
        <v>RANGE_ERR</v>
      </c>
    </row>
    <row r="268" spans="1:18" x14ac:dyDescent="0.35">
      <c r="A268" s="6">
        <v>266</v>
      </c>
      <c r="B268" s="3">
        <v>45295</v>
      </c>
      <c r="C268" s="2">
        <v>130.55000000000001</v>
      </c>
      <c r="D268" s="2">
        <v>131.495</v>
      </c>
      <c r="E268" s="2">
        <v>130.19</v>
      </c>
      <c r="F268" s="2">
        <v>131</v>
      </c>
      <c r="G268" s="1">
        <v>2446587</v>
      </c>
      <c r="H268" s="2">
        <f t="shared" si="8"/>
        <v>130.19</v>
      </c>
      <c r="I268" s="2">
        <f t="shared" si="9"/>
        <v>141.24</v>
      </c>
      <c r="J268" s="22">
        <f>100*(testdata4[[#This Row],[close]]-testdata4[[#This Row],[LL]])/(testdata4[[#This Row],[HH]]-testdata4[[#This Row],[LL]])</f>
        <v>7.330316742081461</v>
      </c>
      <c r="K268" s="22">
        <f>testdata4[[#This Row],[K(14)'']]</f>
        <v>7.330316742081461</v>
      </c>
      <c r="L268" s="22">
        <f>testdata4[[#This Row],[%K]]-100</f>
        <v>-92.669683257918535</v>
      </c>
      <c r="N268" s="12">
        <v>266</v>
      </c>
      <c r="O268" s="3">
        <v>45295</v>
      </c>
      <c r="P268" s="23" t="s">
        <v>269</v>
      </c>
      <c r="Q268" s="22">
        <f>IF(testdata4[[#This Row],[%R]]&lt;&gt;Table25[[#This Row],[%R]],testdata4[[#This Row],[%R]]-Table25[[#This Row],[%R]],"")</f>
        <v>-2.8421709430404007E-14</v>
      </c>
      <c r="R268" s="11" t="str">
        <f>IF(OR(Table25[[#This Row],[%R]]&lt;-100,Table25[[#This Row],[%R]]&gt;0),"RANGE_ERR","")</f>
        <v>RANGE_ERR</v>
      </c>
    </row>
    <row r="269" spans="1:18" x14ac:dyDescent="0.35">
      <c r="A269" s="6">
        <v>267</v>
      </c>
      <c r="B269" s="3">
        <v>45296</v>
      </c>
      <c r="C269" s="2">
        <v>130</v>
      </c>
      <c r="D269" s="2">
        <v>131.96</v>
      </c>
      <c r="E269" s="2">
        <v>128.62</v>
      </c>
      <c r="F269" s="2">
        <v>130.56</v>
      </c>
      <c r="G269" s="1">
        <v>1393964</v>
      </c>
      <c r="H269" s="2">
        <f t="shared" si="8"/>
        <v>128.62</v>
      </c>
      <c r="I269" s="2">
        <f t="shared" si="9"/>
        <v>141.24</v>
      </c>
      <c r="J269" s="22">
        <f>100*(testdata4[[#This Row],[close]]-testdata4[[#This Row],[LL]])/(testdata4[[#This Row],[HH]]-testdata4[[#This Row],[LL]])</f>
        <v>15.372424722662418</v>
      </c>
      <c r="K269" s="22">
        <f>testdata4[[#This Row],[K(14)'']]</f>
        <v>15.372424722662418</v>
      </c>
      <c r="L269" s="22">
        <f>testdata4[[#This Row],[%K]]-100</f>
        <v>-84.627575277337584</v>
      </c>
      <c r="N269" s="12">
        <v>267</v>
      </c>
      <c r="O269" s="3">
        <v>45296</v>
      </c>
      <c r="P269" s="23" t="s">
        <v>270</v>
      </c>
      <c r="Q269" s="22">
        <f>IF(testdata4[[#This Row],[%R]]&lt;&gt;Table25[[#This Row],[%R]],testdata4[[#This Row],[%R]]-Table25[[#This Row],[%R]],"")</f>
        <v>-8.5265128291212022E-14</v>
      </c>
      <c r="R269" s="11" t="str">
        <f>IF(OR(Table25[[#This Row],[%R]]&lt;-100,Table25[[#This Row],[%R]]&gt;0),"RANGE_ERR","")</f>
        <v>RANGE_ERR</v>
      </c>
    </row>
    <row r="270" spans="1:18" x14ac:dyDescent="0.35">
      <c r="A270" s="6">
        <v>268</v>
      </c>
      <c r="B270" s="3">
        <v>45299</v>
      </c>
      <c r="C270" s="2">
        <v>130.13999999999999</v>
      </c>
      <c r="D270" s="2">
        <v>133.57</v>
      </c>
      <c r="E270" s="2">
        <v>129.81</v>
      </c>
      <c r="F270" s="2">
        <v>133.38</v>
      </c>
      <c r="G270" s="1">
        <v>1311378</v>
      </c>
      <c r="H270" s="2">
        <f t="shared" si="8"/>
        <v>128.62</v>
      </c>
      <c r="I270" s="2">
        <f t="shared" si="9"/>
        <v>141.24</v>
      </c>
      <c r="J270" s="22">
        <f>100*(testdata4[[#This Row],[close]]-testdata4[[#This Row],[LL]])/(testdata4[[#This Row],[HH]]-testdata4[[#This Row],[LL]])</f>
        <v>37.71790808240879</v>
      </c>
      <c r="K270" s="22">
        <f>testdata4[[#This Row],[K(14)'']]</f>
        <v>37.71790808240879</v>
      </c>
      <c r="L270" s="22">
        <f>testdata4[[#This Row],[%K]]-100</f>
        <v>-62.28209191759121</v>
      </c>
      <c r="N270" s="12">
        <v>268</v>
      </c>
      <c r="O270" s="3">
        <v>45299</v>
      </c>
      <c r="P270" s="23" t="s">
        <v>271</v>
      </c>
      <c r="Q270" s="22">
        <f>IF(testdata4[[#This Row],[%R]]&lt;&gt;Table25[[#This Row],[%R]],testdata4[[#This Row],[%R]]-Table25[[#This Row],[%R]],"")</f>
        <v>-7.1054273576010019E-15</v>
      </c>
      <c r="R270" s="11" t="str">
        <f>IF(OR(Table25[[#This Row],[%R]]&lt;-100,Table25[[#This Row],[%R]]&gt;0),"RANGE_ERR","")</f>
        <v>RANGE_ERR</v>
      </c>
    </row>
    <row r="271" spans="1:18" x14ac:dyDescent="0.35">
      <c r="A271" s="6">
        <v>269</v>
      </c>
      <c r="B271" s="3">
        <v>45300</v>
      </c>
      <c r="C271" s="2">
        <v>132.27000000000001</v>
      </c>
      <c r="D271" s="2">
        <v>135.64500000000001</v>
      </c>
      <c r="E271" s="2">
        <v>130.01</v>
      </c>
      <c r="F271" s="2">
        <v>130.68</v>
      </c>
      <c r="G271" s="1">
        <v>1434952</v>
      </c>
      <c r="H271" s="2">
        <f t="shared" si="8"/>
        <v>128.62</v>
      </c>
      <c r="I271" s="2">
        <f t="shared" si="9"/>
        <v>141.24</v>
      </c>
      <c r="J271" s="22">
        <f>100*(testdata4[[#This Row],[close]]-testdata4[[#This Row],[LL]])/(testdata4[[#This Row],[HH]]-testdata4[[#This Row],[LL]])</f>
        <v>16.323296354992088</v>
      </c>
      <c r="K271" s="22">
        <f>testdata4[[#This Row],[K(14)'']]</f>
        <v>16.323296354992088</v>
      </c>
      <c r="L271" s="22">
        <f>testdata4[[#This Row],[%K]]-100</f>
        <v>-83.676703645007905</v>
      </c>
      <c r="N271" s="12">
        <v>269</v>
      </c>
      <c r="O271" s="3">
        <v>45300</v>
      </c>
      <c r="P271" s="23" t="s">
        <v>272</v>
      </c>
      <c r="Q271" s="22">
        <f>IF(testdata4[[#This Row],[%R]]&lt;&gt;Table25[[#This Row],[%R]],testdata4[[#This Row],[%R]]-Table25[[#This Row],[%R]],"")</f>
        <v>0</v>
      </c>
      <c r="R271" s="11" t="str">
        <f>IF(OR(Table25[[#This Row],[%R]]&lt;-100,Table25[[#This Row],[%R]]&gt;0),"RANGE_ERR","")</f>
        <v>RANGE_ERR</v>
      </c>
    </row>
    <row r="272" spans="1:18" x14ac:dyDescent="0.35">
      <c r="A272" s="6">
        <v>270</v>
      </c>
      <c r="B272" s="3">
        <v>45301</v>
      </c>
      <c r="C272" s="2">
        <v>130.58000000000001</v>
      </c>
      <c r="D272" s="2">
        <v>131.16</v>
      </c>
      <c r="E272" s="2">
        <v>128.36000000000001</v>
      </c>
      <c r="F272" s="2">
        <v>131.09</v>
      </c>
      <c r="G272" s="1">
        <v>1326296</v>
      </c>
      <c r="H272" s="2">
        <f t="shared" ref="H272:H335" si="10">MIN(E259:E272)</f>
        <v>128.36000000000001</v>
      </c>
      <c r="I272" s="2">
        <f t="shared" ref="I272:I335" si="11">MAX(D259:D272)</f>
        <v>141.24</v>
      </c>
      <c r="J272" s="22">
        <f>100*(testdata4[[#This Row],[close]]-testdata4[[#This Row],[LL]])/(testdata4[[#This Row],[HH]]-testdata4[[#This Row],[LL]])</f>
        <v>21.195652173912972</v>
      </c>
      <c r="K272" s="22">
        <f>testdata4[[#This Row],[K(14)'']]</f>
        <v>21.195652173912972</v>
      </c>
      <c r="L272" s="22">
        <f>testdata4[[#This Row],[%K]]-100</f>
        <v>-78.804347826087024</v>
      </c>
      <c r="N272" s="12">
        <v>270</v>
      </c>
      <c r="O272" s="3">
        <v>45301</v>
      </c>
      <c r="P272" s="23" t="s">
        <v>273</v>
      </c>
      <c r="Q272" s="22">
        <f>IF(testdata4[[#This Row],[%R]]&lt;&gt;Table25[[#This Row],[%R]],testdata4[[#This Row],[%R]]-Table25[[#This Row],[%R]],"")</f>
        <v>-2.8421709430404007E-14</v>
      </c>
      <c r="R272" s="11" t="str">
        <f>IF(OR(Table25[[#This Row],[%R]]&lt;-100,Table25[[#This Row],[%R]]&gt;0),"RANGE_ERR","")</f>
        <v>RANGE_ERR</v>
      </c>
    </row>
    <row r="273" spans="1:18" x14ac:dyDescent="0.35">
      <c r="A273" s="6">
        <v>271</v>
      </c>
      <c r="B273" s="3">
        <v>45302</v>
      </c>
      <c r="C273" s="2">
        <v>130.58000000000001</v>
      </c>
      <c r="D273" s="2">
        <v>130.68</v>
      </c>
      <c r="E273" s="2">
        <v>127.9</v>
      </c>
      <c r="F273" s="2">
        <v>129.68</v>
      </c>
      <c r="G273" s="1">
        <v>2060522</v>
      </c>
      <c r="H273" s="2">
        <f t="shared" si="10"/>
        <v>127.9</v>
      </c>
      <c r="I273" s="2">
        <f t="shared" si="11"/>
        <v>140.81139999999999</v>
      </c>
      <c r="J273" s="22">
        <f>100*(testdata4[[#This Row],[close]]-testdata4[[#This Row],[LL]])/(testdata4[[#This Row],[HH]]-testdata4[[#This Row],[LL]])</f>
        <v>13.786266400235474</v>
      </c>
      <c r="K273" s="22">
        <f>testdata4[[#This Row],[K(14)'']]</f>
        <v>13.786266400235474</v>
      </c>
      <c r="L273" s="22">
        <f>testdata4[[#This Row],[%K]]-100</f>
        <v>-86.213733599764524</v>
      </c>
      <c r="N273" s="12">
        <v>271</v>
      </c>
      <c r="O273" s="3">
        <v>45302</v>
      </c>
      <c r="P273" s="23" t="s">
        <v>274</v>
      </c>
      <c r="Q273" s="22">
        <f>IF(testdata4[[#This Row],[%R]]&lt;&gt;Table25[[#This Row],[%R]],testdata4[[#This Row],[%R]]-Table25[[#This Row],[%R]],"")</f>
        <v>-2.8421709430404007E-14</v>
      </c>
      <c r="R273" s="11" t="str">
        <f>IF(OR(Table25[[#This Row],[%R]]&lt;-100,Table25[[#This Row],[%R]]&gt;0),"RANGE_ERR","")</f>
        <v>RANGE_ERR</v>
      </c>
    </row>
    <row r="274" spans="1:18" x14ac:dyDescent="0.35">
      <c r="A274" s="6">
        <v>272</v>
      </c>
      <c r="B274" s="3">
        <v>45303</v>
      </c>
      <c r="C274" s="2">
        <v>130.31</v>
      </c>
      <c r="D274" s="2">
        <v>131.61000000000001</v>
      </c>
      <c r="E274" s="2">
        <v>129.63999999999999</v>
      </c>
      <c r="F274" s="2">
        <v>130.54</v>
      </c>
      <c r="G274" s="1">
        <v>1285227</v>
      </c>
      <c r="H274" s="2">
        <f t="shared" si="10"/>
        <v>127.9</v>
      </c>
      <c r="I274" s="2">
        <f t="shared" si="11"/>
        <v>140.81139999999999</v>
      </c>
      <c r="J274" s="22">
        <f>100*(testdata4[[#This Row],[close]]-testdata4[[#This Row],[LL]])/(testdata4[[#This Row],[HH]]-testdata4[[#This Row],[LL]])</f>
        <v>20.447046795854742</v>
      </c>
      <c r="K274" s="22">
        <f>testdata4[[#This Row],[K(14)'']]</f>
        <v>20.447046795854742</v>
      </c>
      <c r="L274" s="22">
        <f>testdata4[[#This Row],[%K]]-100</f>
        <v>-79.552953204145254</v>
      </c>
      <c r="N274" s="12">
        <v>272</v>
      </c>
      <c r="O274" s="3">
        <v>45303</v>
      </c>
      <c r="P274" s="23" t="s">
        <v>275</v>
      </c>
      <c r="Q274" s="22">
        <f>IF(testdata4[[#This Row],[%R]]&lt;&gt;Table25[[#This Row],[%R]],testdata4[[#This Row],[%R]]-Table25[[#This Row],[%R]],"")</f>
        <v>-5.6843418860808015E-14</v>
      </c>
      <c r="R274" s="11" t="str">
        <f>IF(OR(Table25[[#This Row],[%R]]&lt;-100,Table25[[#This Row],[%R]]&gt;0),"RANGE_ERR","")</f>
        <v>RANGE_ERR</v>
      </c>
    </row>
    <row r="275" spans="1:18" x14ac:dyDescent="0.35">
      <c r="A275" s="6">
        <v>273</v>
      </c>
      <c r="B275" s="3">
        <v>45307</v>
      </c>
      <c r="C275" s="2">
        <v>129.13999999999999</v>
      </c>
      <c r="D275" s="2">
        <v>130.81</v>
      </c>
      <c r="E275" s="2">
        <v>128.595</v>
      </c>
      <c r="F275" s="2">
        <v>130.53</v>
      </c>
      <c r="G275" s="1">
        <v>1382122</v>
      </c>
      <c r="H275" s="2">
        <f t="shared" si="10"/>
        <v>127.9</v>
      </c>
      <c r="I275" s="2">
        <f t="shared" si="11"/>
        <v>140.81139999999999</v>
      </c>
      <c r="J275" s="22">
        <f>100*(testdata4[[#This Row],[close]]-testdata4[[#This Row],[LL]])/(testdata4[[#This Row],[HH]]-testdata4[[#This Row],[LL]])</f>
        <v>20.369595861022027</v>
      </c>
      <c r="K275" s="22">
        <f>testdata4[[#This Row],[K(14)'']]</f>
        <v>20.369595861022027</v>
      </c>
      <c r="L275" s="22">
        <f>testdata4[[#This Row],[%K]]-100</f>
        <v>-79.63040413897798</v>
      </c>
      <c r="N275" s="12">
        <v>273</v>
      </c>
      <c r="O275" s="3">
        <v>45307</v>
      </c>
      <c r="P275" s="23" t="s">
        <v>276</v>
      </c>
      <c r="Q275" s="22">
        <f>IF(testdata4[[#This Row],[%R]]&lt;&gt;Table25[[#This Row],[%R]],testdata4[[#This Row],[%R]]-Table25[[#This Row],[%R]],"")</f>
        <v>-8.5265128291212022E-14</v>
      </c>
      <c r="R275" s="11" t="str">
        <f>IF(OR(Table25[[#This Row],[%R]]&lt;-100,Table25[[#This Row],[%R]]&gt;0),"RANGE_ERR","")</f>
        <v>RANGE_ERR</v>
      </c>
    </row>
    <row r="276" spans="1:18" x14ac:dyDescent="0.35">
      <c r="A276" s="6">
        <v>274</v>
      </c>
      <c r="B276" s="3">
        <v>45308</v>
      </c>
      <c r="C276" s="2">
        <v>129.97999999999999</v>
      </c>
      <c r="D276" s="2">
        <v>130.61000000000001</v>
      </c>
      <c r="E276" s="2">
        <v>126.74</v>
      </c>
      <c r="F276" s="2">
        <v>128.12</v>
      </c>
      <c r="G276" s="1">
        <v>1257360</v>
      </c>
      <c r="H276" s="2">
        <f t="shared" si="10"/>
        <v>126.74</v>
      </c>
      <c r="I276" s="2">
        <f t="shared" si="11"/>
        <v>140.81139999999999</v>
      </c>
      <c r="J276" s="22">
        <f>100*(testdata4[[#This Row],[close]]-testdata4[[#This Row],[LL]])/(testdata4[[#This Row],[HH]]-testdata4[[#This Row],[LL]])</f>
        <v>9.8071265119320739</v>
      </c>
      <c r="K276" s="22">
        <f>testdata4[[#This Row],[K(14)'']]</f>
        <v>9.8071265119320739</v>
      </c>
      <c r="L276" s="22">
        <f>testdata4[[#This Row],[%K]]-100</f>
        <v>-90.192873488067931</v>
      </c>
      <c r="N276" s="12">
        <v>274</v>
      </c>
      <c r="O276" s="3">
        <v>45308</v>
      </c>
      <c r="P276" s="23" t="s">
        <v>277</v>
      </c>
      <c r="Q276" s="22">
        <f>IF(testdata4[[#This Row],[%R]]&lt;&gt;Table25[[#This Row],[%R]],testdata4[[#This Row],[%R]]-Table25[[#This Row],[%R]],"")</f>
        <v>-2.8421709430404007E-14</v>
      </c>
      <c r="R276" s="11" t="str">
        <f>IF(OR(Table25[[#This Row],[%R]]&lt;-100,Table25[[#This Row],[%R]]&gt;0),"RANGE_ERR","")</f>
        <v>RANGE_ERR</v>
      </c>
    </row>
    <row r="277" spans="1:18" x14ac:dyDescent="0.35">
      <c r="A277" s="6">
        <v>275</v>
      </c>
      <c r="B277" s="3">
        <v>45309</v>
      </c>
      <c r="C277" s="2">
        <v>128.02000000000001</v>
      </c>
      <c r="D277" s="2">
        <v>130.72999999999999</v>
      </c>
      <c r="E277" s="2">
        <v>127.53400000000001</v>
      </c>
      <c r="F277" s="2">
        <v>130.46</v>
      </c>
      <c r="G277" s="1">
        <v>1404839</v>
      </c>
      <c r="H277" s="2">
        <f t="shared" si="10"/>
        <v>126.74</v>
      </c>
      <c r="I277" s="2">
        <f t="shared" si="11"/>
        <v>140.81139999999999</v>
      </c>
      <c r="J277" s="22">
        <f>100*(testdata4[[#This Row],[close]]-testdata4[[#This Row],[LL]])/(testdata4[[#This Row],[HH]]-testdata4[[#This Row],[LL]])</f>
        <v>26.436601901729848</v>
      </c>
      <c r="K277" s="22">
        <f>testdata4[[#This Row],[K(14)'']]</f>
        <v>26.436601901729848</v>
      </c>
      <c r="L277" s="22">
        <f>testdata4[[#This Row],[%K]]-100</f>
        <v>-73.563398098270156</v>
      </c>
      <c r="N277" s="12">
        <v>275</v>
      </c>
      <c r="O277" s="3">
        <v>45309</v>
      </c>
      <c r="P277" s="23" t="s">
        <v>278</v>
      </c>
      <c r="Q277" s="22">
        <f>IF(testdata4[[#This Row],[%R]]&lt;&gt;Table25[[#This Row],[%R]],testdata4[[#This Row],[%R]]-Table25[[#This Row],[%R]],"")</f>
        <v>-5.6843418860808015E-14</v>
      </c>
      <c r="R277" s="11" t="str">
        <f>IF(OR(Table25[[#This Row],[%R]]&lt;-100,Table25[[#This Row],[%R]]&gt;0),"RANGE_ERR","")</f>
        <v>RANGE_ERR</v>
      </c>
    </row>
    <row r="278" spans="1:18" x14ac:dyDescent="0.35">
      <c r="A278" s="6">
        <v>276</v>
      </c>
      <c r="B278" s="3">
        <v>45310</v>
      </c>
      <c r="C278" s="2">
        <v>130.16999999999999</v>
      </c>
      <c r="D278" s="2">
        <v>131.99</v>
      </c>
      <c r="E278" s="2">
        <v>129.20500000000001</v>
      </c>
      <c r="F278" s="2">
        <v>131.22</v>
      </c>
      <c r="G278" s="1">
        <v>1523311</v>
      </c>
      <c r="H278" s="2">
        <f t="shared" si="10"/>
        <v>126.74</v>
      </c>
      <c r="I278" s="2">
        <f t="shared" si="11"/>
        <v>140.59</v>
      </c>
      <c r="J278" s="22">
        <f>100*(testdata4[[#This Row],[close]]-testdata4[[#This Row],[LL]])/(testdata4[[#This Row],[HH]]-testdata4[[#This Row],[LL]])</f>
        <v>32.346570397111925</v>
      </c>
      <c r="K278" s="22">
        <f>testdata4[[#This Row],[K(14)'']]</f>
        <v>32.346570397111925</v>
      </c>
      <c r="L278" s="22">
        <f>testdata4[[#This Row],[%K]]-100</f>
        <v>-67.653429602888082</v>
      </c>
      <c r="N278" s="12">
        <v>276</v>
      </c>
      <c r="O278" s="3">
        <v>45310</v>
      </c>
      <c r="P278" s="23" t="s">
        <v>279</v>
      </c>
      <c r="Q278" s="22">
        <f>IF(testdata4[[#This Row],[%R]]&lt;&gt;Table25[[#This Row],[%R]],testdata4[[#This Row],[%R]]-Table25[[#This Row],[%R]],"")</f>
        <v>-8.5265128291212022E-14</v>
      </c>
      <c r="R278" s="11" t="str">
        <f>IF(OR(Table25[[#This Row],[%R]]&lt;-100,Table25[[#This Row],[%R]]&gt;0),"RANGE_ERR","")</f>
        <v>RANGE_ERR</v>
      </c>
    </row>
    <row r="279" spans="1:18" x14ac:dyDescent="0.35">
      <c r="A279" s="6">
        <v>277</v>
      </c>
      <c r="B279" s="3">
        <v>45313</v>
      </c>
      <c r="C279" s="2">
        <v>131.5</v>
      </c>
      <c r="D279" s="2">
        <v>132.72999999999999</v>
      </c>
      <c r="E279" s="2">
        <v>131.25</v>
      </c>
      <c r="F279" s="2">
        <v>132.55000000000001</v>
      </c>
      <c r="G279" s="1">
        <v>1512333</v>
      </c>
      <c r="H279" s="2">
        <f t="shared" si="10"/>
        <v>126.74</v>
      </c>
      <c r="I279" s="2">
        <f t="shared" si="11"/>
        <v>140.59</v>
      </c>
      <c r="J279" s="22">
        <f>100*(testdata4[[#This Row],[close]]-testdata4[[#This Row],[LL]])/(testdata4[[#This Row],[HH]]-testdata4[[#This Row],[LL]])</f>
        <v>41.949458483754604</v>
      </c>
      <c r="K279" s="22">
        <f>testdata4[[#This Row],[K(14)'']]</f>
        <v>41.949458483754604</v>
      </c>
      <c r="L279" s="22">
        <f>testdata4[[#This Row],[%K]]-100</f>
        <v>-58.050541516245396</v>
      </c>
      <c r="N279" s="12">
        <v>277</v>
      </c>
      <c r="O279" s="3">
        <v>45313</v>
      </c>
      <c r="P279" s="23" t="s">
        <v>280</v>
      </c>
      <c r="Q279" s="22">
        <f>IF(testdata4[[#This Row],[%R]]&lt;&gt;Table25[[#This Row],[%R]],testdata4[[#This Row],[%R]]-Table25[[#This Row],[%R]],"")</f>
        <v>-9.2370555648813024E-14</v>
      </c>
      <c r="R279" s="11" t="str">
        <f>IF(OR(Table25[[#This Row],[%R]]&lt;-100,Table25[[#This Row],[%R]]&gt;0),"RANGE_ERR","")</f>
        <v>RANGE_ERR</v>
      </c>
    </row>
    <row r="280" spans="1:18" x14ac:dyDescent="0.35">
      <c r="A280" s="6">
        <v>278</v>
      </c>
      <c r="B280" s="3">
        <v>45314</v>
      </c>
      <c r="C280" s="2">
        <v>133.63999999999999</v>
      </c>
      <c r="D280" s="2">
        <v>133.94</v>
      </c>
      <c r="E280" s="2">
        <v>130.32980000000001</v>
      </c>
      <c r="F280" s="2">
        <v>131.63999999999999</v>
      </c>
      <c r="G280" s="1">
        <v>854928</v>
      </c>
      <c r="H280" s="2">
        <f t="shared" si="10"/>
        <v>126.74</v>
      </c>
      <c r="I280" s="2">
        <f t="shared" si="11"/>
        <v>138</v>
      </c>
      <c r="J280" s="22">
        <f>100*(testdata4[[#This Row],[close]]-testdata4[[#This Row],[LL]])/(testdata4[[#This Row],[HH]]-testdata4[[#This Row],[LL]])</f>
        <v>43.516873889875569</v>
      </c>
      <c r="K280" s="22">
        <f>testdata4[[#This Row],[K(14)'']]</f>
        <v>43.516873889875569</v>
      </c>
      <c r="L280" s="22">
        <f>testdata4[[#This Row],[%K]]-100</f>
        <v>-56.483126110124431</v>
      </c>
      <c r="N280" s="12">
        <v>278</v>
      </c>
      <c r="O280" s="3">
        <v>45314</v>
      </c>
      <c r="P280" s="23" t="s">
        <v>281</v>
      </c>
      <c r="Q280" s="22">
        <f>IF(testdata4[[#This Row],[%R]]&lt;&gt;Table25[[#This Row],[%R]],testdata4[[#This Row],[%R]]-Table25[[#This Row],[%R]],"")</f>
        <v>-2.8421709430404007E-14</v>
      </c>
      <c r="R280" s="11" t="str">
        <f>IF(OR(Table25[[#This Row],[%R]]&lt;-100,Table25[[#This Row],[%R]]&gt;0),"RANGE_ERR","")</f>
        <v>RANGE_ERR</v>
      </c>
    </row>
    <row r="281" spans="1:18" x14ac:dyDescent="0.35">
      <c r="A281" s="6">
        <v>279</v>
      </c>
      <c r="B281" s="3">
        <v>45315</v>
      </c>
      <c r="C281" s="2">
        <v>132.41</v>
      </c>
      <c r="D281" s="2">
        <v>132.80000000000001</v>
      </c>
      <c r="E281" s="2">
        <v>129.43</v>
      </c>
      <c r="F281" s="2">
        <v>129.78</v>
      </c>
      <c r="G281" s="1">
        <v>1141997</v>
      </c>
      <c r="H281" s="2">
        <f t="shared" si="10"/>
        <v>126.74</v>
      </c>
      <c r="I281" s="2">
        <f t="shared" si="11"/>
        <v>135.64500000000001</v>
      </c>
      <c r="J281" s="22">
        <f>100*(testdata4[[#This Row],[close]]-testdata4[[#This Row],[LL]])/(testdata4[[#This Row],[HH]]-testdata4[[#This Row],[LL]])</f>
        <v>34.138124649073568</v>
      </c>
      <c r="K281" s="22">
        <f>testdata4[[#This Row],[K(14)'']]</f>
        <v>34.138124649073568</v>
      </c>
      <c r="L281" s="22">
        <f>testdata4[[#This Row],[%K]]-100</f>
        <v>-65.861875350926425</v>
      </c>
      <c r="N281" s="12">
        <v>279</v>
      </c>
      <c r="O281" s="3">
        <v>45315</v>
      </c>
      <c r="P281" s="23" t="s">
        <v>282</v>
      </c>
      <c r="Q281" s="22">
        <f>IF(testdata4[[#This Row],[%R]]&lt;&gt;Table25[[#This Row],[%R]],testdata4[[#This Row],[%R]]-Table25[[#This Row],[%R]],"")</f>
        <v>-2.8421709430404007E-14</v>
      </c>
      <c r="R281" s="11" t="str">
        <f>IF(OR(Table25[[#This Row],[%R]]&lt;-100,Table25[[#This Row],[%R]]&gt;0),"RANGE_ERR","")</f>
        <v>RANGE_ERR</v>
      </c>
    </row>
    <row r="282" spans="1:18" x14ac:dyDescent="0.35">
      <c r="A282" s="6">
        <v>280</v>
      </c>
      <c r="B282" s="3">
        <v>45316</v>
      </c>
      <c r="C282" s="2">
        <v>131.11000000000001</v>
      </c>
      <c r="D282" s="2">
        <v>131.43</v>
      </c>
      <c r="E282" s="2">
        <v>129.43</v>
      </c>
      <c r="F282" s="2">
        <v>129.88</v>
      </c>
      <c r="G282" s="1">
        <v>1120939</v>
      </c>
      <c r="H282" s="2">
        <f t="shared" si="10"/>
        <v>126.74</v>
      </c>
      <c r="I282" s="2">
        <f t="shared" si="11"/>
        <v>135.64500000000001</v>
      </c>
      <c r="J282" s="22">
        <f>100*(testdata4[[#This Row],[close]]-testdata4[[#This Row],[LL]])/(testdata4[[#This Row],[HH]]-testdata4[[#This Row],[LL]])</f>
        <v>35.261089275687759</v>
      </c>
      <c r="K282" s="22">
        <f>testdata4[[#This Row],[K(14)'']]</f>
        <v>35.261089275687759</v>
      </c>
      <c r="L282" s="22">
        <f>testdata4[[#This Row],[%K]]-100</f>
        <v>-64.738910724312234</v>
      </c>
      <c r="N282" s="12">
        <v>280</v>
      </c>
      <c r="O282" s="3">
        <v>45316</v>
      </c>
      <c r="P282" s="23" t="s">
        <v>283</v>
      </c>
      <c r="Q282" s="22">
        <f>IF(testdata4[[#This Row],[%R]]&lt;&gt;Table25[[#This Row],[%R]],testdata4[[#This Row],[%R]]-Table25[[#This Row],[%R]],"")</f>
        <v>-2.8421709430404007E-14</v>
      </c>
      <c r="R282" s="11" t="str">
        <f>IF(OR(Table25[[#This Row],[%R]]&lt;-100,Table25[[#This Row],[%R]]&gt;0),"RANGE_ERR","")</f>
        <v>RANGE_ERR</v>
      </c>
    </row>
    <row r="283" spans="1:18" x14ac:dyDescent="0.35">
      <c r="A283" s="6">
        <v>281</v>
      </c>
      <c r="B283" s="3">
        <v>45317</v>
      </c>
      <c r="C283" s="2">
        <v>133.71</v>
      </c>
      <c r="D283" s="2">
        <v>134.22999999999999</v>
      </c>
      <c r="E283" s="2">
        <v>130.63999999999999</v>
      </c>
      <c r="F283" s="2">
        <v>130.99</v>
      </c>
      <c r="G283" s="1">
        <v>1319766</v>
      </c>
      <c r="H283" s="2">
        <f t="shared" si="10"/>
        <v>126.74</v>
      </c>
      <c r="I283" s="2">
        <f t="shared" si="11"/>
        <v>135.64500000000001</v>
      </c>
      <c r="J283" s="22">
        <f>100*(testdata4[[#This Row],[close]]-testdata4[[#This Row],[LL]])/(testdata4[[#This Row],[HH]]-testdata4[[#This Row],[LL]])</f>
        <v>47.725996631106199</v>
      </c>
      <c r="K283" s="22">
        <f>testdata4[[#This Row],[K(14)'']]</f>
        <v>47.725996631106199</v>
      </c>
      <c r="L283" s="22">
        <f>testdata4[[#This Row],[%K]]-100</f>
        <v>-52.274003368893801</v>
      </c>
      <c r="N283" s="12">
        <v>281</v>
      </c>
      <c r="O283" s="3">
        <v>45317</v>
      </c>
      <c r="P283" s="23" t="s">
        <v>284</v>
      </c>
      <c r="Q283" s="22">
        <f>IF(testdata4[[#This Row],[%R]]&lt;&gt;Table25[[#This Row],[%R]],testdata4[[#This Row],[%R]]-Table25[[#This Row],[%R]],"")</f>
        <v>0</v>
      </c>
      <c r="R283" s="11" t="str">
        <f>IF(OR(Table25[[#This Row],[%R]]&lt;-100,Table25[[#This Row],[%R]]&gt;0),"RANGE_ERR","")</f>
        <v>RANGE_ERR</v>
      </c>
    </row>
    <row r="284" spans="1:18" x14ac:dyDescent="0.35">
      <c r="A284" s="6">
        <v>282</v>
      </c>
      <c r="B284" s="3">
        <v>45320</v>
      </c>
      <c r="C284" s="2">
        <v>131.75</v>
      </c>
      <c r="D284" s="2">
        <v>132.9</v>
      </c>
      <c r="E284" s="2">
        <v>131.28</v>
      </c>
      <c r="F284" s="2">
        <v>132.83000000000001</v>
      </c>
      <c r="G284" s="1">
        <v>1407250</v>
      </c>
      <c r="H284" s="2">
        <f t="shared" si="10"/>
        <v>126.74</v>
      </c>
      <c r="I284" s="2">
        <f t="shared" si="11"/>
        <v>135.64500000000001</v>
      </c>
      <c r="J284" s="22">
        <f>100*(testdata4[[#This Row],[close]]-testdata4[[#This Row],[LL]])/(testdata4[[#This Row],[HH]]-testdata4[[#This Row],[LL]])</f>
        <v>68.388545760808626</v>
      </c>
      <c r="K284" s="22">
        <f>testdata4[[#This Row],[K(14)'']]</f>
        <v>68.388545760808626</v>
      </c>
      <c r="L284" s="22">
        <f>testdata4[[#This Row],[%K]]-100</f>
        <v>-31.611454239191374</v>
      </c>
      <c r="N284" s="12">
        <v>282</v>
      </c>
      <c r="O284" s="3">
        <v>45320</v>
      </c>
      <c r="P284" s="23" t="s">
        <v>285</v>
      </c>
      <c r="Q284" s="22">
        <f>IF(testdata4[[#This Row],[%R]]&lt;&gt;Table25[[#This Row],[%R]],testdata4[[#This Row],[%R]]-Table25[[#This Row],[%R]],"")</f>
        <v>-7.460698725481052E-14</v>
      </c>
      <c r="R284" s="11" t="str">
        <f>IF(OR(Table25[[#This Row],[%R]]&lt;-100,Table25[[#This Row],[%R]]&gt;0),"RANGE_ERR","")</f>
        <v>RANGE_ERR</v>
      </c>
    </row>
    <row r="285" spans="1:18" x14ac:dyDescent="0.35">
      <c r="A285" s="6">
        <v>283</v>
      </c>
      <c r="B285" s="3">
        <v>45321</v>
      </c>
      <c r="C285" s="2">
        <v>132.83000000000001</v>
      </c>
      <c r="D285" s="2">
        <v>134.52000000000001</v>
      </c>
      <c r="E285" s="2">
        <v>132.69</v>
      </c>
      <c r="F285" s="2">
        <v>134.28</v>
      </c>
      <c r="G285" s="1">
        <v>1428810</v>
      </c>
      <c r="H285" s="2">
        <f t="shared" si="10"/>
        <v>126.74</v>
      </c>
      <c r="I285" s="2">
        <f t="shared" si="11"/>
        <v>134.52000000000001</v>
      </c>
      <c r="J285" s="22">
        <f>100*(testdata4[[#This Row],[close]]-testdata4[[#This Row],[LL]])/(testdata4[[#This Row],[HH]]-testdata4[[#This Row],[LL]])</f>
        <v>96.915167095115578</v>
      </c>
      <c r="K285" s="22">
        <f>testdata4[[#This Row],[K(14)'']]</f>
        <v>96.915167095115578</v>
      </c>
      <c r="L285" s="22">
        <f>testdata4[[#This Row],[%K]]-100</f>
        <v>-3.0848329048844221</v>
      </c>
      <c r="N285" s="12">
        <v>283</v>
      </c>
      <c r="O285" s="3">
        <v>45321</v>
      </c>
      <c r="P285" s="23" t="s">
        <v>286</v>
      </c>
      <c r="Q285" s="22">
        <f>IF(testdata4[[#This Row],[%R]]&lt;&gt;Table25[[#This Row],[%R]],testdata4[[#This Row],[%R]]-Table25[[#This Row],[%R]],"")</f>
        <v>-2.2204460492503131E-15</v>
      </c>
      <c r="R285" s="11" t="str">
        <f>IF(OR(Table25[[#This Row],[%R]]&lt;-100,Table25[[#This Row],[%R]]&gt;0),"RANGE_ERR","")</f>
        <v>RANGE_ERR</v>
      </c>
    </row>
    <row r="286" spans="1:18" x14ac:dyDescent="0.35">
      <c r="A286" s="6">
        <v>284</v>
      </c>
      <c r="B286" s="3">
        <v>45322</v>
      </c>
      <c r="C286" s="2">
        <v>134.61000000000001</v>
      </c>
      <c r="D286" s="2">
        <v>134.62</v>
      </c>
      <c r="E286" s="2">
        <v>129.99600000000001</v>
      </c>
      <c r="F286" s="2">
        <v>130.1</v>
      </c>
      <c r="G286" s="1">
        <v>1101452</v>
      </c>
      <c r="H286" s="2">
        <f t="shared" si="10"/>
        <v>126.74</v>
      </c>
      <c r="I286" s="2">
        <f t="shared" si="11"/>
        <v>134.62</v>
      </c>
      <c r="J286" s="22">
        <f>100*(testdata4[[#This Row],[close]]-testdata4[[#This Row],[LL]])/(testdata4[[#This Row],[HH]]-testdata4[[#This Row],[LL]])</f>
        <v>42.639593908629379</v>
      </c>
      <c r="K286" s="22">
        <f>testdata4[[#This Row],[K(14)'']]</f>
        <v>42.639593908629379</v>
      </c>
      <c r="L286" s="22">
        <f>testdata4[[#This Row],[%K]]-100</f>
        <v>-57.360406091370621</v>
      </c>
      <c r="N286" s="12">
        <v>284</v>
      </c>
      <c r="O286" s="3">
        <v>45322</v>
      </c>
      <c r="P286" s="23" t="s">
        <v>287</v>
      </c>
      <c r="Q286" s="22">
        <f>IF(testdata4[[#This Row],[%R]]&lt;&gt;Table25[[#This Row],[%R]],testdata4[[#This Row],[%R]]-Table25[[#This Row],[%R]],"")</f>
        <v>-2.1316282072803006E-14</v>
      </c>
      <c r="R286" s="11" t="str">
        <f>IF(OR(Table25[[#This Row],[%R]]&lt;-100,Table25[[#This Row],[%R]]&gt;0),"RANGE_ERR","")</f>
        <v>RANGE_ERR</v>
      </c>
    </row>
    <row r="287" spans="1:18" x14ac:dyDescent="0.35">
      <c r="A287" s="6">
        <v>285</v>
      </c>
      <c r="B287" s="3">
        <v>45323</v>
      </c>
      <c r="C287" s="2">
        <v>130.06</v>
      </c>
      <c r="D287" s="2">
        <v>133.05000000000001</v>
      </c>
      <c r="E287" s="2">
        <v>129.26050000000001</v>
      </c>
      <c r="F287" s="2">
        <v>133.05000000000001</v>
      </c>
      <c r="G287" s="1">
        <v>862025</v>
      </c>
      <c r="H287" s="2">
        <f t="shared" si="10"/>
        <v>126.74</v>
      </c>
      <c r="I287" s="2">
        <f t="shared" si="11"/>
        <v>134.62</v>
      </c>
      <c r="J287" s="22">
        <f>100*(testdata4[[#This Row],[close]]-testdata4[[#This Row],[LL]])/(testdata4[[#This Row],[HH]]-testdata4[[#This Row],[LL]])</f>
        <v>80.076142131979793</v>
      </c>
      <c r="K287" s="22">
        <f>testdata4[[#This Row],[K(14)'']]</f>
        <v>80.076142131979793</v>
      </c>
      <c r="L287" s="22">
        <f>testdata4[[#This Row],[%K]]-100</f>
        <v>-19.923857868020207</v>
      </c>
      <c r="N287" s="12">
        <v>285</v>
      </c>
      <c r="O287" s="3">
        <v>45323</v>
      </c>
      <c r="P287" s="23" t="s">
        <v>288</v>
      </c>
      <c r="Q287" s="22">
        <f>IF(testdata4[[#This Row],[%R]]&lt;&gt;Table25[[#This Row],[%R]],testdata4[[#This Row],[%R]]-Table25[[#This Row],[%R]],"")</f>
        <v>-7.1054273576010019E-15</v>
      </c>
      <c r="R287" s="11" t="str">
        <f>IF(OR(Table25[[#This Row],[%R]]&lt;-100,Table25[[#This Row],[%R]]&gt;0),"RANGE_ERR","")</f>
        <v>RANGE_ERR</v>
      </c>
    </row>
    <row r="288" spans="1:18" x14ac:dyDescent="0.35">
      <c r="A288" s="6">
        <v>286</v>
      </c>
      <c r="B288" s="3">
        <v>45324</v>
      </c>
      <c r="C288" s="2">
        <v>131.84</v>
      </c>
      <c r="D288" s="2">
        <v>133.91999999999999</v>
      </c>
      <c r="E288" s="2">
        <v>130.31</v>
      </c>
      <c r="F288" s="2">
        <v>132.97</v>
      </c>
      <c r="G288" s="1">
        <v>1066283</v>
      </c>
      <c r="H288" s="2">
        <f t="shared" si="10"/>
        <v>126.74</v>
      </c>
      <c r="I288" s="2">
        <f t="shared" si="11"/>
        <v>134.62</v>
      </c>
      <c r="J288" s="22">
        <f>100*(testdata4[[#This Row],[close]]-testdata4[[#This Row],[LL]])/(testdata4[[#This Row],[HH]]-testdata4[[#This Row],[LL]])</f>
        <v>79.060913705583715</v>
      </c>
      <c r="K288" s="22">
        <f>testdata4[[#This Row],[K(14)'']]</f>
        <v>79.060913705583715</v>
      </c>
      <c r="L288" s="22">
        <f>testdata4[[#This Row],[%K]]-100</f>
        <v>-20.939086294416285</v>
      </c>
      <c r="N288" s="12">
        <v>286</v>
      </c>
      <c r="O288" s="3">
        <v>45324</v>
      </c>
      <c r="P288" s="23" t="s">
        <v>289</v>
      </c>
      <c r="Q288" s="22">
        <f>IF(testdata4[[#This Row],[%R]]&lt;&gt;Table25[[#This Row],[%R]],testdata4[[#This Row],[%R]]-Table25[[#This Row],[%R]],"")</f>
        <v>-8.5265128291212022E-14</v>
      </c>
      <c r="R288" s="11" t="str">
        <f>IF(OR(Table25[[#This Row],[%R]]&lt;-100,Table25[[#This Row],[%R]]&gt;0),"RANGE_ERR","")</f>
        <v>RANGE_ERR</v>
      </c>
    </row>
    <row r="289" spans="1:18" x14ac:dyDescent="0.35">
      <c r="A289" s="6">
        <v>287</v>
      </c>
      <c r="B289" s="3">
        <v>45327</v>
      </c>
      <c r="C289" s="2">
        <v>132.74</v>
      </c>
      <c r="D289" s="2">
        <v>134.94999999999999</v>
      </c>
      <c r="E289" s="2">
        <v>132.38</v>
      </c>
      <c r="F289" s="2">
        <v>132.82</v>
      </c>
      <c r="G289" s="1">
        <v>2374531</v>
      </c>
      <c r="H289" s="2">
        <f t="shared" si="10"/>
        <v>126.74</v>
      </c>
      <c r="I289" s="2">
        <f t="shared" si="11"/>
        <v>134.94999999999999</v>
      </c>
      <c r="J289" s="22">
        <f>100*(testdata4[[#This Row],[close]]-testdata4[[#This Row],[LL]])/(testdata4[[#This Row],[HH]]-testdata4[[#This Row],[LL]])</f>
        <v>74.056029232643141</v>
      </c>
      <c r="K289" s="22">
        <f>testdata4[[#This Row],[K(14)'']]</f>
        <v>74.056029232643141</v>
      </c>
      <c r="L289" s="22">
        <f>testdata4[[#This Row],[%K]]-100</f>
        <v>-25.943970767356859</v>
      </c>
      <c r="N289" s="12">
        <v>287</v>
      </c>
      <c r="O289" s="3">
        <v>45327</v>
      </c>
      <c r="P289" s="23" t="s">
        <v>290</v>
      </c>
      <c r="Q289" s="22">
        <f>IF(testdata4[[#This Row],[%R]]&lt;&gt;Table25[[#This Row],[%R]],testdata4[[#This Row],[%R]]-Table25[[#This Row],[%R]],"")</f>
        <v>-6.0396132539608516E-14</v>
      </c>
      <c r="R289" s="11" t="str">
        <f>IF(OR(Table25[[#This Row],[%R]]&lt;-100,Table25[[#This Row],[%R]]&gt;0),"RANGE_ERR","")</f>
        <v>RANGE_ERR</v>
      </c>
    </row>
    <row r="290" spans="1:18" x14ac:dyDescent="0.35">
      <c r="A290" s="6">
        <v>288</v>
      </c>
      <c r="B290" s="3">
        <v>45328</v>
      </c>
      <c r="C290" s="2">
        <v>132.65</v>
      </c>
      <c r="D290" s="2">
        <v>136.1</v>
      </c>
      <c r="E290" s="2">
        <v>131.07499999999999</v>
      </c>
      <c r="F290" s="2">
        <v>135.86000000000001</v>
      </c>
      <c r="G290" s="1">
        <v>1766821</v>
      </c>
      <c r="H290" s="2">
        <f t="shared" si="10"/>
        <v>127.53400000000001</v>
      </c>
      <c r="I290" s="2">
        <f t="shared" si="11"/>
        <v>136.1</v>
      </c>
      <c r="J290" s="22">
        <f>100*(testdata4[[#This Row],[close]]-testdata4[[#This Row],[LL]])/(testdata4[[#This Row],[HH]]-testdata4[[#This Row],[LL]])</f>
        <v>97.198225542844028</v>
      </c>
      <c r="K290" s="22">
        <f>testdata4[[#This Row],[K(14)'']]</f>
        <v>97.198225542844028</v>
      </c>
      <c r="L290" s="22">
        <f>testdata4[[#This Row],[%K]]-100</f>
        <v>-2.8017744571559717</v>
      </c>
      <c r="N290" s="12">
        <v>288</v>
      </c>
      <c r="O290" s="3">
        <v>45328</v>
      </c>
      <c r="P290" s="23" t="s">
        <v>291</v>
      </c>
      <c r="Q290" s="22">
        <f>IF(testdata4[[#This Row],[%R]]&lt;&gt;Table25[[#This Row],[%R]],testdata4[[#This Row],[%R]]-Table25[[#This Row],[%R]],"")</f>
        <v>-1.7763568394002505E-15</v>
      </c>
      <c r="R290" s="11" t="str">
        <f>IF(OR(Table25[[#This Row],[%R]]&lt;-100,Table25[[#This Row],[%R]]&gt;0),"RANGE_ERR","")</f>
        <v>RANGE_ERR</v>
      </c>
    </row>
    <row r="291" spans="1:18" x14ac:dyDescent="0.35">
      <c r="A291" s="6">
        <v>289</v>
      </c>
      <c r="B291" s="3">
        <v>45329</v>
      </c>
      <c r="C291" s="2">
        <v>136.52000000000001</v>
      </c>
      <c r="D291" s="2">
        <v>136.91</v>
      </c>
      <c r="E291" s="2">
        <v>132.34</v>
      </c>
      <c r="F291" s="2">
        <v>132.79</v>
      </c>
      <c r="G291" s="1">
        <v>1758005</v>
      </c>
      <c r="H291" s="2">
        <f t="shared" si="10"/>
        <v>129.20500000000001</v>
      </c>
      <c r="I291" s="2">
        <f t="shared" si="11"/>
        <v>136.91</v>
      </c>
      <c r="J291" s="22">
        <f>100*(testdata4[[#This Row],[close]]-testdata4[[#This Row],[LL]])/(testdata4[[#This Row],[HH]]-testdata4[[#This Row],[LL]])</f>
        <v>46.528228423101716</v>
      </c>
      <c r="K291" s="22">
        <f>testdata4[[#This Row],[K(14)'']]</f>
        <v>46.528228423101716</v>
      </c>
      <c r="L291" s="22">
        <f>testdata4[[#This Row],[%K]]-100</f>
        <v>-53.471771576898284</v>
      </c>
      <c r="N291" s="12">
        <v>289</v>
      </c>
      <c r="O291" s="3">
        <v>45329</v>
      </c>
      <c r="P291" s="23" t="s">
        <v>292</v>
      </c>
      <c r="Q291" s="22">
        <f>IF(testdata4[[#This Row],[%R]]&lt;&gt;Table25[[#This Row],[%R]],testdata4[[#This Row],[%R]]-Table25[[#This Row],[%R]],"")</f>
        <v>-8.5265128291212022E-14</v>
      </c>
      <c r="R291" s="11" t="str">
        <f>IF(OR(Table25[[#This Row],[%R]]&lt;-100,Table25[[#This Row],[%R]]&gt;0),"RANGE_ERR","")</f>
        <v>RANGE_ERR</v>
      </c>
    </row>
    <row r="292" spans="1:18" x14ac:dyDescent="0.35">
      <c r="A292" s="6">
        <v>290</v>
      </c>
      <c r="B292" s="3">
        <v>45330</v>
      </c>
      <c r="C292" s="2">
        <v>132.41999999999999</v>
      </c>
      <c r="D292" s="2">
        <v>134.82</v>
      </c>
      <c r="E292" s="2">
        <v>132.13</v>
      </c>
      <c r="F292" s="2">
        <v>134.07</v>
      </c>
      <c r="G292" s="1">
        <v>1352524</v>
      </c>
      <c r="H292" s="2">
        <f t="shared" si="10"/>
        <v>129.26050000000001</v>
      </c>
      <c r="I292" s="2">
        <f t="shared" si="11"/>
        <v>136.91</v>
      </c>
      <c r="J292" s="22">
        <f>100*(testdata4[[#This Row],[close]]-testdata4[[#This Row],[LL]])/(testdata4[[#This Row],[HH]]-testdata4[[#This Row],[LL]])</f>
        <v>62.873390417674258</v>
      </c>
      <c r="K292" s="22">
        <f>testdata4[[#This Row],[K(14)'']]</f>
        <v>62.873390417674258</v>
      </c>
      <c r="L292" s="22">
        <f>testdata4[[#This Row],[%K]]-100</f>
        <v>-37.126609582325742</v>
      </c>
      <c r="N292" s="12">
        <v>290</v>
      </c>
      <c r="O292" s="3">
        <v>45330</v>
      </c>
      <c r="P292" s="23" t="s">
        <v>293</v>
      </c>
      <c r="Q292" s="22">
        <f>IF(testdata4[[#This Row],[%R]]&lt;&gt;Table25[[#This Row],[%R]],testdata4[[#This Row],[%R]]-Table25[[#This Row],[%R]],"")</f>
        <v>-4.2632564145606011E-14</v>
      </c>
      <c r="R292" s="11" t="str">
        <f>IF(OR(Table25[[#This Row],[%R]]&lt;-100,Table25[[#This Row],[%R]]&gt;0),"RANGE_ERR","")</f>
        <v>RANGE_ERR</v>
      </c>
    </row>
    <row r="293" spans="1:18" x14ac:dyDescent="0.35">
      <c r="A293" s="6">
        <v>291</v>
      </c>
      <c r="B293" s="3">
        <v>45331</v>
      </c>
      <c r="C293" s="2">
        <v>133.93</v>
      </c>
      <c r="D293" s="2">
        <v>135.22999999999999</v>
      </c>
      <c r="E293" s="2">
        <v>132.76</v>
      </c>
      <c r="F293" s="2">
        <v>133.34</v>
      </c>
      <c r="G293" s="1">
        <v>909735</v>
      </c>
      <c r="H293" s="2">
        <f t="shared" si="10"/>
        <v>129.26050000000001</v>
      </c>
      <c r="I293" s="2">
        <f t="shared" si="11"/>
        <v>136.91</v>
      </c>
      <c r="J293" s="22">
        <f>100*(testdata4[[#This Row],[close]]-testdata4[[#This Row],[LL]])/(testdata4[[#This Row],[HH]]-testdata4[[#This Row],[LL]])</f>
        <v>53.33028302503434</v>
      </c>
      <c r="K293" s="22">
        <f>testdata4[[#This Row],[K(14)'']]</f>
        <v>53.33028302503434</v>
      </c>
      <c r="L293" s="22">
        <f>testdata4[[#This Row],[%K]]-100</f>
        <v>-46.66971697496566</v>
      </c>
      <c r="N293" s="12">
        <v>291</v>
      </c>
      <c r="O293" s="3">
        <v>45331</v>
      </c>
      <c r="P293" s="23" t="s">
        <v>294</v>
      </c>
      <c r="Q293" s="22">
        <f>IF(testdata4[[#This Row],[%R]]&lt;&gt;Table25[[#This Row],[%R]],testdata4[[#This Row],[%R]]-Table25[[#This Row],[%R]],"")</f>
        <v>-5.6843418860808015E-14</v>
      </c>
      <c r="R293" s="11" t="str">
        <f>IF(OR(Table25[[#This Row],[%R]]&lt;-100,Table25[[#This Row],[%R]]&gt;0),"RANGE_ERR","")</f>
        <v>RANGE_ERR</v>
      </c>
    </row>
    <row r="294" spans="1:18" x14ac:dyDescent="0.35">
      <c r="A294" s="6">
        <v>292</v>
      </c>
      <c r="B294" s="3">
        <v>45334</v>
      </c>
      <c r="C294" s="2">
        <v>133.28</v>
      </c>
      <c r="D294" s="2">
        <v>133.28</v>
      </c>
      <c r="E294" s="2">
        <v>130.38</v>
      </c>
      <c r="F294" s="2">
        <v>132.31</v>
      </c>
      <c r="G294" s="1">
        <v>1231836</v>
      </c>
      <c r="H294" s="2">
        <f t="shared" si="10"/>
        <v>129.26050000000001</v>
      </c>
      <c r="I294" s="2">
        <f t="shared" si="11"/>
        <v>136.91</v>
      </c>
      <c r="J294" s="22">
        <f>100*(testdata4[[#This Row],[close]]-testdata4[[#This Row],[LL]])/(testdata4[[#This Row],[HH]]-testdata4[[#This Row],[LL]])</f>
        <v>39.865350676514794</v>
      </c>
      <c r="K294" s="22">
        <f>testdata4[[#This Row],[K(14)'']]</f>
        <v>39.865350676514794</v>
      </c>
      <c r="L294" s="22">
        <f>testdata4[[#This Row],[%K]]-100</f>
        <v>-60.134649323485206</v>
      </c>
      <c r="N294" s="12">
        <v>292</v>
      </c>
      <c r="O294" s="3">
        <v>45334</v>
      </c>
      <c r="P294" s="23" t="s">
        <v>295</v>
      </c>
      <c r="Q294" s="22">
        <f>IF(testdata4[[#This Row],[%R]]&lt;&gt;Table25[[#This Row],[%R]],testdata4[[#This Row],[%R]]-Table25[[#This Row],[%R]],"")</f>
        <v>-7.1054273576010019E-15</v>
      </c>
      <c r="R294" s="11" t="str">
        <f>IF(OR(Table25[[#This Row],[%R]]&lt;-100,Table25[[#This Row],[%R]]&gt;0),"RANGE_ERR","")</f>
        <v>RANGE_ERR</v>
      </c>
    </row>
    <row r="295" spans="1:18" x14ac:dyDescent="0.35">
      <c r="A295" s="6">
        <v>293</v>
      </c>
      <c r="B295" s="3">
        <v>45335</v>
      </c>
      <c r="C295" s="2">
        <v>130.34</v>
      </c>
      <c r="D295" s="2">
        <v>131.63999999999999</v>
      </c>
      <c r="E295" s="2">
        <v>128.26</v>
      </c>
      <c r="F295" s="2">
        <v>129.76</v>
      </c>
      <c r="G295" s="1">
        <v>1031115</v>
      </c>
      <c r="H295" s="2">
        <f t="shared" si="10"/>
        <v>128.26</v>
      </c>
      <c r="I295" s="2">
        <f t="shared" si="11"/>
        <v>136.91</v>
      </c>
      <c r="J295" s="22">
        <f>100*(testdata4[[#This Row],[close]]-testdata4[[#This Row],[LL]])/(testdata4[[#This Row],[HH]]-testdata4[[#This Row],[LL]])</f>
        <v>17.341040462427735</v>
      </c>
      <c r="K295" s="22">
        <f>testdata4[[#This Row],[K(14)'']]</f>
        <v>17.341040462427735</v>
      </c>
      <c r="L295" s="22">
        <f>testdata4[[#This Row],[%K]]-100</f>
        <v>-82.658959537572258</v>
      </c>
      <c r="N295" s="12">
        <v>293</v>
      </c>
      <c r="O295" s="3">
        <v>45335</v>
      </c>
      <c r="P295" s="23" t="s">
        <v>296</v>
      </c>
      <c r="Q295" s="22">
        <f>IF(testdata4[[#This Row],[%R]]&lt;&gt;Table25[[#This Row],[%R]],testdata4[[#This Row],[%R]]-Table25[[#This Row],[%R]],"")</f>
        <v>-5.6843418860808015E-14</v>
      </c>
      <c r="R295" s="11" t="str">
        <f>IF(OR(Table25[[#This Row],[%R]]&lt;-100,Table25[[#This Row],[%R]]&gt;0),"RANGE_ERR","")</f>
        <v>RANGE_ERR</v>
      </c>
    </row>
    <row r="296" spans="1:18" x14ac:dyDescent="0.35">
      <c r="A296" s="6">
        <v>294</v>
      </c>
      <c r="B296" s="3">
        <v>45336</v>
      </c>
      <c r="C296" s="2">
        <v>131</v>
      </c>
      <c r="D296" s="2">
        <v>132.33000000000001</v>
      </c>
      <c r="E296" s="2">
        <v>130.20939999999999</v>
      </c>
      <c r="F296" s="2">
        <v>132.24</v>
      </c>
      <c r="G296" s="1">
        <v>1405219</v>
      </c>
      <c r="H296" s="2">
        <f t="shared" si="10"/>
        <v>128.26</v>
      </c>
      <c r="I296" s="2">
        <f t="shared" si="11"/>
        <v>136.91</v>
      </c>
      <c r="J296" s="22">
        <f>100*(testdata4[[#This Row],[close]]-testdata4[[#This Row],[LL]])/(testdata4[[#This Row],[HH]]-testdata4[[#This Row],[LL]])</f>
        <v>46.011560693641798</v>
      </c>
      <c r="K296" s="22">
        <f>testdata4[[#This Row],[K(14)'']]</f>
        <v>46.011560693641798</v>
      </c>
      <c r="L296" s="22">
        <f>testdata4[[#This Row],[%K]]-100</f>
        <v>-53.988439306358202</v>
      </c>
      <c r="N296" s="12">
        <v>294</v>
      </c>
      <c r="O296" s="3">
        <v>45336</v>
      </c>
      <c r="P296" s="23" t="s">
        <v>297</v>
      </c>
      <c r="Q296" s="22">
        <f>IF(testdata4[[#This Row],[%R]]&lt;&gt;Table25[[#This Row],[%R]],testdata4[[#This Row],[%R]]-Table25[[#This Row],[%R]],"")</f>
        <v>0</v>
      </c>
      <c r="R296" s="11" t="str">
        <f>IF(OR(Table25[[#This Row],[%R]]&lt;-100,Table25[[#This Row],[%R]]&gt;0),"RANGE_ERR","")</f>
        <v>RANGE_ERR</v>
      </c>
    </row>
    <row r="297" spans="1:18" x14ac:dyDescent="0.35">
      <c r="A297" s="6">
        <v>295</v>
      </c>
      <c r="B297" s="3">
        <v>45337</v>
      </c>
      <c r="C297" s="2">
        <v>132.99</v>
      </c>
      <c r="D297" s="2">
        <v>135.595</v>
      </c>
      <c r="E297" s="2">
        <v>132.68</v>
      </c>
      <c r="F297" s="2">
        <v>134.75</v>
      </c>
      <c r="G297" s="1">
        <v>1514490</v>
      </c>
      <c r="H297" s="2">
        <f t="shared" si="10"/>
        <v>128.26</v>
      </c>
      <c r="I297" s="2">
        <f t="shared" si="11"/>
        <v>136.91</v>
      </c>
      <c r="J297" s="22">
        <f>100*(testdata4[[#This Row],[close]]-testdata4[[#This Row],[LL]])/(testdata4[[#This Row],[HH]]-testdata4[[#This Row],[LL]])</f>
        <v>75.028901734104096</v>
      </c>
      <c r="K297" s="22">
        <f>testdata4[[#This Row],[K(14)'']]</f>
        <v>75.028901734104096</v>
      </c>
      <c r="L297" s="22">
        <f>testdata4[[#This Row],[%K]]-100</f>
        <v>-24.971098265895904</v>
      </c>
      <c r="N297" s="12">
        <v>295</v>
      </c>
      <c r="O297" s="3">
        <v>45337</v>
      </c>
      <c r="P297" s="23" t="s">
        <v>298</v>
      </c>
      <c r="Q297" s="22">
        <f>IF(testdata4[[#This Row],[%R]]&lt;&gt;Table25[[#This Row],[%R]],testdata4[[#This Row],[%R]]-Table25[[#This Row],[%R]],"")</f>
        <v>-3.5527136788005009E-15</v>
      </c>
      <c r="R297" s="11" t="str">
        <f>IF(OR(Table25[[#This Row],[%R]]&lt;-100,Table25[[#This Row],[%R]]&gt;0),"RANGE_ERR","")</f>
        <v>RANGE_ERR</v>
      </c>
    </row>
    <row r="298" spans="1:18" x14ac:dyDescent="0.35">
      <c r="A298" s="6">
        <v>296</v>
      </c>
      <c r="B298" s="3">
        <v>45338</v>
      </c>
      <c r="C298" s="2">
        <v>133.59</v>
      </c>
      <c r="D298" s="2">
        <v>136.27000000000001</v>
      </c>
      <c r="E298" s="2">
        <v>133.59</v>
      </c>
      <c r="F298" s="2">
        <v>134.84</v>
      </c>
      <c r="G298" s="1">
        <v>1066838</v>
      </c>
      <c r="H298" s="2">
        <f t="shared" si="10"/>
        <v>128.26</v>
      </c>
      <c r="I298" s="2">
        <f t="shared" si="11"/>
        <v>136.91</v>
      </c>
      <c r="J298" s="22">
        <f>100*(testdata4[[#This Row],[close]]-testdata4[[#This Row],[LL]])/(testdata4[[#This Row],[HH]]-testdata4[[#This Row],[LL]])</f>
        <v>76.069364161849805</v>
      </c>
      <c r="K298" s="22">
        <f>testdata4[[#This Row],[K(14)'']]</f>
        <v>76.069364161849805</v>
      </c>
      <c r="L298" s="22">
        <f>testdata4[[#This Row],[%K]]-100</f>
        <v>-23.930635838150195</v>
      </c>
      <c r="N298" s="12">
        <v>296</v>
      </c>
      <c r="O298" s="3">
        <v>45338</v>
      </c>
      <c r="P298" s="23" t="s">
        <v>299</v>
      </c>
      <c r="Q298" s="22">
        <f>IF(testdata4[[#This Row],[%R]]&lt;&gt;Table25[[#This Row],[%R]],testdata4[[#This Row],[%R]]-Table25[[#This Row],[%R]],"")</f>
        <v>-9.5923269327613525E-14</v>
      </c>
      <c r="R298" s="11" t="str">
        <f>IF(OR(Table25[[#This Row],[%R]]&lt;-100,Table25[[#This Row],[%R]]&gt;0),"RANGE_ERR","")</f>
        <v>RANGE_ERR</v>
      </c>
    </row>
    <row r="299" spans="1:18" x14ac:dyDescent="0.35">
      <c r="A299" s="6">
        <v>297</v>
      </c>
      <c r="B299" s="3">
        <v>45342</v>
      </c>
      <c r="C299" s="2">
        <v>133.66999999999999</v>
      </c>
      <c r="D299" s="2">
        <v>135.33000000000001</v>
      </c>
      <c r="E299" s="2">
        <v>133.57499999999999</v>
      </c>
      <c r="F299" s="2">
        <v>134.13999999999999</v>
      </c>
      <c r="G299" s="1">
        <v>1563909</v>
      </c>
      <c r="H299" s="2">
        <f t="shared" si="10"/>
        <v>128.26</v>
      </c>
      <c r="I299" s="2">
        <f t="shared" si="11"/>
        <v>136.91</v>
      </c>
      <c r="J299" s="22">
        <f>100*(testdata4[[#This Row],[close]]-testdata4[[#This Row],[LL]])/(testdata4[[#This Row],[HH]]-testdata4[[#This Row],[LL]])</f>
        <v>67.976878612716661</v>
      </c>
      <c r="K299" s="22">
        <f>testdata4[[#This Row],[K(14)'']]</f>
        <v>67.976878612716661</v>
      </c>
      <c r="L299" s="22">
        <f>testdata4[[#This Row],[%K]]-100</f>
        <v>-32.023121387283339</v>
      </c>
      <c r="N299" s="12">
        <v>297</v>
      </c>
      <c r="O299" s="3">
        <v>45342</v>
      </c>
      <c r="P299" s="23" t="s">
        <v>300</v>
      </c>
      <c r="Q299" s="22">
        <f>IF(testdata4[[#This Row],[%R]]&lt;&gt;Table25[[#This Row],[%R]],testdata4[[#This Row],[%R]]-Table25[[#This Row],[%R]],"")</f>
        <v>-4.2632564145606011E-14</v>
      </c>
      <c r="R299" s="11" t="str">
        <f>IF(OR(Table25[[#This Row],[%R]]&lt;-100,Table25[[#This Row],[%R]]&gt;0),"RANGE_ERR","")</f>
        <v>RANGE_ERR</v>
      </c>
    </row>
    <row r="300" spans="1:18" x14ac:dyDescent="0.35">
      <c r="A300" s="6">
        <v>298</v>
      </c>
      <c r="B300" s="3">
        <v>45343</v>
      </c>
      <c r="C300" s="2">
        <v>133.36000000000001</v>
      </c>
      <c r="D300" s="2">
        <v>135.44499999999999</v>
      </c>
      <c r="E300" s="2">
        <v>133.16999999999999</v>
      </c>
      <c r="F300" s="2">
        <v>135.33000000000001</v>
      </c>
      <c r="G300" s="1">
        <v>1134724</v>
      </c>
      <c r="H300" s="2">
        <f t="shared" si="10"/>
        <v>128.26</v>
      </c>
      <c r="I300" s="2">
        <f t="shared" si="11"/>
        <v>136.91</v>
      </c>
      <c r="J300" s="22">
        <f>100*(testdata4[[#This Row],[close]]-testdata4[[#This Row],[LL]])/(testdata4[[#This Row],[HH]]-testdata4[[#This Row],[LL]])</f>
        <v>81.734104046242976</v>
      </c>
      <c r="K300" s="22">
        <f>testdata4[[#This Row],[K(14)'']]</f>
        <v>81.734104046242976</v>
      </c>
      <c r="L300" s="22">
        <f>testdata4[[#This Row],[%K]]-100</f>
        <v>-18.265895953757024</v>
      </c>
      <c r="N300" s="12">
        <v>298</v>
      </c>
      <c r="O300" s="3">
        <v>45343</v>
      </c>
      <c r="P300" s="23" t="s">
        <v>301</v>
      </c>
      <c r="Q300" s="22">
        <f>IF(testdata4[[#This Row],[%R]]&lt;&gt;Table25[[#This Row],[%R]],testdata4[[#This Row],[%R]]-Table25[[#This Row],[%R]],"")</f>
        <v>-2.4868995751603507E-14</v>
      </c>
      <c r="R300" s="11" t="str">
        <f>IF(OR(Table25[[#This Row],[%R]]&lt;-100,Table25[[#This Row],[%R]]&gt;0),"RANGE_ERR","")</f>
        <v>RANGE_ERR</v>
      </c>
    </row>
    <row r="301" spans="1:18" x14ac:dyDescent="0.35">
      <c r="A301" s="6">
        <v>299</v>
      </c>
      <c r="B301" s="3">
        <v>45344</v>
      </c>
      <c r="C301" s="2">
        <v>132.47999999999999</v>
      </c>
      <c r="D301" s="2">
        <v>133.03</v>
      </c>
      <c r="E301" s="2">
        <v>129.01499999999999</v>
      </c>
      <c r="F301" s="2">
        <v>132.02000000000001</v>
      </c>
      <c r="G301" s="1">
        <v>2664453</v>
      </c>
      <c r="H301" s="2">
        <f t="shared" si="10"/>
        <v>128.26</v>
      </c>
      <c r="I301" s="2">
        <f t="shared" si="11"/>
        <v>136.91</v>
      </c>
      <c r="J301" s="22">
        <f>100*(testdata4[[#This Row],[close]]-testdata4[[#This Row],[LL]])/(testdata4[[#This Row],[HH]]-testdata4[[#This Row],[LL]])</f>
        <v>43.468208092485746</v>
      </c>
      <c r="K301" s="22">
        <f>testdata4[[#This Row],[K(14)'']]</f>
        <v>43.468208092485746</v>
      </c>
      <c r="L301" s="22">
        <f>testdata4[[#This Row],[%K]]-100</f>
        <v>-56.531791907514254</v>
      </c>
      <c r="N301" s="12">
        <v>299</v>
      </c>
      <c r="O301" s="3">
        <v>45344</v>
      </c>
      <c r="P301" s="23" t="s">
        <v>302</v>
      </c>
      <c r="Q301" s="22">
        <f>IF(testdata4[[#This Row],[%R]]&lt;&gt;Table25[[#This Row],[%R]],testdata4[[#This Row],[%R]]-Table25[[#This Row],[%R]],"")</f>
        <v>-5.6843418860808015E-14</v>
      </c>
      <c r="R301" s="11" t="str">
        <f>IF(OR(Table25[[#This Row],[%R]]&lt;-100,Table25[[#This Row],[%R]]&gt;0),"RANGE_ERR","")</f>
        <v>RANGE_ERR</v>
      </c>
    </row>
    <row r="302" spans="1:18" x14ac:dyDescent="0.35">
      <c r="A302" s="6">
        <v>300</v>
      </c>
      <c r="B302" s="3">
        <v>45345</v>
      </c>
      <c r="C302" s="2">
        <v>132.80000000000001</v>
      </c>
      <c r="D302" s="2">
        <v>133.36000000000001</v>
      </c>
      <c r="E302" s="2">
        <v>131.57</v>
      </c>
      <c r="F302" s="2">
        <v>132.03</v>
      </c>
      <c r="G302" s="1">
        <v>1877997</v>
      </c>
      <c r="H302" s="2">
        <f t="shared" si="10"/>
        <v>128.26</v>
      </c>
      <c r="I302" s="2">
        <f t="shared" si="11"/>
        <v>136.91</v>
      </c>
      <c r="J302" s="22">
        <f>100*(testdata4[[#This Row],[close]]-testdata4[[#This Row],[LL]])/(testdata4[[#This Row],[HH]]-testdata4[[#This Row],[LL]])</f>
        <v>43.583815028901824</v>
      </c>
      <c r="K302" s="22">
        <f>testdata4[[#This Row],[K(14)'']]</f>
        <v>43.583815028901824</v>
      </c>
      <c r="L302" s="22">
        <f>testdata4[[#This Row],[%K]]-100</f>
        <v>-56.416184971098176</v>
      </c>
      <c r="N302" s="12">
        <v>300</v>
      </c>
      <c r="O302" s="3">
        <v>45345</v>
      </c>
      <c r="P302" s="23" t="s">
        <v>303</v>
      </c>
      <c r="Q302" s="22">
        <f>IF(testdata4[[#This Row],[%R]]&lt;&gt;Table25[[#This Row],[%R]],testdata4[[#This Row],[%R]]-Table25[[#This Row],[%R]],"")</f>
        <v>-7.815970093361102E-14</v>
      </c>
      <c r="R302" s="11" t="str">
        <f>IF(OR(Table25[[#This Row],[%R]]&lt;-100,Table25[[#This Row],[%R]]&gt;0),"RANGE_ERR","")</f>
        <v>RANGE_ERR</v>
      </c>
    </row>
    <row r="303" spans="1:18" x14ac:dyDescent="0.35">
      <c r="A303" s="6">
        <v>301</v>
      </c>
      <c r="B303" s="3">
        <v>45348</v>
      </c>
      <c r="C303" s="2">
        <v>131.78</v>
      </c>
      <c r="D303" s="2">
        <v>132.91999999999999</v>
      </c>
      <c r="E303" s="2">
        <v>130.83000000000001</v>
      </c>
      <c r="F303" s="2">
        <v>131.49</v>
      </c>
      <c r="G303" s="1">
        <v>1677474</v>
      </c>
      <c r="H303" s="2">
        <f t="shared" si="10"/>
        <v>128.26</v>
      </c>
      <c r="I303" s="2">
        <f t="shared" si="11"/>
        <v>136.91</v>
      </c>
      <c r="J303" s="22">
        <f>100*(testdata4[[#This Row],[close]]-testdata4[[#This Row],[LL]])/(testdata4[[#This Row],[HH]]-testdata4[[#This Row],[LL]])</f>
        <v>37.341040462427934</v>
      </c>
      <c r="K303" s="22">
        <f>testdata4[[#This Row],[K(14)'']]</f>
        <v>37.341040462427934</v>
      </c>
      <c r="L303" s="22">
        <f>testdata4[[#This Row],[%K]]-100</f>
        <v>-62.658959537572066</v>
      </c>
      <c r="N303" s="12">
        <v>301</v>
      </c>
      <c r="O303" s="3">
        <v>45348</v>
      </c>
      <c r="P303" s="23" t="s">
        <v>304</v>
      </c>
      <c r="Q303" s="22">
        <f>IF(testdata4[[#This Row],[%R]]&lt;&gt;Table25[[#This Row],[%R]],testdata4[[#This Row],[%R]]-Table25[[#This Row],[%R]],"")</f>
        <v>-6.3948846218409017E-14</v>
      </c>
      <c r="R303" s="11" t="str">
        <f>IF(OR(Table25[[#This Row],[%R]]&lt;-100,Table25[[#This Row],[%R]]&gt;0),"RANGE_ERR","")</f>
        <v>RANGE_ERR</v>
      </c>
    </row>
    <row r="304" spans="1:18" x14ac:dyDescent="0.35">
      <c r="A304" s="6">
        <v>302</v>
      </c>
      <c r="B304" s="3">
        <v>45349</v>
      </c>
      <c r="C304" s="2">
        <v>131.44999999999999</v>
      </c>
      <c r="D304" s="2">
        <v>133.18</v>
      </c>
      <c r="E304" s="2">
        <v>130.87</v>
      </c>
      <c r="F304" s="2">
        <v>132.55000000000001</v>
      </c>
      <c r="G304" s="1">
        <v>1772701</v>
      </c>
      <c r="H304" s="2">
        <f t="shared" si="10"/>
        <v>128.26</v>
      </c>
      <c r="I304" s="2">
        <f t="shared" si="11"/>
        <v>136.91</v>
      </c>
      <c r="J304" s="22">
        <f>100*(testdata4[[#This Row],[close]]-testdata4[[#This Row],[LL]])/(testdata4[[#This Row],[HH]]-testdata4[[#This Row],[LL]])</f>
        <v>49.595375722543558</v>
      </c>
      <c r="K304" s="22">
        <f>testdata4[[#This Row],[K(14)'']]</f>
        <v>49.595375722543558</v>
      </c>
      <c r="L304" s="22">
        <f>testdata4[[#This Row],[%K]]-100</f>
        <v>-50.404624277456442</v>
      </c>
      <c r="N304" s="12">
        <v>302</v>
      </c>
      <c r="O304" s="3">
        <v>45349</v>
      </c>
      <c r="P304" s="23" t="s">
        <v>305</v>
      </c>
      <c r="Q304" s="22">
        <f>IF(testdata4[[#This Row],[%R]]&lt;&gt;Table25[[#This Row],[%R]],testdata4[[#This Row],[%R]]-Table25[[#This Row],[%R]],"")</f>
        <v>-4.2632564145606011E-14</v>
      </c>
      <c r="R304" s="11" t="str">
        <f>IF(OR(Table25[[#This Row],[%R]]&lt;-100,Table25[[#This Row],[%R]]&gt;0),"RANGE_ERR","")</f>
        <v>RANGE_ERR</v>
      </c>
    </row>
    <row r="305" spans="1:18" x14ac:dyDescent="0.35">
      <c r="A305" s="6">
        <v>303</v>
      </c>
      <c r="B305" s="3">
        <v>45350</v>
      </c>
      <c r="C305" s="2">
        <v>139.88</v>
      </c>
      <c r="D305" s="2">
        <v>139.88</v>
      </c>
      <c r="E305" s="2">
        <v>136.35</v>
      </c>
      <c r="F305" s="2">
        <v>137.01</v>
      </c>
      <c r="G305" s="1">
        <v>2537079</v>
      </c>
      <c r="H305" s="2">
        <f t="shared" si="10"/>
        <v>128.26</v>
      </c>
      <c r="I305" s="2">
        <f t="shared" si="11"/>
        <v>139.88</v>
      </c>
      <c r="J305" s="22">
        <f>100*(testdata4[[#This Row],[close]]-testdata4[[#This Row],[LL]])/(testdata4[[#This Row],[HH]]-testdata4[[#This Row],[LL]])</f>
        <v>75.301204819277075</v>
      </c>
      <c r="K305" s="22">
        <f>testdata4[[#This Row],[K(14)'']]</f>
        <v>75.301204819277075</v>
      </c>
      <c r="L305" s="22">
        <f>testdata4[[#This Row],[%K]]-100</f>
        <v>-24.698795180722925</v>
      </c>
      <c r="N305" s="12">
        <v>303</v>
      </c>
      <c r="O305" s="3">
        <v>45350</v>
      </c>
      <c r="P305" s="23" t="s">
        <v>306</v>
      </c>
      <c r="Q305" s="22">
        <f>IF(testdata4[[#This Row],[%R]]&lt;&gt;Table25[[#This Row],[%R]],testdata4[[#This Row],[%R]]-Table25[[#This Row],[%R]],"")</f>
        <v>-2.4868995751603507E-14</v>
      </c>
      <c r="R305" s="11" t="str">
        <f>IF(OR(Table25[[#This Row],[%R]]&lt;-100,Table25[[#This Row],[%R]]&gt;0),"RANGE_ERR","")</f>
        <v>RANGE_ERR</v>
      </c>
    </row>
    <row r="306" spans="1:18" x14ac:dyDescent="0.35">
      <c r="A306" s="6">
        <v>304</v>
      </c>
      <c r="B306" s="3">
        <v>45351</v>
      </c>
      <c r="C306" s="2">
        <v>137.51</v>
      </c>
      <c r="D306" s="2">
        <v>138.03</v>
      </c>
      <c r="E306" s="2">
        <v>135.86000000000001</v>
      </c>
      <c r="F306" s="2">
        <v>137.36000000000001</v>
      </c>
      <c r="G306" s="1">
        <v>2622608</v>
      </c>
      <c r="H306" s="2">
        <f t="shared" si="10"/>
        <v>128.26</v>
      </c>
      <c r="I306" s="2">
        <f t="shared" si="11"/>
        <v>139.88</v>
      </c>
      <c r="J306" s="22">
        <f>100*(testdata4[[#This Row],[close]]-testdata4[[#This Row],[LL]])/(testdata4[[#This Row],[HH]]-testdata4[[#This Row],[LL]])</f>
        <v>78.313253012048364</v>
      </c>
      <c r="K306" s="22">
        <f>testdata4[[#This Row],[K(14)'']]</f>
        <v>78.313253012048364</v>
      </c>
      <c r="L306" s="22">
        <f>testdata4[[#This Row],[%K]]-100</f>
        <v>-21.686746987951636</v>
      </c>
      <c r="N306" s="12">
        <v>304</v>
      </c>
      <c r="O306" s="3">
        <v>45351</v>
      </c>
      <c r="P306" s="23" t="s">
        <v>307</v>
      </c>
      <c r="Q306" s="22">
        <f>IF(testdata4[[#This Row],[%R]]&lt;&gt;Table25[[#This Row],[%R]],testdata4[[#This Row],[%R]]-Table25[[#This Row],[%R]],"")</f>
        <v>-3.5527136788005009E-14</v>
      </c>
      <c r="R306" s="11" t="str">
        <f>IF(OR(Table25[[#This Row],[%R]]&lt;-100,Table25[[#This Row],[%R]]&gt;0),"RANGE_ERR","")</f>
        <v>RANGE_ERR</v>
      </c>
    </row>
    <row r="307" spans="1:18" x14ac:dyDescent="0.35">
      <c r="A307" s="6">
        <v>305</v>
      </c>
      <c r="B307" s="3">
        <v>45352</v>
      </c>
      <c r="C307" s="2">
        <v>137.03</v>
      </c>
      <c r="D307" s="2">
        <v>139.15</v>
      </c>
      <c r="E307" s="2">
        <v>134.66999999999999</v>
      </c>
      <c r="F307" s="2">
        <v>139.06</v>
      </c>
      <c r="G307" s="1">
        <v>1531000</v>
      </c>
      <c r="H307" s="2">
        <f t="shared" si="10"/>
        <v>128.26</v>
      </c>
      <c r="I307" s="2">
        <f t="shared" si="11"/>
        <v>139.88</v>
      </c>
      <c r="J307" s="22">
        <f>100*(testdata4[[#This Row],[close]]-testdata4[[#This Row],[LL]])/(testdata4[[#This Row],[HH]]-testdata4[[#This Row],[LL]])</f>
        <v>92.943201376936372</v>
      </c>
      <c r="K307" s="22">
        <f>testdata4[[#This Row],[K(14)'']]</f>
        <v>92.943201376936372</v>
      </c>
      <c r="L307" s="22">
        <f>testdata4[[#This Row],[%K]]-100</f>
        <v>-7.0567986230636279</v>
      </c>
      <c r="N307" s="12">
        <v>305</v>
      </c>
      <c r="O307" s="3">
        <v>45352</v>
      </c>
      <c r="P307" s="23" t="s">
        <v>308</v>
      </c>
      <c r="Q307" s="22">
        <f>IF(testdata4[[#This Row],[%R]]&lt;&gt;Table25[[#This Row],[%R]],testdata4[[#This Row],[%R]]-Table25[[#This Row],[%R]],"")</f>
        <v>-7.9936057773011271E-15</v>
      </c>
      <c r="R307" s="11" t="str">
        <f>IF(OR(Table25[[#This Row],[%R]]&lt;-100,Table25[[#This Row],[%R]]&gt;0),"RANGE_ERR","")</f>
        <v>RANGE_ERR</v>
      </c>
    </row>
    <row r="308" spans="1:18" x14ac:dyDescent="0.35">
      <c r="A308" s="6">
        <v>306</v>
      </c>
      <c r="B308" s="3">
        <v>45355</v>
      </c>
      <c r="C308" s="2">
        <v>139.15</v>
      </c>
      <c r="D308" s="2">
        <v>143.49</v>
      </c>
      <c r="E308" s="2">
        <v>138.81</v>
      </c>
      <c r="F308" s="2">
        <v>142.86000000000001</v>
      </c>
      <c r="G308" s="1">
        <v>2169240</v>
      </c>
      <c r="H308" s="2">
        <f t="shared" si="10"/>
        <v>128.26</v>
      </c>
      <c r="I308" s="2">
        <f t="shared" si="11"/>
        <v>143.49</v>
      </c>
      <c r="J308" s="22">
        <f>100*(testdata4[[#This Row],[close]]-testdata4[[#This Row],[LL]])/(testdata4[[#This Row],[HH]]-testdata4[[#This Row],[LL]])</f>
        <v>95.863427445830638</v>
      </c>
      <c r="K308" s="22">
        <f>testdata4[[#This Row],[K(14)'']]</f>
        <v>95.863427445830638</v>
      </c>
      <c r="L308" s="22">
        <f>testdata4[[#This Row],[%K]]-100</f>
        <v>-4.1365725541693621</v>
      </c>
      <c r="N308" s="12">
        <v>306</v>
      </c>
      <c r="O308" s="3">
        <v>45355</v>
      </c>
      <c r="P308" s="23" t="s">
        <v>309</v>
      </c>
      <c r="Q308" s="22">
        <f>IF(testdata4[[#This Row],[%R]]&lt;&gt;Table25[[#This Row],[%R]],testdata4[[#This Row],[%R]]-Table25[[#This Row],[%R]],"")</f>
        <v>-1.7763568394002505E-15</v>
      </c>
      <c r="R308" s="11" t="str">
        <f>IF(OR(Table25[[#This Row],[%R]]&lt;-100,Table25[[#This Row],[%R]]&gt;0),"RANGE_ERR","")</f>
        <v>RANGE_ERR</v>
      </c>
    </row>
    <row r="309" spans="1:18" x14ac:dyDescent="0.35">
      <c r="A309" s="6">
        <v>307</v>
      </c>
      <c r="B309" s="3">
        <v>45356</v>
      </c>
      <c r="C309" s="2">
        <v>143</v>
      </c>
      <c r="D309" s="2">
        <v>146.4</v>
      </c>
      <c r="E309" s="2">
        <v>143</v>
      </c>
      <c r="F309" s="2">
        <v>144.35</v>
      </c>
      <c r="G309" s="1">
        <v>2622599</v>
      </c>
      <c r="H309" s="2">
        <f t="shared" si="10"/>
        <v>129.01499999999999</v>
      </c>
      <c r="I309" s="2">
        <f t="shared" si="11"/>
        <v>146.4</v>
      </c>
      <c r="J309" s="22">
        <f>100*(testdata4[[#This Row],[close]]-testdata4[[#This Row],[LL]])/(testdata4[[#This Row],[HH]]-testdata4[[#This Row],[LL]])</f>
        <v>88.208225481737088</v>
      </c>
      <c r="K309" s="22">
        <f>testdata4[[#This Row],[K(14)'']]</f>
        <v>88.208225481737088</v>
      </c>
      <c r="L309" s="22">
        <f>testdata4[[#This Row],[%K]]-100</f>
        <v>-11.791774518262912</v>
      </c>
      <c r="N309" s="12">
        <v>307</v>
      </c>
      <c r="O309" s="3">
        <v>45356</v>
      </c>
      <c r="P309" s="23" t="s">
        <v>310</v>
      </c>
      <c r="Q309" s="22">
        <f>IF(testdata4[[#This Row],[%R]]&lt;&gt;Table25[[#This Row],[%R]],testdata4[[#This Row],[%R]]-Table25[[#This Row],[%R]],"")</f>
        <v>-1.2434497875801753E-14</v>
      </c>
      <c r="R309" s="11" t="str">
        <f>IF(OR(Table25[[#This Row],[%R]]&lt;-100,Table25[[#This Row],[%R]]&gt;0),"RANGE_ERR","")</f>
        <v>RANGE_ERR</v>
      </c>
    </row>
    <row r="310" spans="1:18" x14ac:dyDescent="0.35">
      <c r="A310" s="6">
        <v>308</v>
      </c>
      <c r="B310" s="3">
        <v>45357</v>
      </c>
      <c r="C310" s="2">
        <v>145</v>
      </c>
      <c r="D310" s="2">
        <v>147.44</v>
      </c>
      <c r="E310" s="2">
        <v>144.75</v>
      </c>
      <c r="F310" s="2">
        <v>146.22</v>
      </c>
      <c r="G310" s="1">
        <v>2357946</v>
      </c>
      <c r="H310" s="2">
        <f t="shared" si="10"/>
        <v>129.01499999999999</v>
      </c>
      <c r="I310" s="2">
        <f t="shared" si="11"/>
        <v>147.44</v>
      </c>
      <c r="J310" s="22">
        <f>100*(testdata4[[#This Row],[close]]-testdata4[[#This Row],[LL]])/(testdata4[[#This Row],[HH]]-testdata4[[#This Row],[LL]])</f>
        <v>93.378561736770706</v>
      </c>
      <c r="K310" s="22">
        <f>testdata4[[#This Row],[K(14)'']]</f>
        <v>93.378561736770706</v>
      </c>
      <c r="L310" s="22">
        <f>testdata4[[#This Row],[%K]]-100</f>
        <v>-6.6214382632292939</v>
      </c>
      <c r="N310" s="12">
        <v>308</v>
      </c>
      <c r="O310" s="3">
        <v>45357</v>
      </c>
      <c r="P310" s="23" t="s">
        <v>311</v>
      </c>
      <c r="Q310" s="22">
        <f>IF(testdata4[[#This Row],[%R]]&lt;&gt;Table25[[#This Row],[%R]],testdata4[[#This Row],[%R]]-Table25[[#This Row],[%R]],"")</f>
        <v>-3.5527136788005009E-15</v>
      </c>
      <c r="R310" s="11" t="str">
        <f>IF(OR(Table25[[#This Row],[%R]]&lt;-100,Table25[[#This Row],[%R]]&gt;0),"RANGE_ERR","")</f>
        <v>RANGE_ERR</v>
      </c>
    </row>
    <row r="311" spans="1:18" x14ac:dyDescent="0.35">
      <c r="A311" s="6">
        <v>309</v>
      </c>
      <c r="B311" s="3">
        <v>45358</v>
      </c>
      <c r="C311" s="2">
        <v>147.09</v>
      </c>
      <c r="D311" s="2">
        <v>149.63999999999999</v>
      </c>
      <c r="E311" s="2">
        <v>147.09</v>
      </c>
      <c r="F311" s="2">
        <v>149.31</v>
      </c>
      <c r="G311" s="1">
        <v>1942872</v>
      </c>
      <c r="H311" s="2">
        <f t="shared" si="10"/>
        <v>129.01499999999999</v>
      </c>
      <c r="I311" s="2">
        <f t="shared" si="11"/>
        <v>149.63999999999999</v>
      </c>
      <c r="J311" s="22">
        <f>100*(testdata4[[#This Row],[close]]-testdata4[[#This Row],[LL]])/(testdata4[[#This Row],[HH]]-testdata4[[#This Row],[LL]])</f>
        <v>98.400000000000077</v>
      </c>
      <c r="K311" s="22">
        <f>testdata4[[#This Row],[K(14)'']]</f>
        <v>98.400000000000077</v>
      </c>
      <c r="L311" s="22">
        <f>testdata4[[#This Row],[%K]]-100</f>
        <v>-1.5999999999999233</v>
      </c>
      <c r="N311" s="12">
        <v>309</v>
      </c>
      <c r="O311" s="3">
        <v>45358</v>
      </c>
      <c r="P311" s="23" t="s">
        <v>312</v>
      </c>
      <c r="Q311" s="22">
        <f>IF(testdata4[[#This Row],[%R]]&lt;&gt;Table25[[#This Row],[%R]],testdata4[[#This Row],[%R]]-Table25[[#This Row],[%R]],"")</f>
        <v>-3.3306690738754696E-15</v>
      </c>
      <c r="R311" s="11" t="str">
        <f>IF(OR(Table25[[#This Row],[%R]]&lt;-100,Table25[[#This Row],[%R]]&gt;0),"RANGE_ERR","")</f>
        <v>RANGE_ERR</v>
      </c>
    </row>
    <row r="312" spans="1:18" x14ac:dyDescent="0.35">
      <c r="A312" s="6">
        <v>310</v>
      </c>
      <c r="B312" s="3">
        <v>45359</v>
      </c>
      <c r="C312" s="2">
        <v>149.63999999999999</v>
      </c>
      <c r="D312" s="2">
        <v>151.58000000000001</v>
      </c>
      <c r="E312" s="2">
        <v>147.85</v>
      </c>
      <c r="F312" s="2">
        <v>147.87</v>
      </c>
      <c r="G312" s="1">
        <v>1588318</v>
      </c>
      <c r="H312" s="2">
        <f t="shared" si="10"/>
        <v>129.01499999999999</v>
      </c>
      <c r="I312" s="2">
        <f t="shared" si="11"/>
        <v>151.58000000000001</v>
      </c>
      <c r="J312" s="22">
        <f>100*(testdata4[[#This Row],[close]]-testdata4[[#This Row],[LL]])/(testdata4[[#This Row],[HH]]-testdata4[[#This Row],[LL]])</f>
        <v>83.558608464436062</v>
      </c>
      <c r="K312" s="22">
        <f>testdata4[[#This Row],[K(14)'']]</f>
        <v>83.558608464436062</v>
      </c>
      <c r="L312" s="22">
        <f>testdata4[[#This Row],[%K]]-100</f>
        <v>-16.441391535563938</v>
      </c>
      <c r="N312" s="12">
        <v>310</v>
      </c>
      <c r="O312" s="3">
        <v>45359</v>
      </c>
      <c r="P312" s="23" t="s">
        <v>313</v>
      </c>
      <c r="Q312" s="22">
        <f>IF(testdata4[[#This Row],[%R]]&lt;&gt;Table25[[#This Row],[%R]],testdata4[[#This Row],[%R]]-Table25[[#This Row],[%R]],"")</f>
        <v>-3.907985046680551E-14</v>
      </c>
      <c r="R312" s="11" t="str">
        <f>IF(OR(Table25[[#This Row],[%R]]&lt;-100,Table25[[#This Row],[%R]]&gt;0),"RANGE_ERR","")</f>
        <v>RANGE_ERR</v>
      </c>
    </row>
    <row r="313" spans="1:18" x14ac:dyDescent="0.35">
      <c r="A313" s="6">
        <v>311</v>
      </c>
      <c r="B313" s="3">
        <v>45362</v>
      </c>
      <c r="C313" s="2">
        <v>148</v>
      </c>
      <c r="D313" s="2">
        <v>149.28</v>
      </c>
      <c r="E313" s="2">
        <v>146.12</v>
      </c>
      <c r="F313" s="2">
        <v>147.29</v>
      </c>
      <c r="G313" s="1">
        <v>1397577</v>
      </c>
      <c r="H313" s="2">
        <f t="shared" si="10"/>
        <v>129.01499999999999</v>
      </c>
      <c r="I313" s="2">
        <f t="shared" si="11"/>
        <v>151.58000000000001</v>
      </c>
      <c r="J313" s="22">
        <f>100*(testdata4[[#This Row],[close]]-testdata4[[#This Row],[LL]])/(testdata4[[#This Row],[HH]]-testdata4[[#This Row],[LL]])</f>
        <v>80.988256148903091</v>
      </c>
      <c r="K313" s="22">
        <f>testdata4[[#This Row],[K(14)'']]</f>
        <v>80.988256148903091</v>
      </c>
      <c r="L313" s="22">
        <f>testdata4[[#This Row],[%K]]-100</f>
        <v>-19.011743851096909</v>
      </c>
      <c r="N313" s="12">
        <v>311</v>
      </c>
      <c r="O313" s="3">
        <v>45362</v>
      </c>
      <c r="P313" s="23" t="s">
        <v>314</v>
      </c>
      <c r="Q313" s="22">
        <f>IF(testdata4[[#This Row],[%R]]&lt;&gt;Table25[[#This Row],[%R]],testdata4[[#This Row],[%R]]-Table25[[#This Row],[%R]],"")</f>
        <v>-1.0658141036401503E-14</v>
      </c>
      <c r="R313" s="11" t="str">
        <f>IF(OR(Table25[[#This Row],[%R]]&lt;-100,Table25[[#This Row],[%R]]&gt;0),"RANGE_ERR","")</f>
        <v>RANGE_ERR</v>
      </c>
    </row>
    <row r="314" spans="1:18" x14ac:dyDescent="0.35">
      <c r="A314" s="6">
        <v>312</v>
      </c>
      <c r="B314" s="3">
        <v>45363</v>
      </c>
      <c r="C314" s="2">
        <v>147.61000000000001</v>
      </c>
      <c r="D314" s="2">
        <v>149.47499999999999</v>
      </c>
      <c r="E314" s="2">
        <v>147.24199999999999</v>
      </c>
      <c r="F314" s="2">
        <v>147.84</v>
      </c>
      <c r="G314" s="1">
        <v>1192289</v>
      </c>
      <c r="H314" s="2">
        <f t="shared" si="10"/>
        <v>129.01499999999999</v>
      </c>
      <c r="I314" s="2">
        <f t="shared" si="11"/>
        <v>151.58000000000001</v>
      </c>
      <c r="J314" s="22">
        <f>100*(testdata4[[#This Row],[close]]-testdata4[[#This Row],[LL]])/(testdata4[[#This Row],[HH]]-testdata4[[#This Row],[LL]])</f>
        <v>83.425659206736086</v>
      </c>
      <c r="K314" s="22">
        <f>testdata4[[#This Row],[K(14)'']]</f>
        <v>83.425659206736086</v>
      </c>
      <c r="L314" s="22">
        <f>testdata4[[#This Row],[%K]]-100</f>
        <v>-16.574340793263914</v>
      </c>
      <c r="N314" s="12">
        <v>312</v>
      </c>
      <c r="O314" s="3">
        <v>45363</v>
      </c>
      <c r="P314" s="23" t="s">
        <v>315</v>
      </c>
      <c r="Q314" s="22">
        <f>IF(testdata4[[#This Row],[%R]]&lt;&gt;Table25[[#This Row],[%R]],testdata4[[#This Row],[%R]]-Table25[[#This Row],[%R]],"")</f>
        <v>-1.4210854715202004E-14</v>
      </c>
      <c r="R314" s="11" t="str">
        <f>IF(OR(Table25[[#This Row],[%R]]&lt;-100,Table25[[#This Row],[%R]]&gt;0),"RANGE_ERR","")</f>
        <v>RANGE_ERR</v>
      </c>
    </row>
    <row r="315" spans="1:18" x14ac:dyDescent="0.35">
      <c r="A315" s="6">
        <v>313</v>
      </c>
      <c r="B315" s="3">
        <v>45364</v>
      </c>
      <c r="C315" s="2">
        <v>148.16999999999999</v>
      </c>
      <c r="D315" s="2">
        <v>149.10499999999999</v>
      </c>
      <c r="E315" s="2">
        <v>147.54</v>
      </c>
      <c r="F315" s="2">
        <v>147.82</v>
      </c>
      <c r="G315" s="1">
        <v>2231544</v>
      </c>
      <c r="H315" s="2">
        <f t="shared" si="10"/>
        <v>130.83000000000001</v>
      </c>
      <c r="I315" s="2">
        <f t="shared" si="11"/>
        <v>151.58000000000001</v>
      </c>
      <c r="J315" s="22">
        <f>100*(testdata4[[#This Row],[close]]-testdata4[[#This Row],[LL]])/(testdata4[[#This Row],[HH]]-testdata4[[#This Row],[LL]])</f>
        <v>81.879518072289073</v>
      </c>
      <c r="K315" s="22">
        <f>testdata4[[#This Row],[K(14)'']]</f>
        <v>81.879518072289073</v>
      </c>
      <c r="L315" s="22">
        <f>testdata4[[#This Row],[%K]]-100</f>
        <v>-18.120481927710927</v>
      </c>
      <c r="N315" s="12">
        <v>313</v>
      </c>
      <c r="O315" s="3">
        <v>45364</v>
      </c>
      <c r="P315" s="23" t="s">
        <v>316</v>
      </c>
      <c r="Q315" s="22">
        <f>IF(testdata4[[#This Row],[%R]]&lt;&gt;Table25[[#This Row],[%R]],testdata4[[#This Row],[%R]]-Table25[[#This Row],[%R]],"")</f>
        <v>-2.4868995751603507E-14</v>
      </c>
      <c r="R315" s="11" t="str">
        <f>IF(OR(Table25[[#This Row],[%R]]&lt;-100,Table25[[#This Row],[%R]]&gt;0),"RANGE_ERR","")</f>
        <v>RANGE_ERR</v>
      </c>
    </row>
    <row r="316" spans="1:18" x14ac:dyDescent="0.35">
      <c r="A316" s="6">
        <v>314</v>
      </c>
      <c r="B316" s="3">
        <v>45365</v>
      </c>
      <c r="C316" s="2">
        <v>147.9</v>
      </c>
      <c r="D316" s="2">
        <v>148.25</v>
      </c>
      <c r="E316" s="2">
        <v>144.29</v>
      </c>
      <c r="F316" s="2">
        <v>145.21</v>
      </c>
      <c r="G316" s="1">
        <v>2098229</v>
      </c>
      <c r="H316" s="2">
        <f t="shared" si="10"/>
        <v>130.83000000000001</v>
      </c>
      <c r="I316" s="2">
        <f t="shared" si="11"/>
        <v>151.58000000000001</v>
      </c>
      <c r="J316" s="22">
        <f>100*(testdata4[[#This Row],[close]]-testdata4[[#This Row],[LL]])/(testdata4[[#This Row],[HH]]-testdata4[[#This Row],[LL]])</f>
        <v>69.301204819277089</v>
      </c>
      <c r="K316" s="22">
        <f>testdata4[[#This Row],[K(14)'']]</f>
        <v>69.301204819277089</v>
      </c>
      <c r="L316" s="22">
        <f>testdata4[[#This Row],[%K]]-100</f>
        <v>-30.698795180722911</v>
      </c>
      <c r="N316" s="12">
        <v>314</v>
      </c>
      <c r="O316" s="3">
        <v>45365</v>
      </c>
      <c r="P316" s="23" t="s">
        <v>317</v>
      </c>
      <c r="Q316" s="22">
        <f>IF(testdata4[[#This Row],[%R]]&lt;&gt;Table25[[#This Row],[%R]],testdata4[[#This Row],[%R]]-Table25[[#This Row],[%R]],"")</f>
        <v>-1.0658141036401503E-14</v>
      </c>
      <c r="R316" s="11" t="str">
        <f>IF(OR(Table25[[#This Row],[%R]]&lt;-100,Table25[[#This Row],[%R]]&gt;0),"RANGE_ERR","")</f>
        <v>RANGE_ERR</v>
      </c>
    </row>
    <row r="317" spans="1:18" x14ac:dyDescent="0.35">
      <c r="A317" s="6">
        <v>315</v>
      </c>
      <c r="B317" s="3">
        <v>45366</v>
      </c>
      <c r="C317" s="2">
        <v>143.99</v>
      </c>
      <c r="D317" s="2">
        <v>148.65</v>
      </c>
      <c r="E317" s="2">
        <v>143.99</v>
      </c>
      <c r="F317" s="2">
        <v>147.47999999999999</v>
      </c>
      <c r="G317" s="1">
        <v>3775456</v>
      </c>
      <c r="H317" s="2">
        <f t="shared" si="10"/>
        <v>130.87</v>
      </c>
      <c r="I317" s="2">
        <f t="shared" si="11"/>
        <v>151.58000000000001</v>
      </c>
      <c r="J317" s="22">
        <f>100*(testdata4[[#This Row],[close]]-testdata4[[#This Row],[LL]])/(testdata4[[#This Row],[HH]]-testdata4[[#This Row],[LL]])</f>
        <v>80.202800579430132</v>
      </c>
      <c r="K317" s="22">
        <f>testdata4[[#This Row],[K(14)'']]</f>
        <v>80.202800579430132</v>
      </c>
      <c r="L317" s="22">
        <f>testdata4[[#This Row],[%K]]-100</f>
        <v>-19.797199420569868</v>
      </c>
      <c r="N317" s="12">
        <v>315</v>
      </c>
      <c r="O317" s="3">
        <v>45366</v>
      </c>
      <c r="P317" s="23" t="s">
        <v>318</v>
      </c>
      <c r="Q317" s="22">
        <f>IF(testdata4[[#This Row],[%R]]&lt;&gt;Table25[[#This Row],[%R]],testdata4[[#This Row],[%R]]-Table25[[#This Row],[%R]],"")</f>
        <v>-6.7501559897209518E-14</v>
      </c>
      <c r="R317" s="11" t="str">
        <f>IF(OR(Table25[[#This Row],[%R]]&lt;-100,Table25[[#This Row],[%R]]&gt;0),"RANGE_ERR","")</f>
        <v>RANGE_ERR</v>
      </c>
    </row>
    <row r="318" spans="1:18" x14ac:dyDescent="0.35">
      <c r="A318" s="6">
        <v>316</v>
      </c>
      <c r="B318" s="3">
        <v>45369</v>
      </c>
      <c r="C318" s="2">
        <v>147.88</v>
      </c>
      <c r="D318" s="2">
        <v>148.36000000000001</v>
      </c>
      <c r="E318" s="2">
        <v>145.89500000000001</v>
      </c>
      <c r="F318" s="2">
        <v>146.09</v>
      </c>
      <c r="G318" s="1">
        <v>2281316</v>
      </c>
      <c r="H318" s="2">
        <f t="shared" si="10"/>
        <v>134.66999999999999</v>
      </c>
      <c r="I318" s="2">
        <f t="shared" si="11"/>
        <v>151.58000000000001</v>
      </c>
      <c r="J318" s="22">
        <f>100*(testdata4[[#This Row],[close]]-testdata4[[#This Row],[LL]])/(testdata4[[#This Row],[HH]]-testdata4[[#This Row],[LL]])</f>
        <v>67.534003548196324</v>
      </c>
      <c r="K318" s="22">
        <f>testdata4[[#This Row],[K(14)'']]</f>
        <v>67.534003548196324</v>
      </c>
      <c r="L318" s="22">
        <f>testdata4[[#This Row],[%K]]-100</f>
        <v>-32.465996451803676</v>
      </c>
      <c r="N318" s="12">
        <v>316</v>
      </c>
      <c r="O318" s="3">
        <v>45369</v>
      </c>
      <c r="P318" s="23" t="s">
        <v>319</v>
      </c>
      <c r="Q318" s="22">
        <f>IF(testdata4[[#This Row],[%R]]&lt;&gt;Table25[[#This Row],[%R]],testdata4[[#This Row],[%R]]-Table25[[#This Row],[%R]],"")</f>
        <v>-7.815970093361102E-14</v>
      </c>
      <c r="R318" s="11" t="str">
        <f>IF(OR(Table25[[#This Row],[%R]]&lt;-100,Table25[[#This Row],[%R]]&gt;0),"RANGE_ERR","")</f>
        <v>RANGE_ERR</v>
      </c>
    </row>
    <row r="319" spans="1:18" x14ac:dyDescent="0.35">
      <c r="A319" s="6">
        <v>317</v>
      </c>
      <c r="B319" s="3">
        <v>45370</v>
      </c>
      <c r="C319" s="2">
        <v>145.99</v>
      </c>
      <c r="D319" s="2">
        <v>147.57</v>
      </c>
      <c r="E319" s="2">
        <v>145.47</v>
      </c>
      <c r="F319" s="2">
        <v>147.38999999999999</v>
      </c>
      <c r="G319" s="1">
        <v>1976201</v>
      </c>
      <c r="H319" s="2">
        <f t="shared" si="10"/>
        <v>134.66999999999999</v>
      </c>
      <c r="I319" s="2">
        <f t="shared" si="11"/>
        <v>151.58000000000001</v>
      </c>
      <c r="J319" s="22">
        <f>100*(testdata4[[#This Row],[close]]-testdata4[[#This Row],[LL]])/(testdata4[[#This Row],[HH]]-testdata4[[#This Row],[LL]])</f>
        <v>75.221762270845545</v>
      </c>
      <c r="K319" s="22">
        <f>testdata4[[#This Row],[K(14)'']]</f>
        <v>75.221762270845545</v>
      </c>
      <c r="L319" s="22">
        <f>testdata4[[#This Row],[%K]]-100</f>
        <v>-24.778237729154455</v>
      </c>
      <c r="N319" s="12">
        <v>317</v>
      </c>
      <c r="O319" s="3">
        <v>45370</v>
      </c>
      <c r="P319" s="23" t="s">
        <v>320</v>
      </c>
      <c r="Q319" s="22">
        <f>IF(testdata4[[#This Row],[%R]]&lt;&gt;Table25[[#This Row],[%R]],testdata4[[#This Row],[%R]]-Table25[[#This Row],[%R]],"")</f>
        <v>-5.3290705182007514E-14</v>
      </c>
      <c r="R319" s="11" t="str">
        <f>IF(OR(Table25[[#This Row],[%R]]&lt;-100,Table25[[#This Row],[%R]]&gt;0),"RANGE_ERR","")</f>
        <v>RANGE_ERR</v>
      </c>
    </row>
    <row r="320" spans="1:18" x14ac:dyDescent="0.35">
      <c r="A320" s="6">
        <v>318</v>
      </c>
      <c r="B320" s="3">
        <v>45371</v>
      </c>
      <c r="C320" s="2">
        <v>147.21</v>
      </c>
      <c r="D320" s="2">
        <v>147.71</v>
      </c>
      <c r="E320" s="2">
        <v>146.38</v>
      </c>
      <c r="F320" s="2">
        <v>147.28</v>
      </c>
      <c r="G320" s="1">
        <v>1526485</v>
      </c>
      <c r="H320" s="2">
        <f t="shared" si="10"/>
        <v>134.66999999999999</v>
      </c>
      <c r="I320" s="2">
        <f t="shared" si="11"/>
        <v>151.58000000000001</v>
      </c>
      <c r="J320" s="22">
        <f>100*(testdata4[[#This Row],[close]]-testdata4[[#This Row],[LL]])/(testdata4[[#This Row],[HH]]-testdata4[[#This Row],[LL]])</f>
        <v>74.571259609698373</v>
      </c>
      <c r="K320" s="22">
        <f>testdata4[[#This Row],[K(14)'']]</f>
        <v>74.571259609698373</v>
      </c>
      <c r="L320" s="22">
        <f>testdata4[[#This Row],[%K]]-100</f>
        <v>-25.428740390301627</v>
      </c>
      <c r="N320" s="12">
        <v>318</v>
      </c>
      <c r="O320" s="3">
        <v>45371</v>
      </c>
      <c r="P320" s="23" t="s">
        <v>321</v>
      </c>
      <c r="Q320" s="22">
        <f>IF(testdata4[[#This Row],[%R]]&lt;&gt;Table25[[#This Row],[%R]],testdata4[[#This Row],[%R]]-Table25[[#This Row],[%R]],"")</f>
        <v>-2.8421709430404007E-14</v>
      </c>
      <c r="R320" s="11" t="str">
        <f>IF(OR(Table25[[#This Row],[%R]]&lt;-100,Table25[[#This Row],[%R]]&gt;0),"RANGE_ERR","")</f>
        <v>RANGE_ERR</v>
      </c>
    </row>
    <row r="321" spans="1:18" x14ac:dyDescent="0.35">
      <c r="A321" s="6">
        <v>319</v>
      </c>
      <c r="B321" s="3">
        <v>45372</v>
      </c>
      <c r="C321" s="2">
        <v>147.58000000000001</v>
      </c>
      <c r="D321" s="2">
        <v>150.13999999999999</v>
      </c>
      <c r="E321" s="2">
        <v>147.17500000000001</v>
      </c>
      <c r="F321" s="2">
        <v>148.74</v>
      </c>
      <c r="G321" s="1">
        <v>1574232</v>
      </c>
      <c r="H321" s="2">
        <f t="shared" si="10"/>
        <v>138.81</v>
      </c>
      <c r="I321" s="2">
        <f t="shared" si="11"/>
        <v>151.58000000000001</v>
      </c>
      <c r="J321" s="22">
        <f>100*(testdata4[[#This Row],[close]]-testdata4[[#This Row],[LL]])/(testdata4[[#This Row],[HH]]-testdata4[[#This Row],[LL]])</f>
        <v>77.760375880971011</v>
      </c>
      <c r="K321" s="22">
        <f>testdata4[[#This Row],[K(14)'']]</f>
        <v>77.760375880971011</v>
      </c>
      <c r="L321" s="22">
        <f>testdata4[[#This Row],[%K]]-100</f>
        <v>-22.239624119028989</v>
      </c>
      <c r="N321" s="12">
        <v>319</v>
      </c>
      <c r="O321" s="3">
        <v>45372</v>
      </c>
      <c r="P321" s="23" t="s">
        <v>322</v>
      </c>
      <c r="Q321" s="22">
        <f>IF(testdata4[[#This Row],[%R]]&lt;&gt;Table25[[#This Row],[%R]],testdata4[[#This Row],[%R]]-Table25[[#This Row],[%R]],"")</f>
        <v>-8.8817841970012523E-14</v>
      </c>
      <c r="R321" s="11" t="str">
        <f>IF(OR(Table25[[#This Row],[%R]]&lt;-100,Table25[[#This Row],[%R]]&gt;0),"RANGE_ERR","")</f>
        <v>RANGE_ERR</v>
      </c>
    </row>
    <row r="322" spans="1:18" x14ac:dyDescent="0.35">
      <c r="A322" s="6">
        <v>320</v>
      </c>
      <c r="B322" s="3">
        <v>45373</v>
      </c>
      <c r="C322" s="2">
        <v>148.85</v>
      </c>
      <c r="D322" s="2">
        <v>149.28</v>
      </c>
      <c r="E322" s="2">
        <v>146.41999999999999</v>
      </c>
      <c r="F322" s="2">
        <v>147.44999999999999</v>
      </c>
      <c r="G322" s="1">
        <v>1076551</v>
      </c>
      <c r="H322" s="2">
        <f t="shared" si="10"/>
        <v>143</v>
      </c>
      <c r="I322" s="2">
        <f t="shared" si="11"/>
        <v>151.58000000000001</v>
      </c>
      <c r="J322" s="22">
        <f>100*(testdata4[[#This Row],[close]]-testdata4[[#This Row],[LL]])/(testdata4[[#This Row],[HH]]-testdata4[[#This Row],[LL]])</f>
        <v>51.864801864801656</v>
      </c>
      <c r="K322" s="22">
        <f>testdata4[[#This Row],[K(14)'']]</f>
        <v>51.864801864801656</v>
      </c>
      <c r="L322" s="22">
        <f>testdata4[[#This Row],[%K]]-100</f>
        <v>-48.135198135198344</v>
      </c>
      <c r="N322" s="12">
        <v>320</v>
      </c>
      <c r="O322" s="3">
        <v>45373</v>
      </c>
      <c r="P322" s="23" t="s">
        <v>323</v>
      </c>
      <c r="Q322" s="22">
        <f>IF(testdata4[[#This Row],[%R]]&lt;&gt;Table25[[#This Row],[%R]],testdata4[[#This Row],[%R]]-Table25[[#This Row],[%R]],"")</f>
        <v>-4.2632564145606011E-14</v>
      </c>
      <c r="R322" s="11" t="str">
        <f>IF(OR(Table25[[#This Row],[%R]]&lt;-100,Table25[[#This Row],[%R]]&gt;0),"RANGE_ERR","")</f>
        <v>RANGE_ERR</v>
      </c>
    </row>
    <row r="323" spans="1:18" x14ac:dyDescent="0.35">
      <c r="A323" s="6">
        <v>321</v>
      </c>
      <c r="B323" s="3">
        <v>45376</v>
      </c>
      <c r="C323" s="2">
        <v>147.54</v>
      </c>
      <c r="D323" s="2">
        <v>148.07</v>
      </c>
      <c r="E323" s="2">
        <v>143.78</v>
      </c>
      <c r="F323" s="2">
        <v>145.56</v>
      </c>
      <c r="G323" s="1">
        <v>1710504</v>
      </c>
      <c r="H323" s="2">
        <f t="shared" si="10"/>
        <v>143.78</v>
      </c>
      <c r="I323" s="2">
        <f t="shared" si="11"/>
        <v>151.58000000000001</v>
      </c>
      <c r="J323" s="22">
        <f>100*(testdata4[[#This Row],[close]]-testdata4[[#This Row],[LL]])/(testdata4[[#This Row],[HH]]-testdata4[[#This Row],[LL]])</f>
        <v>22.820512820512803</v>
      </c>
      <c r="K323" s="22">
        <f>testdata4[[#This Row],[K(14)'']]</f>
        <v>22.820512820512803</v>
      </c>
      <c r="L323" s="22">
        <f>testdata4[[#This Row],[%K]]-100</f>
        <v>-77.179487179487197</v>
      </c>
      <c r="N323" s="12">
        <v>321</v>
      </c>
      <c r="O323" s="3">
        <v>45376</v>
      </c>
      <c r="P323" s="23" t="s">
        <v>324</v>
      </c>
      <c r="Q323" s="22">
        <f>IF(testdata4[[#This Row],[%R]]&lt;&gt;Table25[[#This Row],[%R]],testdata4[[#This Row],[%R]]-Table25[[#This Row],[%R]],"")</f>
        <v>-9.9475983006414026E-14</v>
      </c>
      <c r="R323" s="11" t="str">
        <f>IF(OR(Table25[[#This Row],[%R]]&lt;-100,Table25[[#This Row],[%R]]&gt;0),"RANGE_ERR","")</f>
        <v>RANGE_ERR</v>
      </c>
    </row>
    <row r="324" spans="1:18" x14ac:dyDescent="0.35">
      <c r="A324" s="6">
        <v>322</v>
      </c>
      <c r="B324" s="3">
        <v>45377</v>
      </c>
      <c r="C324" s="2">
        <v>145.61000000000001</v>
      </c>
      <c r="D324" s="2">
        <v>146.2612</v>
      </c>
      <c r="E324" s="2">
        <v>144.38</v>
      </c>
      <c r="F324" s="2">
        <v>144.41</v>
      </c>
      <c r="G324" s="1">
        <v>2021230</v>
      </c>
      <c r="H324" s="2">
        <f t="shared" si="10"/>
        <v>143.78</v>
      </c>
      <c r="I324" s="2">
        <f t="shared" si="11"/>
        <v>151.58000000000001</v>
      </c>
      <c r="J324" s="22">
        <f>100*(testdata4[[#This Row],[close]]-testdata4[[#This Row],[LL]])/(testdata4[[#This Row],[HH]]-testdata4[[#This Row],[LL]])</f>
        <v>8.0769230769230074</v>
      </c>
      <c r="K324" s="22">
        <f>testdata4[[#This Row],[K(14)'']]</f>
        <v>8.0769230769230074</v>
      </c>
      <c r="L324" s="22">
        <f>testdata4[[#This Row],[%K]]-100</f>
        <v>-91.923076923076991</v>
      </c>
      <c r="N324" s="12">
        <v>322</v>
      </c>
      <c r="O324" s="3">
        <v>45377</v>
      </c>
      <c r="P324" s="23" t="s">
        <v>325</v>
      </c>
      <c r="Q324" s="22">
        <f>IF(testdata4[[#This Row],[%R]]&lt;&gt;Table25[[#This Row],[%R]],testdata4[[#This Row],[%R]]-Table25[[#This Row],[%R]],"")</f>
        <v>-8.5265128291212022E-14</v>
      </c>
      <c r="R324" s="11" t="str">
        <f>IF(OR(Table25[[#This Row],[%R]]&lt;-100,Table25[[#This Row],[%R]]&gt;0),"RANGE_ERR","")</f>
        <v>RANGE_ERR</v>
      </c>
    </row>
    <row r="325" spans="1:18" x14ac:dyDescent="0.35">
      <c r="A325" s="6">
        <v>323</v>
      </c>
      <c r="B325" s="3">
        <v>45378</v>
      </c>
      <c r="C325" s="2">
        <v>145.65</v>
      </c>
      <c r="D325" s="2">
        <v>147.47999999999999</v>
      </c>
      <c r="E325" s="2">
        <v>144.53</v>
      </c>
      <c r="F325" s="2">
        <v>147.37</v>
      </c>
      <c r="G325" s="1">
        <v>1212197</v>
      </c>
      <c r="H325" s="2">
        <f t="shared" si="10"/>
        <v>143.78</v>
      </c>
      <c r="I325" s="2">
        <f t="shared" si="11"/>
        <v>151.58000000000001</v>
      </c>
      <c r="J325" s="22">
        <f>100*(testdata4[[#This Row],[close]]-testdata4[[#This Row],[LL]])/(testdata4[[#This Row],[HH]]-testdata4[[#This Row],[LL]])</f>
        <v>46.025641025641001</v>
      </c>
      <c r="K325" s="22">
        <f>testdata4[[#This Row],[K(14)'']]</f>
        <v>46.025641025641001</v>
      </c>
      <c r="L325" s="22">
        <f>testdata4[[#This Row],[%K]]-100</f>
        <v>-53.974358974358999</v>
      </c>
      <c r="N325" s="12">
        <v>323</v>
      </c>
      <c r="O325" s="3">
        <v>45378</v>
      </c>
      <c r="P325" s="23" t="s">
        <v>326</v>
      </c>
      <c r="Q325" s="22">
        <f>IF(testdata4[[#This Row],[%R]]&lt;&gt;Table25[[#This Row],[%R]],testdata4[[#This Row],[%R]]-Table25[[#This Row],[%R]],"")</f>
        <v>-9.9475983006414026E-14</v>
      </c>
      <c r="R325" s="11" t="str">
        <f>IF(OR(Table25[[#This Row],[%R]]&lt;-100,Table25[[#This Row],[%R]]&gt;0),"RANGE_ERR","")</f>
        <v>RANGE_ERR</v>
      </c>
    </row>
    <row r="326" spans="1:18" x14ac:dyDescent="0.35">
      <c r="A326" s="6">
        <v>324</v>
      </c>
      <c r="B326" s="3">
        <v>45379</v>
      </c>
      <c r="C326" s="2">
        <v>147.54</v>
      </c>
      <c r="D326" s="2">
        <v>147.68</v>
      </c>
      <c r="E326" s="2">
        <v>145.36000000000001</v>
      </c>
      <c r="F326" s="2">
        <v>145.51</v>
      </c>
      <c r="G326" s="1">
        <v>2176553</v>
      </c>
      <c r="H326" s="2">
        <f t="shared" si="10"/>
        <v>143.78</v>
      </c>
      <c r="I326" s="2">
        <f t="shared" si="11"/>
        <v>150.13999999999999</v>
      </c>
      <c r="J326" s="22">
        <f>100*(testdata4[[#This Row],[close]]-testdata4[[#This Row],[LL]])/(testdata4[[#This Row],[HH]]-testdata4[[#This Row],[LL]])</f>
        <v>27.201257861635124</v>
      </c>
      <c r="K326" s="22">
        <f>testdata4[[#This Row],[K(14)'']]</f>
        <v>27.201257861635124</v>
      </c>
      <c r="L326" s="22">
        <f>testdata4[[#This Row],[%K]]-100</f>
        <v>-72.798742138364872</v>
      </c>
      <c r="N326" s="12">
        <v>324</v>
      </c>
      <c r="O326" s="3">
        <v>45379</v>
      </c>
      <c r="P326" s="23" t="s">
        <v>327</v>
      </c>
      <c r="Q326" s="22">
        <f>IF(testdata4[[#This Row],[%R]]&lt;&gt;Table25[[#This Row],[%R]],testdata4[[#This Row],[%R]]-Table25[[#This Row],[%R]],"")</f>
        <v>-7.1054273576010019E-14</v>
      </c>
      <c r="R326" s="11" t="str">
        <f>IF(OR(Table25[[#This Row],[%R]]&lt;-100,Table25[[#This Row],[%R]]&gt;0),"RANGE_ERR","")</f>
        <v>RANGE_ERR</v>
      </c>
    </row>
    <row r="327" spans="1:18" x14ac:dyDescent="0.35">
      <c r="A327" s="6">
        <v>325</v>
      </c>
      <c r="B327" s="3">
        <v>45383</v>
      </c>
      <c r="C327" s="2">
        <v>146.18</v>
      </c>
      <c r="D327" s="2">
        <v>146.5</v>
      </c>
      <c r="E327" s="2">
        <v>144.41999999999999</v>
      </c>
      <c r="F327" s="2">
        <v>145.56</v>
      </c>
      <c r="G327" s="1">
        <v>968324</v>
      </c>
      <c r="H327" s="2">
        <f t="shared" si="10"/>
        <v>143.78</v>
      </c>
      <c r="I327" s="2">
        <f t="shared" si="11"/>
        <v>150.13999999999999</v>
      </c>
      <c r="J327" s="22">
        <f>100*(testdata4[[#This Row],[close]]-testdata4[[#This Row],[LL]])/(testdata4[[#This Row],[HH]]-testdata4[[#This Row],[LL]])</f>
        <v>27.987421383647881</v>
      </c>
      <c r="K327" s="22">
        <f>testdata4[[#This Row],[K(14)'']]</f>
        <v>27.987421383647881</v>
      </c>
      <c r="L327" s="22">
        <f>testdata4[[#This Row],[%K]]-100</f>
        <v>-72.012578616352116</v>
      </c>
      <c r="N327" s="12">
        <v>325</v>
      </c>
      <c r="O327" s="3">
        <v>45383</v>
      </c>
      <c r="P327" s="23" t="s">
        <v>328</v>
      </c>
      <c r="Q327" s="22">
        <f>IF(testdata4[[#This Row],[%R]]&lt;&gt;Table25[[#This Row],[%R]],testdata4[[#This Row],[%R]]-Table25[[#This Row],[%R]],"")</f>
        <v>-1.4210854715202004E-14</v>
      </c>
      <c r="R327" s="11" t="str">
        <f>IF(OR(Table25[[#This Row],[%R]]&lt;-100,Table25[[#This Row],[%R]]&gt;0),"RANGE_ERR","")</f>
        <v>RANGE_ERR</v>
      </c>
    </row>
    <row r="328" spans="1:18" x14ac:dyDescent="0.35">
      <c r="A328" s="6">
        <v>326</v>
      </c>
      <c r="B328" s="3">
        <v>45384</v>
      </c>
      <c r="C328" s="2">
        <v>144.02000000000001</v>
      </c>
      <c r="D328" s="2">
        <v>144.33000000000001</v>
      </c>
      <c r="E328" s="2">
        <v>142.59</v>
      </c>
      <c r="F328" s="2">
        <v>144.16999999999999</v>
      </c>
      <c r="G328" s="1">
        <v>1376542</v>
      </c>
      <c r="H328" s="2">
        <f t="shared" si="10"/>
        <v>142.59</v>
      </c>
      <c r="I328" s="2">
        <f t="shared" si="11"/>
        <v>150.13999999999999</v>
      </c>
      <c r="J328" s="22">
        <f>100*(testdata4[[#This Row],[close]]-testdata4[[#This Row],[LL]])/(testdata4[[#This Row],[HH]]-testdata4[[#This Row],[LL]])</f>
        <v>20.92715231788063</v>
      </c>
      <c r="K328" s="22">
        <f>testdata4[[#This Row],[K(14)'']]</f>
        <v>20.92715231788063</v>
      </c>
      <c r="L328" s="22">
        <f>testdata4[[#This Row],[%K]]-100</f>
        <v>-79.072847682119374</v>
      </c>
      <c r="N328" s="12">
        <v>326</v>
      </c>
      <c r="O328" s="3">
        <v>45384</v>
      </c>
      <c r="P328" s="23" t="s">
        <v>329</v>
      </c>
      <c r="Q328" s="22">
        <f>IF(testdata4[[#This Row],[%R]]&lt;&gt;Table25[[#This Row],[%R]],testdata4[[#This Row],[%R]]-Table25[[#This Row],[%R]],"")</f>
        <v>-7.1054273576010019E-14</v>
      </c>
      <c r="R328" s="11" t="str">
        <f>IF(OR(Table25[[#This Row],[%R]]&lt;-100,Table25[[#This Row],[%R]]&gt;0),"RANGE_ERR","")</f>
        <v>RANGE_ERR</v>
      </c>
    </row>
    <row r="329" spans="1:18" x14ac:dyDescent="0.35">
      <c r="A329" s="6">
        <v>327</v>
      </c>
      <c r="B329" s="3">
        <v>45385</v>
      </c>
      <c r="C329" s="2">
        <v>143.77000000000001</v>
      </c>
      <c r="D329" s="2">
        <v>144.85</v>
      </c>
      <c r="E329" s="2">
        <v>142.79499999999999</v>
      </c>
      <c r="F329" s="2">
        <v>143.72999999999999</v>
      </c>
      <c r="G329" s="1">
        <v>1211174</v>
      </c>
      <c r="H329" s="2">
        <f t="shared" si="10"/>
        <v>142.59</v>
      </c>
      <c r="I329" s="2">
        <f t="shared" si="11"/>
        <v>150.13999999999999</v>
      </c>
      <c r="J329" s="22">
        <f>100*(testdata4[[#This Row],[close]]-testdata4[[#This Row],[LL]])/(testdata4[[#This Row],[HH]]-testdata4[[#This Row],[LL]])</f>
        <v>15.099337748344224</v>
      </c>
      <c r="K329" s="22">
        <f>testdata4[[#This Row],[K(14)'']]</f>
        <v>15.099337748344224</v>
      </c>
      <c r="L329" s="22">
        <f>testdata4[[#This Row],[%K]]-100</f>
        <v>-84.900662251655774</v>
      </c>
      <c r="N329" s="12">
        <v>327</v>
      </c>
      <c r="O329" s="3">
        <v>45385</v>
      </c>
      <c r="P329" s="23" t="s">
        <v>330</v>
      </c>
      <c r="Q329" s="22">
        <f>IF(testdata4[[#This Row],[%R]]&lt;&gt;Table25[[#This Row],[%R]],testdata4[[#This Row],[%R]]-Table25[[#This Row],[%R]],"")</f>
        <v>-7.1054273576010019E-14</v>
      </c>
      <c r="R329" s="11" t="str">
        <f>IF(OR(Table25[[#This Row],[%R]]&lt;-100,Table25[[#This Row],[%R]]&gt;0),"RANGE_ERR","")</f>
        <v>RANGE_ERR</v>
      </c>
    </row>
    <row r="330" spans="1:18" x14ac:dyDescent="0.35">
      <c r="A330" s="6">
        <v>328</v>
      </c>
      <c r="B330" s="3">
        <v>45386</v>
      </c>
      <c r="C330" s="2">
        <v>145.12</v>
      </c>
      <c r="D330" s="2">
        <v>145.26</v>
      </c>
      <c r="E330" s="2">
        <v>141.13</v>
      </c>
      <c r="F330" s="2">
        <v>141.34</v>
      </c>
      <c r="G330" s="1">
        <v>1183951</v>
      </c>
      <c r="H330" s="2">
        <f t="shared" si="10"/>
        <v>141.13</v>
      </c>
      <c r="I330" s="2">
        <f t="shared" si="11"/>
        <v>150.13999999999999</v>
      </c>
      <c r="J330" s="22">
        <f>100*(testdata4[[#This Row],[close]]-testdata4[[#This Row],[LL]])/(testdata4[[#This Row],[HH]]-testdata4[[#This Row],[LL]])</f>
        <v>2.3307436182020886</v>
      </c>
      <c r="K330" s="22">
        <f>testdata4[[#This Row],[K(14)'']]</f>
        <v>2.3307436182020886</v>
      </c>
      <c r="L330" s="22">
        <f>testdata4[[#This Row],[%K]]-100</f>
        <v>-97.669256381797908</v>
      </c>
      <c r="N330" s="12">
        <v>328</v>
      </c>
      <c r="O330" s="3">
        <v>45386</v>
      </c>
      <c r="P330" s="23" t="s">
        <v>331</v>
      </c>
      <c r="Q330" s="22">
        <f>IF(testdata4[[#This Row],[%R]]&lt;&gt;Table25[[#This Row],[%R]],testdata4[[#This Row],[%R]]-Table25[[#This Row],[%R]],"")</f>
        <v>-1.4210854715202004E-14</v>
      </c>
      <c r="R330" s="11" t="str">
        <f>IF(OR(Table25[[#This Row],[%R]]&lt;-100,Table25[[#This Row],[%R]]&gt;0),"RANGE_ERR","")</f>
        <v>RANGE_ERR</v>
      </c>
    </row>
    <row r="331" spans="1:18" x14ac:dyDescent="0.35">
      <c r="A331" s="6">
        <v>329</v>
      </c>
      <c r="B331" s="3">
        <v>45387</v>
      </c>
      <c r="C331" s="2">
        <v>144.18</v>
      </c>
      <c r="D331" s="2">
        <v>145.5</v>
      </c>
      <c r="E331" s="2">
        <v>143.43</v>
      </c>
      <c r="F331" s="2">
        <v>144.12</v>
      </c>
      <c r="G331" s="1">
        <v>1655846</v>
      </c>
      <c r="H331" s="2">
        <f t="shared" si="10"/>
        <v>141.13</v>
      </c>
      <c r="I331" s="2">
        <f t="shared" si="11"/>
        <v>150.13999999999999</v>
      </c>
      <c r="J331" s="22">
        <f>100*(testdata4[[#This Row],[close]]-testdata4[[#This Row],[LL]])/(testdata4[[#This Row],[HH]]-testdata4[[#This Row],[LL]])</f>
        <v>33.185349611542861</v>
      </c>
      <c r="K331" s="22">
        <f>testdata4[[#This Row],[K(14)'']]</f>
        <v>33.185349611542861</v>
      </c>
      <c r="L331" s="22">
        <f>testdata4[[#This Row],[%K]]-100</f>
        <v>-66.814650388457139</v>
      </c>
      <c r="N331" s="12">
        <v>329</v>
      </c>
      <c r="O331" s="3">
        <v>45387</v>
      </c>
      <c r="P331" s="23" t="s">
        <v>332</v>
      </c>
      <c r="Q331" s="22">
        <f>IF(testdata4[[#This Row],[%R]]&lt;&gt;Table25[[#This Row],[%R]],testdata4[[#This Row],[%R]]-Table25[[#This Row],[%R]],"")</f>
        <v>-4.2632564145606011E-14</v>
      </c>
      <c r="R331" s="11" t="str">
        <f>IF(OR(Table25[[#This Row],[%R]]&lt;-100,Table25[[#This Row],[%R]]&gt;0),"RANGE_ERR","")</f>
        <v>RANGE_ERR</v>
      </c>
    </row>
    <row r="332" spans="1:18" x14ac:dyDescent="0.35">
      <c r="A332" s="6">
        <v>330</v>
      </c>
      <c r="B332" s="3">
        <v>45390</v>
      </c>
      <c r="C332" s="2">
        <v>143.80000000000001</v>
      </c>
      <c r="D332" s="2">
        <v>145.79</v>
      </c>
      <c r="E332" s="2">
        <v>143.01</v>
      </c>
      <c r="F332" s="2">
        <v>144.46</v>
      </c>
      <c r="G332" s="1">
        <v>1247293</v>
      </c>
      <c r="H332" s="2">
        <f t="shared" si="10"/>
        <v>141.13</v>
      </c>
      <c r="I332" s="2">
        <f t="shared" si="11"/>
        <v>150.13999999999999</v>
      </c>
      <c r="J332" s="22">
        <f>100*(testdata4[[#This Row],[close]]-testdata4[[#This Row],[LL]])/(testdata4[[#This Row],[HH]]-testdata4[[#This Row],[LL]])</f>
        <v>36.958934517203282</v>
      </c>
      <c r="K332" s="22">
        <f>testdata4[[#This Row],[K(14)'']]</f>
        <v>36.958934517203282</v>
      </c>
      <c r="L332" s="22">
        <f>testdata4[[#This Row],[%K]]-100</f>
        <v>-63.041065482796718</v>
      </c>
      <c r="N332" s="12">
        <v>330</v>
      </c>
      <c r="O332" s="3">
        <v>45390</v>
      </c>
      <c r="P332" s="23" t="s">
        <v>333</v>
      </c>
      <c r="Q332" s="22">
        <f>IF(testdata4[[#This Row],[%R]]&lt;&gt;Table25[[#This Row],[%R]],testdata4[[#This Row],[%R]]-Table25[[#This Row],[%R]],"")</f>
        <v>-2.1316282072803006E-14</v>
      </c>
      <c r="R332" s="11" t="str">
        <f>IF(OR(Table25[[#This Row],[%R]]&lt;-100,Table25[[#This Row],[%R]]&gt;0),"RANGE_ERR","")</f>
        <v>RANGE_ERR</v>
      </c>
    </row>
    <row r="333" spans="1:18" x14ac:dyDescent="0.35">
      <c r="A333" s="6">
        <v>331</v>
      </c>
      <c r="B333" s="3">
        <v>45391</v>
      </c>
      <c r="C333" s="2">
        <v>146</v>
      </c>
      <c r="D333" s="2">
        <v>147.43</v>
      </c>
      <c r="E333" s="2">
        <v>145.50040000000001</v>
      </c>
      <c r="F333" s="2">
        <v>147.4</v>
      </c>
      <c r="G333" s="1">
        <v>873691</v>
      </c>
      <c r="H333" s="2">
        <f t="shared" si="10"/>
        <v>141.13</v>
      </c>
      <c r="I333" s="2">
        <f t="shared" si="11"/>
        <v>150.13999999999999</v>
      </c>
      <c r="J333" s="22">
        <f>100*(testdata4[[#This Row],[close]]-testdata4[[#This Row],[LL]])/(testdata4[[#This Row],[HH]]-testdata4[[#This Row],[LL]])</f>
        <v>69.589345172031258</v>
      </c>
      <c r="K333" s="22">
        <f>testdata4[[#This Row],[K(14)'']]</f>
        <v>69.589345172031258</v>
      </c>
      <c r="L333" s="22">
        <f>testdata4[[#This Row],[%K]]-100</f>
        <v>-30.410654827968742</v>
      </c>
      <c r="N333" s="12">
        <v>331</v>
      </c>
      <c r="O333" s="3">
        <v>45391</v>
      </c>
      <c r="P333" s="23" t="s">
        <v>334</v>
      </c>
      <c r="Q333" s="22">
        <f>IF(testdata4[[#This Row],[%R]]&lt;&gt;Table25[[#This Row],[%R]],testdata4[[#This Row],[%R]]-Table25[[#This Row],[%R]],"")</f>
        <v>-4.2632564145606011E-14</v>
      </c>
      <c r="R333" s="11" t="str">
        <f>IF(OR(Table25[[#This Row],[%R]]&lt;-100,Table25[[#This Row],[%R]]&gt;0),"RANGE_ERR","")</f>
        <v>RANGE_ERR</v>
      </c>
    </row>
    <row r="334" spans="1:18" x14ac:dyDescent="0.35">
      <c r="A334" s="6">
        <v>332</v>
      </c>
      <c r="B334" s="3">
        <v>45392</v>
      </c>
      <c r="C334" s="2">
        <v>144.41999999999999</v>
      </c>
      <c r="D334" s="2">
        <v>145.06</v>
      </c>
      <c r="E334" s="2">
        <v>143.55000000000001</v>
      </c>
      <c r="F334" s="2">
        <v>144.16</v>
      </c>
      <c r="G334" s="1">
        <v>1051822</v>
      </c>
      <c r="H334" s="2">
        <f t="shared" si="10"/>
        <v>141.13</v>
      </c>
      <c r="I334" s="2">
        <f t="shared" si="11"/>
        <v>150.13999999999999</v>
      </c>
      <c r="J334" s="22">
        <f>100*(testdata4[[#This Row],[close]]-testdata4[[#This Row],[LL]])/(testdata4[[#This Row],[HH]]-testdata4[[#This Row],[LL]])</f>
        <v>33.629300776914583</v>
      </c>
      <c r="K334" s="22">
        <f>testdata4[[#This Row],[K(14)'']]</f>
        <v>33.629300776914583</v>
      </c>
      <c r="L334" s="22">
        <f>testdata4[[#This Row],[%K]]-100</f>
        <v>-66.37069922308541</v>
      </c>
      <c r="N334" s="12">
        <v>332</v>
      </c>
      <c r="O334" s="3">
        <v>45392</v>
      </c>
      <c r="P334" s="23" t="s">
        <v>335</v>
      </c>
      <c r="Q334" s="22">
        <f>IF(testdata4[[#This Row],[%R]]&lt;&gt;Table25[[#This Row],[%R]],testdata4[[#This Row],[%R]]-Table25[[#This Row],[%R]],"")</f>
        <v>-1.4210854715202004E-14</v>
      </c>
      <c r="R334" s="11" t="str">
        <f>IF(OR(Table25[[#This Row],[%R]]&lt;-100,Table25[[#This Row],[%R]]&gt;0),"RANGE_ERR","")</f>
        <v>RANGE_ERR</v>
      </c>
    </row>
    <row r="335" spans="1:18" x14ac:dyDescent="0.35">
      <c r="A335" s="6">
        <v>333</v>
      </c>
      <c r="B335" s="3">
        <v>45393</v>
      </c>
      <c r="C335" s="2">
        <v>145.65</v>
      </c>
      <c r="D335" s="2">
        <v>145.857</v>
      </c>
      <c r="E335" s="2">
        <v>143.66999999999999</v>
      </c>
      <c r="F335" s="2">
        <v>145</v>
      </c>
      <c r="G335" s="1">
        <v>720175</v>
      </c>
      <c r="H335" s="2">
        <f t="shared" si="10"/>
        <v>141.13</v>
      </c>
      <c r="I335" s="2">
        <f t="shared" si="11"/>
        <v>149.28</v>
      </c>
      <c r="J335" s="22">
        <f>100*(testdata4[[#This Row],[close]]-testdata4[[#This Row],[LL]])/(testdata4[[#This Row],[HH]]-testdata4[[#This Row],[LL]])</f>
        <v>47.484662576687143</v>
      </c>
      <c r="K335" s="22">
        <f>testdata4[[#This Row],[K(14)'']]</f>
        <v>47.484662576687143</v>
      </c>
      <c r="L335" s="22">
        <f>testdata4[[#This Row],[%K]]-100</f>
        <v>-52.515337423312857</v>
      </c>
      <c r="N335" s="12">
        <v>333</v>
      </c>
      <c r="O335" s="3">
        <v>45393</v>
      </c>
      <c r="P335" s="23" t="s">
        <v>336</v>
      </c>
      <c r="Q335" s="22">
        <f>IF(testdata4[[#This Row],[%R]]&lt;&gt;Table25[[#This Row],[%R]],testdata4[[#This Row],[%R]]-Table25[[#This Row],[%R]],"")</f>
        <v>-5.6843418860808015E-14</v>
      </c>
      <c r="R335" s="11" t="str">
        <f>IF(OR(Table25[[#This Row],[%R]]&lt;-100,Table25[[#This Row],[%R]]&gt;0),"RANGE_ERR","")</f>
        <v>RANGE_ERR</v>
      </c>
    </row>
    <row r="336" spans="1:18" x14ac:dyDescent="0.35">
      <c r="A336" s="6">
        <v>334</v>
      </c>
      <c r="B336" s="3">
        <v>45394</v>
      </c>
      <c r="C336" s="2">
        <v>143.59</v>
      </c>
      <c r="D336" s="2">
        <v>144.66</v>
      </c>
      <c r="E336" s="2">
        <v>140.26</v>
      </c>
      <c r="F336" s="2">
        <v>140.72999999999999</v>
      </c>
      <c r="G336" s="1">
        <v>1124506</v>
      </c>
      <c r="H336" s="2">
        <f t="shared" ref="H336:H399" si="12">MIN(E323:E336)</f>
        <v>140.26</v>
      </c>
      <c r="I336" s="2">
        <f t="shared" ref="I336:I399" si="13">MAX(D323:D336)</f>
        <v>148.07</v>
      </c>
      <c r="J336" s="22">
        <f>100*(testdata4[[#This Row],[close]]-testdata4[[#This Row],[LL]])/(testdata4[[#This Row],[HH]]-testdata4[[#This Row],[LL]])</f>
        <v>6.0179257362355791</v>
      </c>
      <c r="K336" s="22">
        <f>testdata4[[#This Row],[K(14)'']]</f>
        <v>6.0179257362355791</v>
      </c>
      <c r="L336" s="22">
        <f>testdata4[[#This Row],[%K]]-100</f>
        <v>-93.982074263764417</v>
      </c>
      <c r="N336" s="12">
        <v>334</v>
      </c>
      <c r="O336" s="3">
        <v>45394</v>
      </c>
      <c r="P336" s="23" t="s">
        <v>337</v>
      </c>
      <c r="Q336" s="22">
        <f>IF(testdata4[[#This Row],[%R]]&lt;&gt;Table25[[#This Row],[%R]],testdata4[[#This Row],[%R]]-Table25[[#This Row],[%R]],"")</f>
        <v>-1.4210854715202004E-14</v>
      </c>
      <c r="R336" s="11" t="str">
        <f>IF(OR(Table25[[#This Row],[%R]]&lt;-100,Table25[[#This Row],[%R]]&gt;0),"RANGE_ERR","")</f>
        <v>RANGE_ERR</v>
      </c>
    </row>
    <row r="337" spans="1:18" x14ac:dyDescent="0.35">
      <c r="A337" s="6">
        <v>335</v>
      </c>
      <c r="B337" s="3">
        <v>45397</v>
      </c>
      <c r="C337" s="2">
        <v>142.31</v>
      </c>
      <c r="D337" s="2">
        <v>143.25</v>
      </c>
      <c r="E337" s="2">
        <v>139.02000000000001</v>
      </c>
      <c r="F337" s="2">
        <v>140.22</v>
      </c>
      <c r="G337" s="1">
        <v>1506028</v>
      </c>
      <c r="H337" s="2">
        <f t="shared" si="12"/>
        <v>139.02000000000001</v>
      </c>
      <c r="I337" s="2">
        <f t="shared" si="13"/>
        <v>147.68</v>
      </c>
      <c r="J337" s="22">
        <f>100*(testdata4[[#This Row],[close]]-testdata4[[#This Row],[LL]])/(testdata4[[#This Row],[HH]]-testdata4[[#This Row],[LL]])</f>
        <v>13.856812933025278</v>
      </c>
      <c r="K337" s="22">
        <f>testdata4[[#This Row],[K(14)'']]</f>
        <v>13.856812933025278</v>
      </c>
      <c r="L337" s="22">
        <f>testdata4[[#This Row],[%K]]-100</f>
        <v>-86.143187066974718</v>
      </c>
      <c r="N337" s="12">
        <v>335</v>
      </c>
      <c r="O337" s="3">
        <v>45397</v>
      </c>
      <c r="P337" s="23" t="s">
        <v>338</v>
      </c>
      <c r="Q337" s="22">
        <f>IF(testdata4[[#This Row],[%R]]&lt;&gt;Table25[[#This Row],[%R]],testdata4[[#This Row],[%R]]-Table25[[#This Row],[%R]],"")</f>
        <v>-1.4210854715202004E-14</v>
      </c>
      <c r="R337" s="11" t="str">
        <f>IF(OR(Table25[[#This Row],[%R]]&lt;-100,Table25[[#This Row],[%R]]&gt;0),"RANGE_ERR","")</f>
        <v>RANGE_ERR</v>
      </c>
    </row>
    <row r="338" spans="1:18" x14ac:dyDescent="0.35">
      <c r="A338" s="6">
        <v>336</v>
      </c>
      <c r="B338" s="3">
        <v>45398</v>
      </c>
      <c r="C338" s="2">
        <v>140.28</v>
      </c>
      <c r="D338" s="2">
        <v>140.36000000000001</v>
      </c>
      <c r="E338" s="2">
        <v>136.625</v>
      </c>
      <c r="F338" s="2">
        <v>136.80000000000001</v>
      </c>
      <c r="G338" s="1">
        <v>1345667</v>
      </c>
      <c r="H338" s="2">
        <f t="shared" si="12"/>
        <v>136.625</v>
      </c>
      <c r="I338" s="2">
        <f t="shared" si="13"/>
        <v>147.68</v>
      </c>
      <c r="J338" s="22">
        <f>100*(testdata4[[#This Row],[close]]-testdata4[[#This Row],[LL]])/(testdata4[[#This Row],[HH]]-testdata4[[#This Row],[LL]])</f>
        <v>1.582994120307655</v>
      </c>
      <c r="K338" s="22">
        <f>testdata4[[#This Row],[K(14)'']]</f>
        <v>1.582994120307655</v>
      </c>
      <c r="L338" s="22">
        <f>testdata4[[#This Row],[%K]]-100</f>
        <v>-98.41700587969234</v>
      </c>
      <c r="N338" s="12">
        <v>336</v>
      </c>
      <c r="O338" s="3">
        <v>45398</v>
      </c>
      <c r="P338" s="23" t="s">
        <v>339</v>
      </c>
      <c r="Q338" s="22">
        <f>IF(testdata4[[#This Row],[%R]]&lt;&gt;Table25[[#This Row],[%R]],testdata4[[#This Row],[%R]]-Table25[[#This Row],[%R]],"")</f>
        <v>-4.2632564145606011E-14</v>
      </c>
      <c r="R338" s="11" t="str">
        <f>IF(OR(Table25[[#This Row],[%R]]&lt;-100,Table25[[#This Row],[%R]]&gt;0),"RANGE_ERR","")</f>
        <v>RANGE_ERR</v>
      </c>
    </row>
    <row r="339" spans="1:18" x14ac:dyDescent="0.35">
      <c r="A339" s="6">
        <v>337</v>
      </c>
      <c r="B339" s="3">
        <v>45399</v>
      </c>
      <c r="C339" s="2">
        <v>137.24</v>
      </c>
      <c r="D339" s="2">
        <v>137.46</v>
      </c>
      <c r="E339" s="2">
        <v>132.87</v>
      </c>
      <c r="F339" s="2">
        <v>134.55000000000001</v>
      </c>
      <c r="G339" s="1">
        <v>2084075</v>
      </c>
      <c r="H339" s="2">
        <f t="shared" si="12"/>
        <v>132.87</v>
      </c>
      <c r="I339" s="2">
        <f t="shared" si="13"/>
        <v>147.68</v>
      </c>
      <c r="J339" s="22">
        <f>100*(testdata4[[#This Row],[close]]-testdata4[[#This Row],[LL]])/(testdata4[[#This Row],[HH]]-testdata4[[#This Row],[LL]])</f>
        <v>11.343686698176953</v>
      </c>
      <c r="K339" s="22">
        <f>testdata4[[#This Row],[K(14)'']]</f>
        <v>11.343686698176953</v>
      </c>
      <c r="L339" s="22">
        <f>testdata4[[#This Row],[%K]]-100</f>
        <v>-88.656313301823047</v>
      </c>
      <c r="N339" s="12">
        <v>337</v>
      </c>
      <c r="O339" s="3">
        <v>45399</v>
      </c>
      <c r="P339" s="23" t="s">
        <v>340</v>
      </c>
      <c r="Q339" s="22">
        <f>IF(testdata4[[#This Row],[%R]]&lt;&gt;Table25[[#This Row],[%R]],testdata4[[#This Row],[%R]]-Table25[[#This Row],[%R]],"")</f>
        <v>-4.2632564145606011E-14</v>
      </c>
      <c r="R339" s="11" t="str">
        <f>IF(OR(Table25[[#This Row],[%R]]&lt;-100,Table25[[#This Row],[%R]]&gt;0),"RANGE_ERR","")</f>
        <v>RANGE_ERR</v>
      </c>
    </row>
    <row r="340" spans="1:18" x14ac:dyDescent="0.35">
      <c r="A340" s="6">
        <v>338</v>
      </c>
      <c r="B340" s="3">
        <v>45400</v>
      </c>
      <c r="C340" s="2">
        <v>131.26</v>
      </c>
      <c r="D340" s="2">
        <v>134.44</v>
      </c>
      <c r="E340" s="2">
        <v>128.34</v>
      </c>
      <c r="F340" s="2">
        <v>132.44</v>
      </c>
      <c r="G340" s="1">
        <v>1936566</v>
      </c>
      <c r="H340" s="2">
        <f t="shared" si="12"/>
        <v>128.34</v>
      </c>
      <c r="I340" s="2">
        <f t="shared" si="13"/>
        <v>147.43</v>
      </c>
      <c r="J340" s="22">
        <f>100*(testdata4[[#This Row],[close]]-testdata4[[#This Row],[LL]])/(testdata4[[#This Row],[HH]]-testdata4[[#This Row],[LL]])</f>
        <v>21.477213200628569</v>
      </c>
      <c r="K340" s="22">
        <f>testdata4[[#This Row],[K(14)'']]</f>
        <v>21.477213200628569</v>
      </c>
      <c r="L340" s="22">
        <f>testdata4[[#This Row],[%K]]-100</f>
        <v>-78.522786799371431</v>
      </c>
      <c r="N340" s="12">
        <v>338</v>
      </c>
      <c r="O340" s="3">
        <v>45400</v>
      </c>
      <c r="P340" s="23" t="s">
        <v>341</v>
      </c>
      <c r="Q340" s="22">
        <f>IF(testdata4[[#This Row],[%R]]&lt;&gt;Table25[[#This Row],[%R]],testdata4[[#This Row],[%R]]-Table25[[#This Row],[%R]],"")</f>
        <v>-2.8421709430404007E-14</v>
      </c>
      <c r="R340" s="11" t="str">
        <f>IF(OR(Table25[[#This Row],[%R]]&lt;-100,Table25[[#This Row],[%R]]&gt;0),"RANGE_ERR","")</f>
        <v>RANGE_ERR</v>
      </c>
    </row>
    <row r="341" spans="1:18" x14ac:dyDescent="0.35">
      <c r="A341" s="6">
        <v>339</v>
      </c>
      <c r="B341" s="3">
        <v>45401</v>
      </c>
      <c r="C341" s="2">
        <v>133.06</v>
      </c>
      <c r="D341" s="2">
        <v>133.74</v>
      </c>
      <c r="E341" s="2">
        <v>132.15</v>
      </c>
      <c r="F341" s="2">
        <v>132.72999999999999</v>
      </c>
      <c r="G341" s="1">
        <v>1303352</v>
      </c>
      <c r="H341" s="2">
        <f t="shared" si="12"/>
        <v>128.34</v>
      </c>
      <c r="I341" s="2">
        <f t="shared" si="13"/>
        <v>147.43</v>
      </c>
      <c r="J341" s="22">
        <f>100*(testdata4[[#This Row],[close]]-testdata4[[#This Row],[LL]])/(testdata4[[#This Row],[HH]]-testdata4[[#This Row],[LL]])</f>
        <v>22.996333158721768</v>
      </c>
      <c r="K341" s="22">
        <f>testdata4[[#This Row],[K(14)'']]</f>
        <v>22.996333158721768</v>
      </c>
      <c r="L341" s="22">
        <f>testdata4[[#This Row],[%K]]-100</f>
        <v>-77.003666841278232</v>
      </c>
      <c r="N341" s="12">
        <v>339</v>
      </c>
      <c r="O341" s="3">
        <v>45401</v>
      </c>
      <c r="P341" s="23" t="s">
        <v>342</v>
      </c>
      <c r="Q341" s="22">
        <f>IF(testdata4[[#This Row],[%R]]&lt;&gt;Table25[[#This Row],[%R]],testdata4[[#This Row],[%R]]-Table25[[#This Row],[%R]],"")</f>
        <v>-2.8421709430404007E-14</v>
      </c>
      <c r="R341" s="11" t="str">
        <f>IF(OR(Table25[[#This Row],[%R]]&lt;-100,Table25[[#This Row],[%R]]&gt;0),"RANGE_ERR","")</f>
        <v>RANGE_ERR</v>
      </c>
    </row>
    <row r="342" spans="1:18" x14ac:dyDescent="0.35">
      <c r="A342" s="6">
        <v>340</v>
      </c>
      <c r="B342" s="3">
        <v>45404</v>
      </c>
      <c r="C342" s="2">
        <v>133.54</v>
      </c>
      <c r="D342" s="2">
        <v>135.02000000000001</v>
      </c>
      <c r="E342" s="2">
        <v>131.78</v>
      </c>
      <c r="F342" s="2">
        <v>133.91</v>
      </c>
      <c r="G342" s="1">
        <v>850521</v>
      </c>
      <c r="H342" s="2">
        <f t="shared" si="12"/>
        <v>128.34</v>
      </c>
      <c r="I342" s="2">
        <f t="shared" si="13"/>
        <v>147.43</v>
      </c>
      <c r="J342" s="22">
        <f>100*(testdata4[[#This Row],[close]]-testdata4[[#This Row],[LL]])/(testdata4[[#This Row],[HH]]-testdata4[[#This Row],[LL]])</f>
        <v>29.177579884756376</v>
      </c>
      <c r="K342" s="22">
        <f>testdata4[[#This Row],[K(14)'']]</f>
        <v>29.177579884756376</v>
      </c>
      <c r="L342" s="22">
        <f>testdata4[[#This Row],[%K]]-100</f>
        <v>-70.822420115243631</v>
      </c>
      <c r="N342" s="12">
        <v>340</v>
      </c>
      <c r="O342" s="3">
        <v>45404</v>
      </c>
      <c r="P342" s="23" t="s">
        <v>343</v>
      </c>
      <c r="Q342" s="22">
        <f>IF(testdata4[[#This Row],[%R]]&lt;&gt;Table25[[#This Row],[%R]],testdata4[[#This Row],[%R]]-Table25[[#This Row],[%R]],"")</f>
        <v>-2.8421709430404007E-14</v>
      </c>
      <c r="R342" s="11" t="str">
        <f>IF(OR(Table25[[#This Row],[%R]]&lt;-100,Table25[[#This Row],[%R]]&gt;0),"RANGE_ERR","")</f>
        <v>RANGE_ERR</v>
      </c>
    </row>
    <row r="343" spans="1:18" x14ac:dyDescent="0.35">
      <c r="A343" s="6">
        <v>341</v>
      </c>
      <c r="B343" s="3">
        <v>45405</v>
      </c>
      <c r="C343" s="2">
        <v>137.97999999999999</v>
      </c>
      <c r="D343" s="2">
        <v>139.65</v>
      </c>
      <c r="E343" s="2">
        <v>136.01499999999999</v>
      </c>
      <c r="F343" s="2">
        <v>139.19999999999999</v>
      </c>
      <c r="G343" s="1">
        <v>1979443</v>
      </c>
      <c r="H343" s="2">
        <f t="shared" si="12"/>
        <v>128.34</v>
      </c>
      <c r="I343" s="2">
        <f t="shared" si="13"/>
        <v>147.43</v>
      </c>
      <c r="J343" s="22">
        <f>100*(testdata4[[#This Row],[close]]-testdata4[[#This Row],[LL]])/(testdata4[[#This Row],[HH]]-testdata4[[#This Row],[LL]])</f>
        <v>56.888423258250313</v>
      </c>
      <c r="K343" s="22">
        <f>testdata4[[#This Row],[K(14)'']]</f>
        <v>56.888423258250313</v>
      </c>
      <c r="L343" s="22">
        <f>testdata4[[#This Row],[%K]]-100</f>
        <v>-43.111576741749687</v>
      </c>
      <c r="N343" s="12">
        <v>341</v>
      </c>
      <c r="O343" s="3">
        <v>45405</v>
      </c>
      <c r="P343" s="23" t="s">
        <v>344</v>
      </c>
      <c r="Q343" s="22">
        <f>IF(testdata4[[#This Row],[%R]]&lt;&gt;Table25[[#This Row],[%R]],testdata4[[#This Row],[%R]]-Table25[[#This Row],[%R]],"")</f>
        <v>-8.5265128291212022E-14</v>
      </c>
      <c r="R343" s="11" t="str">
        <f>IF(OR(Table25[[#This Row],[%R]]&lt;-100,Table25[[#This Row],[%R]]&gt;0),"RANGE_ERR","")</f>
        <v>RANGE_ERR</v>
      </c>
    </row>
    <row r="344" spans="1:18" x14ac:dyDescent="0.35">
      <c r="A344" s="6">
        <v>342</v>
      </c>
      <c r="B344" s="3">
        <v>45406</v>
      </c>
      <c r="C344" s="2">
        <v>138.34</v>
      </c>
      <c r="D344" s="2">
        <v>139.88999999999999</v>
      </c>
      <c r="E344" s="2">
        <v>136.21</v>
      </c>
      <c r="F344" s="2">
        <v>137.49</v>
      </c>
      <c r="G344" s="1">
        <v>1553274</v>
      </c>
      <c r="H344" s="2">
        <f t="shared" si="12"/>
        <v>128.34</v>
      </c>
      <c r="I344" s="2">
        <f t="shared" si="13"/>
        <v>147.43</v>
      </c>
      <c r="J344" s="22">
        <f>100*(testdata4[[#This Row],[close]]-testdata4[[#This Row],[LL]])/(testdata4[[#This Row],[HH]]-testdata4[[#This Row],[LL]])</f>
        <v>47.930853850183361</v>
      </c>
      <c r="K344" s="22">
        <f>testdata4[[#This Row],[K(14)'']]</f>
        <v>47.930853850183361</v>
      </c>
      <c r="L344" s="22">
        <f>testdata4[[#This Row],[%K]]-100</f>
        <v>-52.069146149816639</v>
      </c>
      <c r="N344" s="12">
        <v>342</v>
      </c>
      <c r="O344" s="3">
        <v>45406</v>
      </c>
      <c r="P344" s="23" t="s">
        <v>345</v>
      </c>
      <c r="Q344" s="22">
        <f>IF(testdata4[[#This Row],[%R]]&lt;&gt;Table25[[#This Row],[%R]],testdata4[[#This Row],[%R]]-Table25[[#This Row],[%R]],"")</f>
        <v>-3.5527136788005009E-14</v>
      </c>
      <c r="R344" s="11" t="str">
        <f>IF(OR(Table25[[#This Row],[%R]]&lt;-100,Table25[[#This Row],[%R]]&gt;0),"RANGE_ERR","")</f>
        <v>RANGE_ERR</v>
      </c>
    </row>
    <row r="345" spans="1:18" x14ac:dyDescent="0.35">
      <c r="A345" s="6">
        <v>343</v>
      </c>
      <c r="B345" s="3">
        <v>45407</v>
      </c>
      <c r="C345" s="2">
        <v>137.06</v>
      </c>
      <c r="D345" s="2">
        <v>137.21</v>
      </c>
      <c r="E345" s="2">
        <v>134.12</v>
      </c>
      <c r="F345" s="2">
        <v>136.37</v>
      </c>
      <c r="G345" s="1">
        <v>940765</v>
      </c>
      <c r="H345" s="2">
        <f t="shared" si="12"/>
        <v>128.34</v>
      </c>
      <c r="I345" s="2">
        <f t="shared" si="13"/>
        <v>147.43</v>
      </c>
      <c r="J345" s="22">
        <f>100*(testdata4[[#This Row],[close]]-testdata4[[#This Row],[LL]])/(testdata4[[#This Row],[HH]]-testdata4[[#This Row],[LL]])</f>
        <v>42.063907805133574</v>
      </c>
      <c r="K345" s="22">
        <f>testdata4[[#This Row],[K(14)'']]</f>
        <v>42.063907805133574</v>
      </c>
      <c r="L345" s="22">
        <f>testdata4[[#This Row],[%K]]-100</f>
        <v>-57.936092194866426</v>
      </c>
      <c r="N345" s="12">
        <v>343</v>
      </c>
      <c r="O345" s="3">
        <v>45407</v>
      </c>
      <c r="P345" s="23" t="s">
        <v>346</v>
      </c>
      <c r="Q345" s="22">
        <f>IF(testdata4[[#This Row],[%R]]&lt;&gt;Table25[[#This Row],[%R]],testdata4[[#This Row],[%R]]-Table25[[#This Row],[%R]],"")</f>
        <v>-2.8421709430404007E-14</v>
      </c>
      <c r="R345" s="11" t="str">
        <f>IF(OR(Table25[[#This Row],[%R]]&lt;-100,Table25[[#This Row],[%R]]&gt;0),"RANGE_ERR","")</f>
        <v>RANGE_ERR</v>
      </c>
    </row>
    <row r="346" spans="1:18" x14ac:dyDescent="0.35">
      <c r="A346" s="6">
        <v>344</v>
      </c>
      <c r="B346" s="3">
        <v>45408</v>
      </c>
      <c r="C346" s="2">
        <v>136.44999999999999</v>
      </c>
      <c r="D346" s="2">
        <v>138.36000000000001</v>
      </c>
      <c r="E346" s="2">
        <v>135</v>
      </c>
      <c r="F346" s="2">
        <v>137.74</v>
      </c>
      <c r="G346" s="1">
        <v>754945</v>
      </c>
      <c r="H346" s="2">
        <f t="shared" si="12"/>
        <v>128.34</v>
      </c>
      <c r="I346" s="2">
        <f t="shared" si="13"/>
        <v>147.43</v>
      </c>
      <c r="J346" s="22">
        <f>100*(testdata4[[#This Row],[close]]-testdata4[[#This Row],[LL]])/(testdata4[[#This Row],[HH]]-testdata4[[#This Row],[LL]])</f>
        <v>49.2404400209534</v>
      </c>
      <c r="K346" s="22">
        <f>testdata4[[#This Row],[K(14)'']]</f>
        <v>49.2404400209534</v>
      </c>
      <c r="L346" s="22">
        <f>testdata4[[#This Row],[%K]]-100</f>
        <v>-50.7595599790466</v>
      </c>
      <c r="N346" s="12">
        <v>344</v>
      </c>
      <c r="O346" s="3">
        <v>45408</v>
      </c>
      <c r="P346" s="23" t="s">
        <v>347</v>
      </c>
      <c r="Q346" s="22">
        <f>IF(testdata4[[#This Row],[%R]]&lt;&gt;Table25[[#This Row],[%R]],testdata4[[#This Row],[%R]]-Table25[[#This Row],[%R]],"")</f>
        <v>-9.9475983006414026E-14</v>
      </c>
      <c r="R346" s="11" t="str">
        <f>IF(OR(Table25[[#This Row],[%R]]&lt;-100,Table25[[#This Row],[%R]]&gt;0),"RANGE_ERR","")</f>
        <v>RANGE_ERR</v>
      </c>
    </row>
    <row r="347" spans="1:18" x14ac:dyDescent="0.35">
      <c r="A347" s="6">
        <v>345</v>
      </c>
      <c r="B347" s="3">
        <v>45411</v>
      </c>
      <c r="C347" s="2">
        <v>138.26</v>
      </c>
      <c r="D347" s="2">
        <v>139.87</v>
      </c>
      <c r="E347" s="2">
        <v>137.88</v>
      </c>
      <c r="F347" s="2">
        <v>139.59</v>
      </c>
      <c r="G347" s="1">
        <v>781155</v>
      </c>
      <c r="H347" s="2">
        <f t="shared" si="12"/>
        <v>128.34</v>
      </c>
      <c r="I347" s="2">
        <f t="shared" si="13"/>
        <v>145.857</v>
      </c>
      <c r="J347" s="22">
        <f>100*(testdata4[[#This Row],[close]]-testdata4[[#This Row],[LL]])/(testdata4[[#This Row],[HH]]-testdata4[[#This Row],[LL]])</f>
        <v>64.223325911971244</v>
      </c>
      <c r="K347" s="22">
        <f>testdata4[[#This Row],[K(14)'']]</f>
        <v>64.223325911971244</v>
      </c>
      <c r="L347" s="22">
        <f>testdata4[[#This Row],[%K]]-100</f>
        <v>-35.776674088028756</v>
      </c>
      <c r="N347" s="12">
        <v>345</v>
      </c>
      <c r="O347" s="3">
        <v>45411</v>
      </c>
      <c r="P347" s="23" t="s">
        <v>348</v>
      </c>
      <c r="Q347" s="22">
        <f>IF(testdata4[[#This Row],[%R]]&lt;&gt;Table25[[#This Row],[%R]],testdata4[[#This Row],[%R]]-Table25[[#This Row],[%R]],"")</f>
        <v>-5.6843418860808015E-14</v>
      </c>
      <c r="R347" s="11" t="str">
        <f>IF(OR(Table25[[#This Row],[%R]]&lt;-100,Table25[[#This Row],[%R]]&gt;0),"RANGE_ERR","")</f>
        <v>RANGE_ERR</v>
      </c>
    </row>
    <row r="348" spans="1:18" x14ac:dyDescent="0.35">
      <c r="A348" s="6">
        <v>346</v>
      </c>
      <c r="B348" s="3">
        <v>45412</v>
      </c>
      <c r="C348" s="2">
        <v>138.6</v>
      </c>
      <c r="D348" s="2">
        <v>139.65</v>
      </c>
      <c r="E348" s="2">
        <v>136.97</v>
      </c>
      <c r="F348" s="2">
        <v>137.04</v>
      </c>
      <c r="G348" s="1">
        <v>1087383</v>
      </c>
      <c r="H348" s="2">
        <f t="shared" si="12"/>
        <v>128.34</v>
      </c>
      <c r="I348" s="2">
        <f t="shared" si="13"/>
        <v>145.857</v>
      </c>
      <c r="J348" s="22">
        <f>100*(testdata4[[#This Row],[close]]-testdata4[[#This Row],[LL]])/(testdata4[[#This Row],[HH]]-testdata4[[#This Row],[LL]])</f>
        <v>49.666038705257698</v>
      </c>
      <c r="K348" s="22">
        <f>testdata4[[#This Row],[K(14)'']]</f>
        <v>49.666038705257698</v>
      </c>
      <c r="L348" s="22">
        <f>testdata4[[#This Row],[%K]]-100</f>
        <v>-50.333961294742302</v>
      </c>
      <c r="N348" s="12">
        <v>346</v>
      </c>
      <c r="O348" s="3">
        <v>45412</v>
      </c>
      <c r="P348" s="23" t="s">
        <v>349</v>
      </c>
      <c r="Q348" s="22">
        <f>IF(testdata4[[#This Row],[%R]]&lt;&gt;Table25[[#This Row],[%R]],testdata4[[#This Row],[%R]]-Table25[[#This Row],[%R]],"")</f>
        <v>0</v>
      </c>
      <c r="R348" s="11" t="str">
        <f>IF(OR(Table25[[#This Row],[%R]]&lt;-100,Table25[[#This Row],[%R]]&gt;0),"RANGE_ERR","")</f>
        <v>RANGE_ERR</v>
      </c>
    </row>
    <row r="349" spans="1:18" x14ac:dyDescent="0.35">
      <c r="A349" s="6">
        <v>347</v>
      </c>
      <c r="B349" s="3">
        <v>45413</v>
      </c>
      <c r="C349" s="2">
        <v>136.72</v>
      </c>
      <c r="D349" s="2">
        <v>140.56</v>
      </c>
      <c r="E349" s="2">
        <v>136.13</v>
      </c>
      <c r="F349" s="2">
        <v>138.69</v>
      </c>
      <c r="G349" s="1">
        <v>850440</v>
      </c>
      <c r="H349" s="2">
        <f t="shared" si="12"/>
        <v>128.34</v>
      </c>
      <c r="I349" s="2">
        <f t="shared" si="13"/>
        <v>144.66</v>
      </c>
      <c r="J349" s="22">
        <f>100*(testdata4[[#This Row],[close]]-testdata4[[#This Row],[LL]])/(testdata4[[#This Row],[HH]]-testdata4[[#This Row],[LL]])</f>
        <v>63.419117647058819</v>
      </c>
      <c r="K349" s="22">
        <f>testdata4[[#This Row],[K(14)'']]</f>
        <v>63.419117647058819</v>
      </c>
      <c r="L349" s="22">
        <f>testdata4[[#This Row],[%K]]-100</f>
        <v>-36.580882352941181</v>
      </c>
      <c r="N349" s="12">
        <v>347</v>
      </c>
      <c r="O349" s="3">
        <v>45413</v>
      </c>
      <c r="P349" s="23" t="s">
        <v>350</v>
      </c>
      <c r="Q349" s="22">
        <f>IF(testdata4[[#This Row],[%R]]&lt;&gt;Table25[[#This Row],[%R]],testdata4[[#This Row],[%R]]-Table25[[#This Row],[%R]],"")</f>
        <v>-7.815970093361102E-14</v>
      </c>
      <c r="R349" s="11" t="str">
        <f>IF(OR(Table25[[#This Row],[%R]]&lt;-100,Table25[[#This Row],[%R]]&gt;0),"RANGE_ERR","")</f>
        <v>RANGE_ERR</v>
      </c>
    </row>
    <row r="350" spans="1:18" x14ac:dyDescent="0.35">
      <c r="A350" s="6">
        <v>348</v>
      </c>
      <c r="B350" s="3">
        <v>45414</v>
      </c>
      <c r="C350" s="2">
        <v>139.22999999999999</v>
      </c>
      <c r="D350" s="2">
        <v>139.88499999999999</v>
      </c>
      <c r="E350" s="2">
        <v>136.71</v>
      </c>
      <c r="F350" s="2">
        <v>137.52000000000001</v>
      </c>
      <c r="G350" s="1">
        <v>1146813</v>
      </c>
      <c r="H350" s="2">
        <f t="shared" si="12"/>
        <v>128.34</v>
      </c>
      <c r="I350" s="2">
        <f t="shared" si="13"/>
        <v>143.25</v>
      </c>
      <c r="J350" s="22">
        <f>100*(testdata4[[#This Row],[close]]-testdata4[[#This Row],[LL]])/(testdata4[[#This Row],[HH]]-testdata4[[#This Row],[LL]])</f>
        <v>61.569416498994023</v>
      </c>
      <c r="K350" s="22">
        <f>testdata4[[#This Row],[K(14)'']]</f>
        <v>61.569416498994023</v>
      </c>
      <c r="L350" s="22">
        <f>testdata4[[#This Row],[%K]]-100</f>
        <v>-38.430583501005977</v>
      </c>
      <c r="N350" s="12">
        <v>348</v>
      </c>
      <c r="O350" s="3">
        <v>45414</v>
      </c>
      <c r="P350" s="23" t="s">
        <v>351</v>
      </c>
      <c r="Q350" s="22">
        <f>IF(testdata4[[#This Row],[%R]]&lt;&gt;Table25[[#This Row],[%R]],testdata4[[#This Row],[%R]]-Table25[[#This Row],[%R]],"")</f>
        <v>-7.815970093361102E-14</v>
      </c>
      <c r="R350" s="11" t="str">
        <f>IF(OR(Table25[[#This Row],[%R]]&lt;-100,Table25[[#This Row],[%R]]&gt;0),"RANGE_ERR","")</f>
        <v>RANGE_ERR</v>
      </c>
    </row>
    <row r="351" spans="1:18" x14ac:dyDescent="0.35">
      <c r="A351" s="6">
        <v>349</v>
      </c>
      <c r="B351" s="3">
        <v>45415</v>
      </c>
      <c r="C351" s="2">
        <v>139.69</v>
      </c>
      <c r="D351" s="2">
        <v>140.94999999999999</v>
      </c>
      <c r="E351" s="2">
        <v>138.41</v>
      </c>
      <c r="F351" s="2">
        <v>139.44999999999999</v>
      </c>
      <c r="G351" s="1">
        <v>1097922</v>
      </c>
      <c r="H351" s="2">
        <f t="shared" si="12"/>
        <v>128.34</v>
      </c>
      <c r="I351" s="2">
        <f t="shared" si="13"/>
        <v>140.94999999999999</v>
      </c>
      <c r="J351" s="22">
        <f>100*(testdata4[[#This Row],[close]]-testdata4[[#This Row],[LL]])/(testdata4[[#This Row],[HH]]-testdata4[[#This Row],[LL]])</f>
        <v>88.10467882632831</v>
      </c>
      <c r="K351" s="22">
        <f>testdata4[[#This Row],[K(14)'']]</f>
        <v>88.10467882632831</v>
      </c>
      <c r="L351" s="22">
        <f>testdata4[[#This Row],[%K]]-100</f>
        <v>-11.89532117367169</v>
      </c>
      <c r="N351" s="12">
        <v>349</v>
      </c>
      <c r="O351" s="3">
        <v>45415</v>
      </c>
      <c r="P351" s="23" t="s">
        <v>352</v>
      </c>
      <c r="Q351" s="22">
        <f>IF(testdata4[[#This Row],[%R]]&lt;&gt;Table25[[#This Row],[%R]],testdata4[[#This Row],[%R]]-Table25[[#This Row],[%R]],"")</f>
        <v>-8.8817841970012523E-14</v>
      </c>
      <c r="R351" s="11" t="str">
        <f>IF(OR(Table25[[#This Row],[%R]]&lt;-100,Table25[[#This Row],[%R]]&gt;0),"RANGE_ERR","")</f>
        <v>RANGE_ERR</v>
      </c>
    </row>
    <row r="352" spans="1:18" x14ac:dyDescent="0.35">
      <c r="A352" s="6">
        <v>350</v>
      </c>
      <c r="B352" s="3">
        <v>45418</v>
      </c>
      <c r="C352" s="2">
        <v>139.54</v>
      </c>
      <c r="D352" s="2">
        <v>141.47</v>
      </c>
      <c r="E352" s="2">
        <v>138.33500000000001</v>
      </c>
      <c r="F352" s="2">
        <v>140.61000000000001</v>
      </c>
      <c r="G352" s="1">
        <v>1639410</v>
      </c>
      <c r="H352" s="2">
        <f t="shared" si="12"/>
        <v>128.34</v>
      </c>
      <c r="I352" s="2">
        <f t="shared" si="13"/>
        <v>141.47</v>
      </c>
      <c r="J352" s="22">
        <f>100*(testdata4[[#This Row],[close]]-testdata4[[#This Row],[LL]])/(testdata4[[#This Row],[HH]]-testdata4[[#This Row],[LL]])</f>
        <v>93.45011424219355</v>
      </c>
      <c r="K352" s="22">
        <f>testdata4[[#This Row],[K(14)'']]</f>
        <v>93.45011424219355</v>
      </c>
      <c r="L352" s="22">
        <f>testdata4[[#This Row],[%K]]-100</f>
        <v>-6.5498857578064502</v>
      </c>
      <c r="N352" s="12">
        <v>350</v>
      </c>
      <c r="O352" s="3">
        <v>45418</v>
      </c>
      <c r="P352" s="23" t="s">
        <v>353</v>
      </c>
      <c r="Q352" s="22">
        <f>IF(testdata4[[#This Row],[%R]]&lt;&gt;Table25[[#This Row],[%R]],testdata4[[#This Row],[%R]]-Table25[[#This Row],[%R]],"")</f>
        <v>0</v>
      </c>
      <c r="R352" s="11" t="str">
        <f>IF(OR(Table25[[#This Row],[%R]]&lt;-100,Table25[[#This Row],[%R]]&gt;0),"RANGE_ERR","")</f>
        <v>RANGE_ERR</v>
      </c>
    </row>
    <row r="353" spans="1:18" x14ac:dyDescent="0.35">
      <c r="A353" s="6">
        <v>351</v>
      </c>
      <c r="B353" s="3">
        <v>45419</v>
      </c>
      <c r="C353" s="2">
        <v>141.12</v>
      </c>
      <c r="D353" s="2">
        <v>142.15</v>
      </c>
      <c r="E353" s="2">
        <v>139.76</v>
      </c>
      <c r="F353" s="2">
        <v>141.27000000000001</v>
      </c>
      <c r="G353" s="1">
        <v>1486842</v>
      </c>
      <c r="H353" s="2">
        <f t="shared" si="12"/>
        <v>128.34</v>
      </c>
      <c r="I353" s="2">
        <f t="shared" si="13"/>
        <v>142.15</v>
      </c>
      <c r="J353" s="22">
        <f>100*(testdata4[[#This Row],[close]]-testdata4[[#This Row],[LL]])/(testdata4[[#This Row],[HH]]-testdata4[[#This Row],[LL]])</f>
        <v>93.627805937726322</v>
      </c>
      <c r="K353" s="22">
        <f>testdata4[[#This Row],[K(14)'']]</f>
        <v>93.627805937726322</v>
      </c>
      <c r="L353" s="22">
        <f>testdata4[[#This Row],[%K]]-100</f>
        <v>-6.3721940622736781</v>
      </c>
      <c r="N353" s="12">
        <v>351</v>
      </c>
      <c r="O353" s="3">
        <v>45419</v>
      </c>
      <c r="P353" s="23" t="s">
        <v>354</v>
      </c>
      <c r="Q353" s="22">
        <f>IF(testdata4[[#This Row],[%R]]&lt;&gt;Table25[[#This Row],[%R]],testdata4[[#This Row],[%R]]-Table25[[#This Row],[%R]],"")</f>
        <v>-7.9936057773011271E-15</v>
      </c>
      <c r="R353" s="11" t="str">
        <f>IF(OR(Table25[[#This Row],[%R]]&lt;-100,Table25[[#This Row],[%R]]&gt;0),"RANGE_ERR","")</f>
        <v>RANGE_ERR</v>
      </c>
    </row>
    <row r="354" spans="1:18" x14ac:dyDescent="0.35">
      <c r="A354" s="6">
        <v>352</v>
      </c>
      <c r="B354" s="3">
        <v>45420</v>
      </c>
      <c r="C354" s="2">
        <v>141.12</v>
      </c>
      <c r="D354" s="2">
        <v>143</v>
      </c>
      <c r="E354" s="2">
        <v>140.04</v>
      </c>
      <c r="F354" s="2">
        <v>142.80000000000001</v>
      </c>
      <c r="G354" s="1">
        <v>1423532</v>
      </c>
      <c r="H354" s="2">
        <f t="shared" si="12"/>
        <v>131.78</v>
      </c>
      <c r="I354" s="2">
        <f t="shared" si="13"/>
        <v>143</v>
      </c>
      <c r="J354" s="22">
        <f>100*(testdata4[[#This Row],[close]]-testdata4[[#This Row],[LL]])/(testdata4[[#This Row],[HH]]-testdata4[[#This Row],[LL]])</f>
        <v>98.217468805704186</v>
      </c>
      <c r="K354" s="22">
        <f>testdata4[[#This Row],[K(14)'']]</f>
        <v>98.217468805704186</v>
      </c>
      <c r="L354" s="22">
        <f>testdata4[[#This Row],[%K]]-100</f>
        <v>-1.7825311942958137</v>
      </c>
      <c r="N354" s="12">
        <v>352</v>
      </c>
      <c r="O354" s="3">
        <v>45420</v>
      </c>
      <c r="P354" s="23" t="s">
        <v>355</v>
      </c>
      <c r="Q354" s="22">
        <f>IF(testdata4[[#This Row],[%R]]&lt;&gt;Table25[[#This Row],[%R]],testdata4[[#This Row],[%R]]-Table25[[#This Row],[%R]],"")</f>
        <v>-3.7747582837255322E-15</v>
      </c>
      <c r="R354" s="11" t="str">
        <f>IF(OR(Table25[[#This Row],[%R]]&lt;-100,Table25[[#This Row],[%R]]&gt;0),"RANGE_ERR","")</f>
        <v>RANGE_ERR</v>
      </c>
    </row>
    <row r="355" spans="1:18" x14ac:dyDescent="0.35">
      <c r="A355" s="6">
        <v>353</v>
      </c>
      <c r="B355" s="3">
        <v>45421</v>
      </c>
      <c r="C355" s="2">
        <v>143.11000000000001</v>
      </c>
      <c r="D355" s="2">
        <v>145.47999999999999</v>
      </c>
      <c r="E355" s="2">
        <v>142.82</v>
      </c>
      <c r="F355" s="2">
        <v>145.13999999999999</v>
      </c>
      <c r="G355" s="1">
        <v>1254089</v>
      </c>
      <c r="H355" s="2">
        <f t="shared" si="12"/>
        <v>131.78</v>
      </c>
      <c r="I355" s="2">
        <f t="shared" si="13"/>
        <v>145.47999999999999</v>
      </c>
      <c r="J355" s="22">
        <f>100*(testdata4[[#This Row],[close]]-testdata4[[#This Row],[LL]])/(testdata4[[#This Row],[HH]]-testdata4[[#This Row],[LL]])</f>
        <v>97.518248175182464</v>
      </c>
      <c r="K355" s="22">
        <f>testdata4[[#This Row],[K(14)'']]</f>
        <v>97.518248175182464</v>
      </c>
      <c r="L355" s="22">
        <f>testdata4[[#This Row],[%K]]-100</f>
        <v>-2.4817518248175361</v>
      </c>
      <c r="N355" s="12">
        <v>353</v>
      </c>
      <c r="O355" s="3">
        <v>45421</v>
      </c>
      <c r="P355" s="23" t="s">
        <v>356</v>
      </c>
      <c r="Q355" s="22">
        <f>IF(testdata4[[#This Row],[%R]]&lt;&gt;Table25[[#This Row],[%R]],testdata4[[#This Row],[%R]]-Table25[[#This Row],[%R]],"")</f>
        <v>-6.2172489379008766E-15</v>
      </c>
      <c r="R355" s="11" t="str">
        <f>IF(OR(Table25[[#This Row],[%R]]&lt;-100,Table25[[#This Row],[%R]]&gt;0),"RANGE_ERR","")</f>
        <v>RANGE_ERR</v>
      </c>
    </row>
    <row r="356" spans="1:18" x14ac:dyDescent="0.35">
      <c r="A356" s="6">
        <v>354</v>
      </c>
      <c r="B356" s="3">
        <v>45422</v>
      </c>
      <c r="C356" s="2">
        <v>145.88999999999999</v>
      </c>
      <c r="D356" s="2">
        <v>152.81</v>
      </c>
      <c r="E356" s="2">
        <v>145.12</v>
      </c>
      <c r="F356" s="2">
        <v>149.76</v>
      </c>
      <c r="G356" s="1">
        <v>2246750</v>
      </c>
      <c r="H356" s="2">
        <f t="shared" si="12"/>
        <v>134.12</v>
      </c>
      <c r="I356" s="2">
        <f t="shared" si="13"/>
        <v>152.81</v>
      </c>
      <c r="J356" s="22">
        <f>100*(testdata4[[#This Row],[close]]-testdata4[[#This Row],[LL]])/(testdata4[[#This Row],[HH]]-testdata4[[#This Row],[LL]])</f>
        <v>83.681112894595984</v>
      </c>
      <c r="K356" s="22">
        <f>testdata4[[#This Row],[K(14)'']]</f>
        <v>83.681112894595984</v>
      </c>
      <c r="L356" s="22">
        <f>testdata4[[#This Row],[%K]]-100</f>
        <v>-16.318887105404016</v>
      </c>
      <c r="N356" s="12">
        <v>354</v>
      </c>
      <c r="O356" s="3">
        <v>45422</v>
      </c>
      <c r="P356" s="23" t="s">
        <v>357</v>
      </c>
      <c r="Q356" s="22">
        <f>IF(testdata4[[#This Row],[%R]]&lt;&gt;Table25[[#This Row],[%R]],testdata4[[#This Row],[%R]]-Table25[[#This Row],[%R]],"")</f>
        <v>-1.7763568394002505E-14</v>
      </c>
      <c r="R356" s="11" t="str">
        <f>IF(OR(Table25[[#This Row],[%R]]&lt;-100,Table25[[#This Row],[%R]]&gt;0),"RANGE_ERR","")</f>
        <v>RANGE_ERR</v>
      </c>
    </row>
    <row r="357" spans="1:18" x14ac:dyDescent="0.35">
      <c r="A357" s="6">
        <v>355</v>
      </c>
      <c r="B357" s="3">
        <v>45425</v>
      </c>
      <c r="C357" s="2">
        <v>149.53</v>
      </c>
      <c r="D357" s="2">
        <v>150.26</v>
      </c>
      <c r="E357" s="2">
        <v>147.18</v>
      </c>
      <c r="F357" s="2">
        <v>147.76</v>
      </c>
      <c r="G357" s="1">
        <v>1317676</v>
      </c>
      <c r="H357" s="2">
        <f t="shared" si="12"/>
        <v>134.12</v>
      </c>
      <c r="I357" s="2">
        <f t="shared" si="13"/>
        <v>152.81</v>
      </c>
      <c r="J357" s="22">
        <f>100*(testdata4[[#This Row],[close]]-testdata4[[#This Row],[LL]])/(testdata4[[#This Row],[HH]]-testdata4[[#This Row],[LL]])</f>
        <v>72.980203317281905</v>
      </c>
      <c r="K357" s="22">
        <f>testdata4[[#This Row],[K(14)'']]</f>
        <v>72.980203317281905</v>
      </c>
      <c r="L357" s="22">
        <f>testdata4[[#This Row],[%K]]-100</f>
        <v>-27.019796682718095</v>
      </c>
      <c r="N357" s="12">
        <v>355</v>
      </c>
      <c r="O357" s="3">
        <v>45425</v>
      </c>
      <c r="P357" s="23" t="s">
        <v>358</v>
      </c>
      <c r="Q357" s="22">
        <f>IF(testdata4[[#This Row],[%R]]&lt;&gt;Table25[[#This Row],[%R]],testdata4[[#This Row],[%R]]-Table25[[#This Row],[%R]],"")</f>
        <v>-9.5923269327613525E-14</v>
      </c>
      <c r="R357" s="11" t="str">
        <f>IF(OR(Table25[[#This Row],[%R]]&lt;-100,Table25[[#This Row],[%R]]&gt;0),"RANGE_ERR","")</f>
        <v>RANGE_ERR</v>
      </c>
    </row>
    <row r="358" spans="1:18" x14ac:dyDescent="0.35">
      <c r="A358" s="6">
        <v>356</v>
      </c>
      <c r="B358" s="3">
        <v>45426</v>
      </c>
      <c r="C358" s="2">
        <v>148.75</v>
      </c>
      <c r="D358" s="2">
        <v>151.55000000000001</v>
      </c>
      <c r="E358" s="2">
        <v>148.38</v>
      </c>
      <c r="F358" s="2">
        <v>151.28</v>
      </c>
      <c r="G358" s="1">
        <v>1679903</v>
      </c>
      <c r="H358" s="2">
        <f t="shared" si="12"/>
        <v>134.12</v>
      </c>
      <c r="I358" s="2">
        <f t="shared" si="13"/>
        <v>152.81</v>
      </c>
      <c r="J358" s="22">
        <f>100*(testdata4[[#This Row],[close]]-testdata4[[#This Row],[LL]])/(testdata4[[#This Row],[HH]]-testdata4[[#This Row],[LL]])</f>
        <v>91.813804173354725</v>
      </c>
      <c r="K358" s="22">
        <f>testdata4[[#This Row],[K(14)'']]</f>
        <v>91.813804173354725</v>
      </c>
      <c r="L358" s="22">
        <f>testdata4[[#This Row],[%K]]-100</f>
        <v>-8.1861958266452746</v>
      </c>
      <c r="N358" s="12">
        <v>356</v>
      </c>
      <c r="O358" s="3">
        <v>45426</v>
      </c>
      <c r="P358" s="23" t="s">
        <v>359</v>
      </c>
      <c r="Q358" s="22">
        <f>IF(testdata4[[#This Row],[%R]]&lt;&gt;Table25[[#This Row],[%R]],testdata4[[#This Row],[%R]]-Table25[[#This Row],[%R]],"")</f>
        <v>-5.3290705182007514E-15</v>
      </c>
      <c r="R358" s="11" t="str">
        <f>IF(OR(Table25[[#This Row],[%R]]&lt;-100,Table25[[#This Row],[%R]]&gt;0),"RANGE_ERR","")</f>
        <v>RANGE_ERR</v>
      </c>
    </row>
    <row r="359" spans="1:18" x14ac:dyDescent="0.35">
      <c r="A359" s="6">
        <v>357</v>
      </c>
      <c r="B359" s="3">
        <v>45427</v>
      </c>
      <c r="C359" s="2">
        <v>153</v>
      </c>
      <c r="D359" s="2">
        <v>154.55000000000001</v>
      </c>
      <c r="E359" s="2">
        <v>152.51</v>
      </c>
      <c r="F359" s="2">
        <v>154.08000000000001</v>
      </c>
      <c r="G359" s="1">
        <v>1524633</v>
      </c>
      <c r="H359" s="2">
        <f t="shared" si="12"/>
        <v>135</v>
      </c>
      <c r="I359" s="2">
        <f t="shared" si="13"/>
        <v>154.55000000000001</v>
      </c>
      <c r="J359" s="22">
        <f>100*(testdata4[[#This Row],[close]]-testdata4[[#This Row],[LL]])/(testdata4[[#This Row],[HH]]-testdata4[[#This Row],[LL]])</f>
        <v>97.595907928388755</v>
      </c>
      <c r="K359" s="22">
        <f>testdata4[[#This Row],[K(14)'']]</f>
        <v>97.595907928388755</v>
      </c>
      <c r="L359" s="22">
        <f>testdata4[[#This Row],[%K]]-100</f>
        <v>-2.4040920716112453</v>
      </c>
      <c r="N359" s="12">
        <v>357</v>
      </c>
      <c r="O359" s="3">
        <v>45427</v>
      </c>
      <c r="P359" s="23" t="s">
        <v>360</v>
      </c>
      <c r="Q359" s="22">
        <f>IF(testdata4[[#This Row],[%R]]&lt;&gt;Table25[[#This Row],[%R]],testdata4[[#This Row],[%R]]-Table25[[#This Row],[%R]],"")</f>
        <v>-5.3290705182007514E-15</v>
      </c>
      <c r="R359" s="11" t="str">
        <f>IF(OR(Table25[[#This Row],[%R]]&lt;-100,Table25[[#This Row],[%R]]&gt;0),"RANGE_ERR","")</f>
        <v>RANGE_ERR</v>
      </c>
    </row>
    <row r="360" spans="1:18" x14ac:dyDescent="0.35">
      <c r="A360" s="6">
        <v>358</v>
      </c>
      <c r="B360" s="3">
        <v>45428</v>
      </c>
      <c r="C360" s="2">
        <v>152.57</v>
      </c>
      <c r="D360" s="2">
        <v>154.84</v>
      </c>
      <c r="E360" s="2">
        <v>152.57</v>
      </c>
      <c r="F360" s="2">
        <v>154.31</v>
      </c>
      <c r="G360" s="1">
        <v>1325064</v>
      </c>
      <c r="H360" s="2">
        <f t="shared" si="12"/>
        <v>136.13</v>
      </c>
      <c r="I360" s="2">
        <f t="shared" si="13"/>
        <v>154.84</v>
      </c>
      <c r="J360" s="22">
        <f>100*(testdata4[[#This Row],[close]]-testdata4[[#This Row],[LL]])/(testdata4[[#This Row],[HH]]-testdata4[[#This Row],[LL]])</f>
        <v>97.167290219134145</v>
      </c>
      <c r="K360" s="22">
        <f>testdata4[[#This Row],[K(14)'']]</f>
        <v>97.167290219134145</v>
      </c>
      <c r="L360" s="22">
        <f>testdata4[[#This Row],[%K]]-100</f>
        <v>-2.832709780865855</v>
      </c>
      <c r="N360" s="12">
        <v>358</v>
      </c>
      <c r="O360" s="3">
        <v>45428</v>
      </c>
      <c r="P360" s="23" t="s">
        <v>361</v>
      </c>
      <c r="Q360" s="22">
        <f>IF(testdata4[[#This Row],[%R]]&lt;&gt;Table25[[#This Row],[%R]],testdata4[[#This Row],[%R]]-Table25[[#This Row],[%R]],"")</f>
        <v>-4.8849813083506888E-15</v>
      </c>
      <c r="R360" s="11" t="str">
        <f>IF(OR(Table25[[#This Row],[%R]]&lt;-100,Table25[[#This Row],[%R]]&gt;0),"RANGE_ERR","")</f>
        <v>RANGE_ERR</v>
      </c>
    </row>
    <row r="361" spans="1:18" x14ac:dyDescent="0.35">
      <c r="A361" s="6">
        <v>359</v>
      </c>
      <c r="B361" s="3">
        <v>45429</v>
      </c>
      <c r="C361" s="2">
        <v>154.51</v>
      </c>
      <c r="D361" s="2">
        <v>155.35</v>
      </c>
      <c r="E361" s="2">
        <v>153.03</v>
      </c>
      <c r="F361" s="2">
        <v>154.22999999999999</v>
      </c>
      <c r="G361" s="1">
        <v>1856998</v>
      </c>
      <c r="H361" s="2">
        <f t="shared" si="12"/>
        <v>136.13</v>
      </c>
      <c r="I361" s="2">
        <f t="shared" si="13"/>
        <v>155.35</v>
      </c>
      <c r="J361" s="22">
        <f>100*(testdata4[[#This Row],[close]]-testdata4[[#This Row],[LL]])/(testdata4[[#This Row],[HH]]-testdata4[[#This Row],[LL]])</f>
        <v>94.172736732570215</v>
      </c>
      <c r="K361" s="22">
        <f>testdata4[[#This Row],[K(14)'']]</f>
        <v>94.172736732570215</v>
      </c>
      <c r="L361" s="22">
        <f>testdata4[[#This Row],[%K]]-100</f>
        <v>-5.8272632674297853</v>
      </c>
      <c r="N361" s="12">
        <v>359</v>
      </c>
      <c r="O361" s="3">
        <v>45429</v>
      </c>
      <c r="P361" s="23" t="s">
        <v>362</v>
      </c>
      <c r="Q361" s="22">
        <f>IF(testdata4[[#This Row],[%R]]&lt;&gt;Table25[[#This Row],[%R]],testdata4[[#This Row],[%R]]-Table25[[#This Row],[%R]],"")</f>
        <v>-5.3290705182007514E-15</v>
      </c>
      <c r="R361" s="11" t="str">
        <f>IF(OR(Table25[[#This Row],[%R]]&lt;-100,Table25[[#This Row],[%R]]&gt;0),"RANGE_ERR","")</f>
        <v>RANGE_ERR</v>
      </c>
    </row>
    <row r="362" spans="1:18" x14ac:dyDescent="0.35">
      <c r="A362" s="6">
        <v>360</v>
      </c>
      <c r="B362" s="3">
        <v>45432</v>
      </c>
      <c r="C362" s="2">
        <v>153.97</v>
      </c>
      <c r="D362" s="2">
        <v>154.94999999999999</v>
      </c>
      <c r="E362" s="2">
        <v>153.465</v>
      </c>
      <c r="F362" s="2">
        <v>154.63999999999999</v>
      </c>
      <c r="G362" s="1">
        <v>906242</v>
      </c>
      <c r="H362" s="2">
        <f t="shared" si="12"/>
        <v>136.13</v>
      </c>
      <c r="I362" s="2">
        <f t="shared" si="13"/>
        <v>155.35</v>
      </c>
      <c r="J362" s="22">
        <f>100*(testdata4[[#This Row],[close]]-testdata4[[#This Row],[LL]])/(testdata4[[#This Row],[HH]]-testdata4[[#This Row],[LL]])</f>
        <v>96.305931321540015</v>
      </c>
      <c r="K362" s="22">
        <f>testdata4[[#This Row],[K(14)'']]</f>
        <v>96.305931321540015</v>
      </c>
      <c r="L362" s="22">
        <f>testdata4[[#This Row],[%K]]-100</f>
        <v>-3.6940686784599848</v>
      </c>
      <c r="N362" s="12">
        <v>360</v>
      </c>
      <c r="O362" s="3">
        <v>45432</v>
      </c>
      <c r="P362" s="23" t="s">
        <v>363</v>
      </c>
      <c r="Q362" s="22">
        <f>IF(testdata4[[#This Row],[%R]]&lt;&gt;Table25[[#This Row],[%R]],testdata4[[#This Row],[%R]]-Table25[[#This Row],[%R]],"")</f>
        <v>-4.8849813083506888E-15</v>
      </c>
      <c r="R362" s="11" t="str">
        <f>IF(OR(Table25[[#This Row],[%R]]&lt;-100,Table25[[#This Row],[%R]]&gt;0),"RANGE_ERR","")</f>
        <v>RANGE_ERR</v>
      </c>
    </row>
    <row r="363" spans="1:18" x14ac:dyDescent="0.35">
      <c r="A363" s="6">
        <v>361</v>
      </c>
      <c r="B363" s="3">
        <v>45433</v>
      </c>
      <c r="C363" s="2">
        <v>154.35</v>
      </c>
      <c r="D363" s="2">
        <v>154.65</v>
      </c>
      <c r="E363" s="2">
        <v>152.34</v>
      </c>
      <c r="F363" s="2">
        <v>153.66999999999999</v>
      </c>
      <c r="G363" s="1">
        <v>997114</v>
      </c>
      <c r="H363" s="2">
        <f t="shared" si="12"/>
        <v>136.71</v>
      </c>
      <c r="I363" s="2">
        <f t="shared" si="13"/>
        <v>155.35</v>
      </c>
      <c r="J363" s="22">
        <f>100*(testdata4[[#This Row],[close]]-testdata4[[#This Row],[LL]])/(testdata4[[#This Row],[HH]]-testdata4[[#This Row],[LL]])</f>
        <v>90.987124463519265</v>
      </c>
      <c r="K363" s="22">
        <f>testdata4[[#This Row],[K(14)'']]</f>
        <v>90.987124463519265</v>
      </c>
      <c r="L363" s="22">
        <f>testdata4[[#This Row],[%K]]-100</f>
        <v>-9.0128755364807347</v>
      </c>
      <c r="N363" s="12">
        <v>361</v>
      </c>
      <c r="O363" s="3">
        <v>45433</v>
      </c>
      <c r="P363" s="23" t="s">
        <v>364</v>
      </c>
      <c r="Q363" s="22">
        <f>IF(testdata4[[#This Row],[%R]]&lt;&gt;Table25[[#This Row],[%R]],testdata4[[#This Row],[%R]]-Table25[[#This Row],[%R]],"")</f>
        <v>-5.3290705182007514E-15</v>
      </c>
      <c r="R363" s="11" t="str">
        <f>IF(OR(Table25[[#This Row],[%R]]&lt;-100,Table25[[#This Row],[%R]]&gt;0),"RANGE_ERR","")</f>
        <v>RANGE_ERR</v>
      </c>
    </row>
    <row r="364" spans="1:18" x14ac:dyDescent="0.35">
      <c r="A364" s="6">
        <v>362</v>
      </c>
      <c r="B364" s="3">
        <v>45434</v>
      </c>
      <c r="C364" s="2">
        <v>153.58000000000001</v>
      </c>
      <c r="D364" s="2">
        <v>154.49</v>
      </c>
      <c r="E364" s="2">
        <v>152.63999999999999</v>
      </c>
      <c r="F364" s="2">
        <v>152.87</v>
      </c>
      <c r="G364" s="1">
        <v>1231261</v>
      </c>
      <c r="H364" s="2">
        <f t="shared" si="12"/>
        <v>138.33500000000001</v>
      </c>
      <c r="I364" s="2">
        <f t="shared" si="13"/>
        <v>155.35</v>
      </c>
      <c r="J364" s="22">
        <f>100*(testdata4[[#This Row],[close]]-testdata4[[#This Row],[LL]])/(testdata4[[#This Row],[HH]]-testdata4[[#This Row],[LL]])</f>
        <v>85.4246253305907</v>
      </c>
      <c r="K364" s="22">
        <f>testdata4[[#This Row],[K(14)'']]</f>
        <v>85.4246253305907</v>
      </c>
      <c r="L364" s="22">
        <f>testdata4[[#This Row],[%K]]-100</f>
        <v>-14.5753746694093</v>
      </c>
      <c r="N364" s="12">
        <v>362</v>
      </c>
      <c r="O364" s="3">
        <v>45434</v>
      </c>
      <c r="P364" s="23" t="s">
        <v>365</v>
      </c>
      <c r="Q364" s="22">
        <f>IF(testdata4[[#This Row],[%R]]&lt;&gt;Table25[[#This Row],[%R]],testdata4[[#This Row],[%R]]-Table25[[#This Row],[%R]],"")</f>
        <v>-9.9475983006414026E-14</v>
      </c>
      <c r="R364" s="11" t="str">
        <f>IF(OR(Table25[[#This Row],[%R]]&lt;-100,Table25[[#This Row],[%R]]&gt;0),"RANGE_ERR","")</f>
        <v>RANGE_ERR</v>
      </c>
    </row>
    <row r="365" spans="1:18" x14ac:dyDescent="0.35">
      <c r="A365" s="6">
        <v>363</v>
      </c>
      <c r="B365" s="3">
        <v>45435</v>
      </c>
      <c r="C365" s="2">
        <v>152.47</v>
      </c>
      <c r="D365" s="2">
        <v>152.47</v>
      </c>
      <c r="E365" s="2">
        <v>150.11000000000001</v>
      </c>
      <c r="F365" s="2">
        <v>150.55000000000001</v>
      </c>
      <c r="G365" s="1">
        <v>1005202</v>
      </c>
      <c r="H365" s="2">
        <f t="shared" si="12"/>
        <v>138.33500000000001</v>
      </c>
      <c r="I365" s="2">
        <f t="shared" si="13"/>
        <v>155.35</v>
      </c>
      <c r="J365" s="22">
        <f>100*(testdata4[[#This Row],[close]]-testdata4[[#This Row],[LL]])/(testdata4[[#This Row],[HH]]-testdata4[[#This Row],[LL]])</f>
        <v>71.789597414046511</v>
      </c>
      <c r="K365" s="22">
        <f>testdata4[[#This Row],[K(14)'']]</f>
        <v>71.789597414046511</v>
      </c>
      <c r="L365" s="22">
        <f>testdata4[[#This Row],[%K]]-100</f>
        <v>-28.210402585953489</v>
      </c>
      <c r="N365" s="12">
        <v>363</v>
      </c>
      <c r="O365" s="3">
        <v>45435</v>
      </c>
      <c r="P365" s="23" t="s">
        <v>366</v>
      </c>
      <c r="Q365" s="22">
        <f>IF(testdata4[[#This Row],[%R]]&lt;&gt;Table25[[#This Row],[%R]],testdata4[[#This Row],[%R]]-Table25[[#This Row],[%R]],"")</f>
        <v>-8.8817841970012523E-14</v>
      </c>
      <c r="R365" s="11" t="str">
        <f>IF(OR(Table25[[#This Row],[%R]]&lt;-100,Table25[[#This Row],[%R]]&gt;0),"RANGE_ERR","")</f>
        <v>RANGE_ERR</v>
      </c>
    </row>
    <row r="366" spans="1:18" x14ac:dyDescent="0.35">
      <c r="A366" s="6">
        <v>364</v>
      </c>
      <c r="B366" s="3">
        <v>45436</v>
      </c>
      <c r="C366" s="2">
        <v>150.81</v>
      </c>
      <c r="D366" s="2">
        <v>151.4555</v>
      </c>
      <c r="E366" s="2">
        <v>149.56</v>
      </c>
      <c r="F366" s="2">
        <v>150.66</v>
      </c>
      <c r="G366" s="1">
        <v>784333</v>
      </c>
      <c r="H366" s="2">
        <f t="shared" si="12"/>
        <v>139.76</v>
      </c>
      <c r="I366" s="2">
        <f t="shared" si="13"/>
        <v>155.35</v>
      </c>
      <c r="J366" s="22">
        <f>100*(testdata4[[#This Row],[close]]-testdata4[[#This Row],[LL]])/(testdata4[[#This Row],[HH]]-testdata4[[#This Row],[LL]])</f>
        <v>69.916613213598481</v>
      </c>
      <c r="K366" s="22">
        <f>testdata4[[#This Row],[K(14)'']]</f>
        <v>69.916613213598481</v>
      </c>
      <c r="L366" s="22">
        <f>testdata4[[#This Row],[%K]]-100</f>
        <v>-30.083386786401519</v>
      </c>
      <c r="N366" s="12">
        <v>364</v>
      </c>
      <c r="O366" s="3">
        <v>45436</v>
      </c>
      <c r="P366" s="23" t="s">
        <v>367</v>
      </c>
      <c r="Q366" s="22">
        <f>IF(testdata4[[#This Row],[%R]]&lt;&gt;Table25[[#This Row],[%R]],testdata4[[#This Row],[%R]]-Table25[[#This Row],[%R]],"")</f>
        <v>-1.7763568394002505E-14</v>
      </c>
      <c r="R366" s="11" t="str">
        <f>IF(OR(Table25[[#This Row],[%R]]&lt;-100,Table25[[#This Row],[%R]]&gt;0),"RANGE_ERR","")</f>
        <v>RANGE_ERR</v>
      </c>
    </row>
    <row r="367" spans="1:18" x14ac:dyDescent="0.35">
      <c r="A367" s="6">
        <v>365</v>
      </c>
      <c r="B367" s="3">
        <v>45440</v>
      </c>
      <c r="C367" s="2">
        <v>150.82</v>
      </c>
      <c r="D367" s="2">
        <v>151.19</v>
      </c>
      <c r="E367" s="2">
        <v>147.69999999999999</v>
      </c>
      <c r="F367" s="2">
        <v>148.21</v>
      </c>
      <c r="G367" s="1">
        <v>1366918</v>
      </c>
      <c r="H367" s="2">
        <f t="shared" si="12"/>
        <v>140.04</v>
      </c>
      <c r="I367" s="2">
        <f t="shared" si="13"/>
        <v>155.35</v>
      </c>
      <c r="J367" s="22">
        <f>100*(testdata4[[#This Row],[close]]-testdata4[[#This Row],[LL]])/(testdata4[[#This Row],[HH]]-testdata4[[#This Row],[LL]])</f>
        <v>53.363814500326683</v>
      </c>
      <c r="K367" s="22">
        <f>testdata4[[#This Row],[K(14)'']]</f>
        <v>53.363814500326683</v>
      </c>
      <c r="L367" s="22">
        <f>testdata4[[#This Row],[%K]]-100</f>
        <v>-46.636185499673317</v>
      </c>
      <c r="N367" s="12">
        <v>365</v>
      </c>
      <c r="O367" s="3">
        <v>45440</v>
      </c>
      <c r="P367" s="23" t="s">
        <v>368</v>
      </c>
      <c r="Q367" s="22">
        <f>IF(testdata4[[#This Row],[%R]]&lt;&gt;Table25[[#This Row],[%R]],testdata4[[#This Row],[%R]]-Table25[[#This Row],[%R]],"")</f>
        <v>-1.4210854715202004E-14</v>
      </c>
      <c r="R367" s="11" t="str">
        <f>IF(OR(Table25[[#This Row],[%R]]&lt;-100,Table25[[#This Row],[%R]]&gt;0),"RANGE_ERR","")</f>
        <v>RANGE_ERR</v>
      </c>
    </row>
    <row r="368" spans="1:18" x14ac:dyDescent="0.35">
      <c r="A368" s="6">
        <v>366</v>
      </c>
      <c r="B368" s="3">
        <v>45441</v>
      </c>
      <c r="C368" s="2">
        <v>146.74</v>
      </c>
      <c r="D368" s="2">
        <v>146.99</v>
      </c>
      <c r="E368" s="2">
        <v>144.75</v>
      </c>
      <c r="F368" s="2">
        <v>145.47999999999999</v>
      </c>
      <c r="G368" s="1">
        <v>1603212</v>
      </c>
      <c r="H368" s="2">
        <f t="shared" si="12"/>
        <v>142.82</v>
      </c>
      <c r="I368" s="2">
        <f t="shared" si="13"/>
        <v>155.35</v>
      </c>
      <c r="J368" s="22">
        <f>100*(testdata4[[#This Row],[close]]-testdata4[[#This Row],[LL]])/(testdata4[[#This Row],[HH]]-testdata4[[#This Row],[LL]])</f>
        <v>21.229050279329581</v>
      </c>
      <c r="K368" s="22">
        <f>testdata4[[#This Row],[K(14)'']]</f>
        <v>21.229050279329581</v>
      </c>
      <c r="L368" s="22">
        <f>testdata4[[#This Row],[%K]]-100</f>
        <v>-78.770949720670416</v>
      </c>
      <c r="N368" s="12">
        <v>366</v>
      </c>
      <c r="O368" s="3">
        <v>45441</v>
      </c>
      <c r="P368" s="23" t="s">
        <v>369</v>
      </c>
      <c r="Q368" s="22">
        <f>IF(testdata4[[#This Row],[%R]]&lt;&gt;Table25[[#This Row],[%R]],testdata4[[#This Row],[%R]]-Table25[[#This Row],[%R]],"")</f>
        <v>-1.4210854715202004E-14</v>
      </c>
      <c r="R368" s="11" t="str">
        <f>IF(OR(Table25[[#This Row],[%R]]&lt;-100,Table25[[#This Row],[%R]]&gt;0),"RANGE_ERR","")</f>
        <v>RANGE_ERR</v>
      </c>
    </row>
    <row r="369" spans="1:18" x14ac:dyDescent="0.35">
      <c r="A369" s="6">
        <v>367</v>
      </c>
      <c r="B369" s="3">
        <v>45442</v>
      </c>
      <c r="C369" s="2">
        <v>125.3</v>
      </c>
      <c r="D369" s="2">
        <v>135.18</v>
      </c>
      <c r="E369" s="2">
        <v>125.3</v>
      </c>
      <c r="F369" s="2">
        <v>131.41999999999999</v>
      </c>
      <c r="G369" s="1">
        <v>5138548</v>
      </c>
      <c r="H369" s="2">
        <f t="shared" si="12"/>
        <v>125.3</v>
      </c>
      <c r="I369" s="2">
        <f t="shared" si="13"/>
        <v>155.35</v>
      </c>
      <c r="J369" s="22">
        <f>100*(testdata4[[#This Row],[close]]-testdata4[[#This Row],[LL]])/(testdata4[[#This Row],[HH]]-testdata4[[#This Row],[LL]])</f>
        <v>20.366056572379339</v>
      </c>
      <c r="K369" s="22">
        <f>testdata4[[#This Row],[K(14)'']]</f>
        <v>20.366056572379339</v>
      </c>
      <c r="L369" s="22">
        <f>testdata4[[#This Row],[%K]]-100</f>
        <v>-79.633943427620665</v>
      </c>
      <c r="N369" s="12">
        <v>367</v>
      </c>
      <c r="O369" s="3">
        <v>45442</v>
      </c>
      <c r="P369" s="23" t="s">
        <v>370</v>
      </c>
      <c r="Q369" s="22">
        <f>IF(testdata4[[#This Row],[%R]]&lt;&gt;Table25[[#This Row],[%R]],testdata4[[#This Row],[%R]]-Table25[[#This Row],[%R]],"")</f>
        <v>-7.1054273576010019E-14</v>
      </c>
      <c r="R369" s="11" t="str">
        <f>IF(OR(Table25[[#This Row],[%R]]&lt;-100,Table25[[#This Row],[%R]]&gt;0),"RANGE_ERR","")</f>
        <v>RANGE_ERR</v>
      </c>
    </row>
    <row r="370" spans="1:18" x14ac:dyDescent="0.35">
      <c r="A370" s="6">
        <v>368</v>
      </c>
      <c r="B370" s="3">
        <v>45443</v>
      </c>
      <c r="C370" s="2">
        <v>131</v>
      </c>
      <c r="D370" s="2">
        <v>134.065</v>
      </c>
      <c r="E370" s="2">
        <v>129.56</v>
      </c>
      <c r="F370" s="2">
        <v>130.41</v>
      </c>
      <c r="G370" s="1">
        <v>5333147</v>
      </c>
      <c r="H370" s="2">
        <f t="shared" si="12"/>
        <v>125.3</v>
      </c>
      <c r="I370" s="2">
        <f t="shared" si="13"/>
        <v>155.35</v>
      </c>
      <c r="J370" s="22">
        <f>100*(testdata4[[#This Row],[close]]-testdata4[[#This Row],[LL]])/(testdata4[[#This Row],[HH]]-testdata4[[#This Row],[LL]])</f>
        <v>17.004991680532445</v>
      </c>
      <c r="K370" s="22">
        <f>testdata4[[#This Row],[K(14)'']]</f>
        <v>17.004991680532445</v>
      </c>
      <c r="L370" s="22">
        <f>testdata4[[#This Row],[%K]]-100</f>
        <v>-82.995008319467559</v>
      </c>
      <c r="N370" s="12">
        <v>368</v>
      </c>
      <c r="O370" s="3">
        <v>45443</v>
      </c>
      <c r="P370" s="23" t="s">
        <v>371</v>
      </c>
      <c r="Q370" s="22">
        <f>IF(testdata4[[#This Row],[%R]]&lt;&gt;Table25[[#This Row],[%R]],testdata4[[#This Row],[%R]]-Table25[[#This Row],[%R]],"")</f>
        <v>-5.6843418860808015E-14</v>
      </c>
      <c r="R370" s="11" t="str">
        <f>IF(OR(Table25[[#This Row],[%R]]&lt;-100,Table25[[#This Row],[%R]]&gt;0),"RANGE_ERR","")</f>
        <v>RANGE_ERR</v>
      </c>
    </row>
    <row r="371" spans="1:18" x14ac:dyDescent="0.35">
      <c r="A371" s="6">
        <v>369</v>
      </c>
      <c r="B371" s="3">
        <v>45446</v>
      </c>
      <c r="C371" s="2">
        <v>130</v>
      </c>
      <c r="D371" s="2">
        <v>132.58000000000001</v>
      </c>
      <c r="E371" s="2">
        <v>130</v>
      </c>
      <c r="F371" s="2">
        <v>131.4</v>
      </c>
      <c r="G371" s="1">
        <v>3114841</v>
      </c>
      <c r="H371" s="2">
        <f t="shared" si="12"/>
        <v>125.3</v>
      </c>
      <c r="I371" s="2">
        <f t="shared" si="13"/>
        <v>155.35</v>
      </c>
      <c r="J371" s="22">
        <f>100*(testdata4[[#This Row],[close]]-testdata4[[#This Row],[LL]])/(testdata4[[#This Row],[HH]]-testdata4[[#This Row],[LL]])</f>
        <v>20.299500831946787</v>
      </c>
      <c r="K371" s="22">
        <f>testdata4[[#This Row],[K(14)'']]</f>
        <v>20.299500831946787</v>
      </c>
      <c r="L371" s="22">
        <f>testdata4[[#This Row],[%K]]-100</f>
        <v>-79.700499168053213</v>
      </c>
      <c r="N371" s="12">
        <v>369</v>
      </c>
      <c r="O371" s="3">
        <v>45446</v>
      </c>
      <c r="P371" s="23" t="s">
        <v>372</v>
      </c>
      <c r="Q371" s="22">
        <f>IF(testdata4[[#This Row],[%R]]&lt;&gt;Table25[[#This Row],[%R]],testdata4[[#This Row],[%R]]-Table25[[#This Row],[%R]],"")</f>
        <v>-1.4210854715202004E-14</v>
      </c>
      <c r="R371" s="11" t="str">
        <f>IF(OR(Table25[[#This Row],[%R]]&lt;-100,Table25[[#This Row],[%R]]&gt;0),"RANGE_ERR","")</f>
        <v>RANGE_ERR</v>
      </c>
    </row>
    <row r="372" spans="1:18" x14ac:dyDescent="0.35">
      <c r="A372" s="6">
        <v>370</v>
      </c>
      <c r="B372" s="3">
        <v>45447</v>
      </c>
      <c r="C372" s="2">
        <v>131.24</v>
      </c>
      <c r="D372" s="2">
        <v>132.25</v>
      </c>
      <c r="E372" s="2">
        <v>130.2801</v>
      </c>
      <c r="F372" s="2">
        <v>130.85</v>
      </c>
      <c r="G372" s="1">
        <v>2893665</v>
      </c>
      <c r="H372" s="2">
        <f t="shared" si="12"/>
        <v>125.3</v>
      </c>
      <c r="I372" s="2">
        <f t="shared" si="13"/>
        <v>155.35</v>
      </c>
      <c r="J372" s="22">
        <f>100*(testdata4[[#This Row],[close]]-testdata4[[#This Row],[LL]])/(testdata4[[#This Row],[HH]]-testdata4[[#This Row],[LL]])</f>
        <v>18.469217970049911</v>
      </c>
      <c r="K372" s="22">
        <f>testdata4[[#This Row],[K(14)'']]</f>
        <v>18.469217970049911</v>
      </c>
      <c r="L372" s="22">
        <f>testdata4[[#This Row],[%K]]-100</f>
        <v>-81.530782029950089</v>
      </c>
      <c r="N372" s="12">
        <v>370</v>
      </c>
      <c r="O372" s="3">
        <v>45447</v>
      </c>
      <c r="P372" s="23" t="s">
        <v>373</v>
      </c>
      <c r="Q372" s="22">
        <f>IF(testdata4[[#This Row],[%R]]&lt;&gt;Table25[[#This Row],[%R]],testdata4[[#This Row],[%R]]-Table25[[#This Row],[%R]],"")</f>
        <v>-8.5265128291212022E-14</v>
      </c>
      <c r="R372" s="11" t="str">
        <f>IF(OR(Table25[[#This Row],[%R]]&lt;-100,Table25[[#This Row],[%R]]&gt;0),"RANGE_ERR","")</f>
        <v>RANGE_ERR</v>
      </c>
    </row>
    <row r="373" spans="1:18" x14ac:dyDescent="0.35">
      <c r="A373" s="6">
        <v>371</v>
      </c>
      <c r="B373" s="3">
        <v>45448</v>
      </c>
      <c r="C373" s="2">
        <v>130.54</v>
      </c>
      <c r="D373" s="2">
        <v>134.19999999999999</v>
      </c>
      <c r="E373" s="2">
        <v>130.01</v>
      </c>
      <c r="F373" s="2">
        <v>133.56</v>
      </c>
      <c r="G373" s="1">
        <v>2707455</v>
      </c>
      <c r="H373" s="2">
        <f t="shared" si="12"/>
        <v>125.3</v>
      </c>
      <c r="I373" s="2">
        <f t="shared" si="13"/>
        <v>155.35</v>
      </c>
      <c r="J373" s="22">
        <f>100*(testdata4[[#This Row],[close]]-testdata4[[#This Row],[LL]])/(testdata4[[#This Row],[HH]]-testdata4[[#This Row],[LL]])</f>
        <v>27.487520798668903</v>
      </c>
      <c r="K373" s="22">
        <f>testdata4[[#This Row],[K(14)'']]</f>
        <v>27.487520798668903</v>
      </c>
      <c r="L373" s="22">
        <f>testdata4[[#This Row],[%K]]-100</f>
        <v>-72.512479201331104</v>
      </c>
      <c r="N373" s="12">
        <v>371</v>
      </c>
      <c r="O373" s="3">
        <v>45448</v>
      </c>
      <c r="P373" s="23" t="s">
        <v>374</v>
      </c>
      <c r="Q373" s="22">
        <f>IF(testdata4[[#This Row],[%R]]&lt;&gt;Table25[[#This Row],[%R]],testdata4[[#This Row],[%R]]-Table25[[#This Row],[%R]],"")</f>
        <v>0</v>
      </c>
      <c r="R373" s="11" t="str">
        <f>IF(OR(Table25[[#This Row],[%R]]&lt;-100,Table25[[#This Row],[%R]]&gt;0),"RANGE_ERR","")</f>
        <v>RANGE_ERR</v>
      </c>
    </row>
    <row r="374" spans="1:18" x14ac:dyDescent="0.35">
      <c r="A374" s="6">
        <v>372</v>
      </c>
      <c r="B374" s="3">
        <v>45449</v>
      </c>
      <c r="C374" s="2">
        <v>132.46</v>
      </c>
      <c r="D374" s="2">
        <v>134.35</v>
      </c>
      <c r="E374" s="2">
        <v>132.28</v>
      </c>
      <c r="F374" s="2">
        <v>132.82</v>
      </c>
      <c r="G374" s="1">
        <v>2269636</v>
      </c>
      <c r="H374" s="2">
        <f t="shared" si="12"/>
        <v>125.3</v>
      </c>
      <c r="I374" s="2">
        <f t="shared" si="13"/>
        <v>155.35</v>
      </c>
      <c r="J374" s="22">
        <f>100*(testdata4[[#This Row],[close]]-testdata4[[#This Row],[LL]])/(testdata4[[#This Row],[HH]]-testdata4[[#This Row],[LL]])</f>
        <v>25.024958402662218</v>
      </c>
      <c r="K374" s="22">
        <f>testdata4[[#This Row],[K(14)'']]</f>
        <v>25.024958402662218</v>
      </c>
      <c r="L374" s="22">
        <f>testdata4[[#This Row],[%K]]-100</f>
        <v>-74.975041597337778</v>
      </c>
      <c r="N374" s="12">
        <v>372</v>
      </c>
      <c r="O374" s="3">
        <v>45449</v>
      </c>
      <c r="P374" s="23" t="s">
        <v>375</v>
      </c>
      <c r="Q374" s="22">
        <f>IF(testdata4[[#This Row],[%R]]&lt;&gt;Table25[[#This Row],[%R]],testdata4[[#This Row],[%R]]-Table25[[#This Row],[%R]],"")</f>
        <v>-8.5265128291212022E-14</v>
      </c>
      <c r="R374" s="11" t="str">
        <f>IF(OR(Table25[[#This Row],[%R]]&lt;-100,Table25[[#This Row],[%R]]&gt;0),"RANGE_ERR","")</f>
        <v>RANGE_ERR</v>
      </c>
    </row>
    <row r="375" spans="1:18" x14ac:dyDescent="0.35">
      <c r="A375" s="6">
        <v>373</v>
      </c>
      <c r="B375" s="3">
        <v>45450</v>
      </c>
      <c r="C375" s="2">
        <v>131.94999999999999</v>
      </c>
      <c r="D375" s="2">
        <v>133.37989999999999</v>
      </c>
      <c r="E375" s="2">
        <v>131.29</v>
      </c>
      <c r="F375" s="2">
        <v>132.97999999999999</v>
      </c>
      <c r="G375" s="1">
        <v>2365340</v>
      </c>
      <c r="H375" s="2">
        <f t="shared" si="12"/>
        <v>125.3</v>
      </c>
      <c r="I375" s="2">
        <f t="shared" si="13"/>
        <v>154.94999999999999</v>
      </c>
      <c r="J375" s="22">
        <f>100*(testdata4[[#This Row],[close]]-testdata4[[#This Row],[LL]])/(testdata4[[#This Row],[HH]]-testdata4[[#This Row],[LL]])</f>
        <v>25.902192242833038</v>
      </c>
      <c r="K375" s="22">
        <f>testdata4[[#This Row],[K(14)'']]</f>
        <v>25.902192242833038</v>
      </c>
      <c r="L375" s="22">
        <f>testdata4[[#This Row],[%K]]-100</f>
        <v>-74.097807757166962</v>
      </c>
      <c r="N375" s="12">
        <v>373</v>
      </c>
      <c r="O375" s="3">
        <v>45450</v>
      </c>
      <c r="P375" s="23" t="s">
        <v>376</v>
      </c>
      <c r="Q375" s="22">
        <f>IF(testdata4[[#This Row],[%R]]&lt;&gt;Table25[[#This Row],[%R]],testdata4[[#This Row],[%R]]-Table25[[#This Row],[%R]],"")</f>
        <v>-5.6843418860808015E-14</v>
      </c>
      <c r="R375" s="11" t="str">
        <f>IF(OR(Table25[[#This Row],[%R]]&lt;-100,Table25[[#This Row],[%R]]&gt;0),"RANGE_ERR","")</f>
        <v>RANGE_ERR</v>
      </c>
    </row>
    <row r="376" spans="1:18" x14ac:dyDescent="0.35">
      <c r="A376" s="6">
        <v>374</v>
      </c>
      <c r="B376" s="3">
        <v>45453</v>
      </c>
      <c r="C376" s="2">
        <v>132.87</v>
      </c>
      <c r="D376" s="2">
        <v>133.85</v>
      </c>
      <c r="E376" s="2">
        <v>132.25</v>
      </c>
      <c r="F376" s="2">
        <v>133.03</v>
      </c>
      <c r="G376" s="1">
        <v>1673611</v>
      </c>
      <c r="H376" s="2">
        <f t="shared" si="12"/>
        <v>125.3</v>
      </c>
      <c r="I376" s="2">
        <f t="shared" si="13"/>
        <v>154.65</v>
      </c>
      <c r="J376" s="22">
        <f>100*(testdata4[[#This Row],[close]]-testdata4[[#This Row],[LL]])/(testdata4[[#This Row],[HH]]-testdata4[[#This Row],[LL]])</f>
        <v>26.33730834752982</v>
      </c>
      <c r="K376" s="22">
        <f>testdata4[[#This Row],[K(14)'']]</f>
        <v>26.33730834752982</v>
      </c>
      <c r="L376" s="22">
        <f>testdata4[[#This Row],[%K]]-100</f>
        <v>-73.662691652470187</v>
      </c>
      <c r="N376" s="12">
        <v>374</v>
      </c>
      <c r="O376" s="3">
        <v>45453</v>
      </c>
      <c r="P376" s="23" t="s">
        <v>377</v>
      </c>
      <c r="Q376" s="22">
        <f>IF(testdata4[[#This Row],[%R]]&lt;&gt;Table25[[#This Row],[%R]],testdata4[[#This Row],[%R]]-Table25[[#This Row],[%R]],"")</f>
        <v>-8.5265128291212022E-14</v>
      </c>
      <c r="R376" s="11" t="str">
        <f>IF(OR(Table25[[#This Row],[%R]]&lt;-100,Table25[[#This Row],[%R]]&gt;0),"RANGE_ERR","")</f>
        <v>RANGE_ERR</v>
      </c>
    </row>
    <row r="377" spans="1:18" x14ac:dyDescent="0.35">
      <c r="A377" s="6">
        <v>375</v>
      </c>
      <c r="B377" s="3">
        <v>45454</v>
      </c>
      <c r="C377" s="2">
        <v>132.63999999999999</v>
      </c>
      <c r="D377" s="2">
        <v>132.99</v>
      </c>
      <c r="E377" s="2">
        <v>131.49</v>
      </c>
      <c r="F377" s="2">
        <v>132.11000000000001</v>
      </c>
      <c r="G377" s="1">
        <v>2081563</v>
      </c>
      <c r="H377" s="2">
        <f t="shared" si="12"/>
        <v>125.3</v>
      </c>
      <c r="I377" s="2">
        <f t="shared" si="13"/>
        <v>154.49</v>
      </c>
      <c r="J377" s="22">
        <f>100*(testdata4[[#This Row],[close]]-testdata4[[#This Row],[LL]])/(testdata4[[#This Row],[HH]]-testdata4[[#This Row],[LL]])</f>
        <v>23.329907502569419</v>
      </c>
      <c r="K377" s="22">
        <f>testdata4[[#This Row],[K(14)'']]</f>
        <v>23.329907502569419</v>
      </c>
      <c r="L377" s="22">
        <f>testdata4[[#This Row],[%K]]-100</f>
        <v>-76.670092497430574</v>
      </c>
      <c r="N377" s="12">
        <v>375</v>
      </c>
      <c r="O377" s="3">
        <v>45454</v>
      </c>
      <c r="P377" s="23" t="s">
        <v>378</v>
      </c>
      <c r="Q377" s="22">
        <f>IF(testdata4[[#This Row],[%R]]&lt;&gt;Table25[[#This Row],[%R]],testdata4[[#This Row],[%R]]-Table25[[#This Row],[%R]],"")</f>
        <v>-7.1054273576010019E-14</v>
      </c>
      <c r="R377" s="11" t="str">
        <f>IF(OR(Table25[[#This Row],[%R]]&lt;-100,Table25[[#This Row],[%R]]&gt;0),"RANGE_ERR","")</f>
        <v>RANGE_ERR</v>
      </c>
    </row>
    <row r="378" spans="1:18" x14ac:dyDescent="0.35">
      <c r="A378" s="6">
        <v>376</v>
      </c>
      <c r="B378" s="3">
        <v>45455</v>
      </c>
      <c r="C378" s="2">
        <v>133.63</v>
      </c>
      <c r="D378" s="2">
        <v>133.63499999999999</v>
      </c>
      <c r="E378" s="2">
        <v>132.33000000000001</v>
      </c>
      <c r="F378" s="2">
        <v>133.16</v>
      </c>
      <c r="G378" s="1">
        <v>2399911</v>
      </c>
      <c r="H378" s="2">
        <f t="shared" si="12"/>
        <v>125.3</v>
      </c>
      <c r="I378" s="2">
        <f t="shared" si="13"/>
        <v>152.47</v>
      </c>
      <c r="J378" s="22">
        <f>100*(testdata4[[#This Row],[close]]-testdata4[[#This Row],[LL]])/(testdata4[[#This Row],[HH]]-testdata4[[#This Row],[LL]])</f>
        <v>28.928965771071031</v>
      </c>
      <c r="K378" s="22">
        <f>testdata4[[#This Row],[K(14)'']]</f>
        <v>28.928965771071031</v>
      </c>
      <c r="L378" s="22">
        <f>testdata4[[#This Row],[%K]]-100</f>
        <v>-71.071034228928966</v>
      </c>
      <c r="N378" s="12">
        <v>376</v>
      </c>
      <c r="O378" s="3">
        <v>45455</v>
      </c>
      <c r="P378" s="23" t="s">
        <v>379</v>
      </c>
      <c r="Q378" s="22">
        <f>IF(testdata4[[#This Row],[%R]]&lt;&gt;Table25[[#This Row],[%R]],testdata4[[#This Row],[%R]]-Table25[[#This Row],[%R]],"")</f>
        <v>-7.1054273576010019E-14</v>
      </c>
      <c r="R378" s="11" t="str">
        <f>IF(OR(Table25[[#This Row],[%R]]&lt;-100,Table25[[#This Row],[%R]]&gt;0),"RANGE_ERR","")</f>
        <v>RANGE_ERR</v>
      </c>
    </row>
    <row r="379" spans="1:18" x14ac:dyDescent="0.35">
      <c r="A379" s="6">
        <v>377</v>
      </c>
      <c r="B379" s="3">
        <v>45456</v>
      </c>
      <c r="C379" s="2">
        <v>132.59</v>
      </c>
      <c r="D379" s="2">
        <v>133</v>
      </c>
      <c r="E379" s="2">
        <v>130.04</v>
      </c>
      <c r="F379" s="2">
        <v>130.57</v>
      </c>
      <c r="G379" s="1">
        <v>2555442</v>
      </c>
      <c r="H379" s="2">
        <f t="shared" si="12"/>
        <v>125.3</v>
      </c>
      <c r="I379" s="2">
        <f t="shared" si="13"/>
        <v>151.4555</v>
      </c>
      <c r="J379" s="22">
        <f>100*(testdata4[[#This Row],[close]]-testdata4[[#This Row],[LL]])/(testdata4[[#This Row],[HH]]-testdata4[[#This Row],[LL]])</f>
        <v>20.148725889392267</v>
      </c>
      <c r="K379" s="22">
        <f>testdata4[[#This Row],[K(14)'']]</f>
        <v>20.148725889392267</v>
      </c>
      <c r="L379" s="22">
        <f>testdata4[[#This Row],[%K]]-100</f>
        <v>-79.851274110607733</v>
      </c>
      <c r="N379" s="12">
        <v>377</v>
      </c>
      <c r="O379" s="3">
        <v>45456</v>
      </c>
      <c r="P379" s="23" t="s">
        <v>380</v>
      </c>
      <c r="Q379" s="22">
        <f>IF(testdata4[[#This Row],[%R]]&lt;&gt;Table25[[#This Row],[%R]],testdata4[[#This Row],[%R]]-Table25[[#This Row],[%R]],"")</f>
        <v>-2.8421709430404007E-14</v>
      </c>
      <c r="R379" s="11" t="str">
        <f>IF(OR(Table25[[#This Row],[%R]]&lt;-100,Table25[[#This Row],[%R]]&gt;0),"RANGE_ERR","")</f>
        <v>RANGE_ERR</v>
      </c>
    </row>
    <row r="380" spans="1:18" x14ac:dyDescent="0.35">
      <c r="A380" s="6">
        <v>378</v>
      </c>
      <c r="B380" s="3">
        <v>45457</v>
      </c>
      <c r="C380" s="2">
        <v>130</v>
      </c>
      <c r="D380" s="2">
        <v>130.74</v>
      </c>
      <c r="E380" s="2">
        <v>129.24</v>
      </c>
      <c r="F380" s="2">
        <v>129.85</v>
      </c>
      <c r="G380" s="1">
        <v>2163274</v>
      </c>
      <c r="H380" s="2">
        <f t="shared" si="12"/>
        <v>125.3</v>
      </c>
      <c r="I380" s="2">
        <f t="shared" si="13"/>
        <v>151.19</v>
      </c>
      <c r="J380" s="22">
        <f>100*(testdata4[[#This Row],[close]]-testdata4[[#This Row],[LL]])/(testdata4[[#This Row],[HH]]-testdata4[[#This Row],[LL]])</f>
        <v>17.574353032058699</v>
      </c>
      <c r="K380" s="22">
        <f>testdata4[[#This Row],[K(14)'']]</f>
        <v>17.574353032058699</v>
      </c>
      <c r="L380" s="22">
        <f>testdata4[[#This Row],[%K]]-100</f>
        <v>-82.425646967941304</v>
      </c>
      <c r="N380" s="12">
        <v>378</v>
      </c>
      <c r="O380" s="3">
        <v>45457</v>
      </c>
      <c r="P380" s="23" t="s">
        <v>381</v>
      </c>
      <c r="Q380" s="22">
        <f>IF(testdata4[[#This Row],[%R]]&lt;&gt;Table25[[#This Row],[%R]],testdata4[[#This Row],[%R]]-Table25[[#This Row],[%R]],"")</f>
        <v>0</v>
      </c>
      <c r="R380" s="11" t="str">
        <f>IF(OR(Table25[[#This Row],[%R]]&lt;-100,Table25[[#This Row],[%R]]&gt;0),"RANGE_ERR","")</f>
        <v>RANGE_ERR</v>
      </c>
    </row>
    <row r="381" spans="1:18" x14ac:dyDescent="0.35">
      <c r="A381" s="6">
        <v>379</v>
      </c>
      <c r="B381" s="3">
        <v>45460</v>
      </c>
      <c r="C381" s="2">
        <v>131.11000000000001</v>
      </c>
      <c r="D381" s="2">
        <v>132.07</v>
      </c>
      <c r="E381" s="2">
        <v>129.5</v>
      </c>
      <c r="F381" s="2">
        <v>131.83000000000001</v>
      </c>
      <c r="G381" s="1">
        <v>2090521</v>
      </c>
      <c r="H381" s="2">
        <f t="shared" si="12"/>
        <v>125.3</v>
      </c>
      <c r="I381" s="2">
        <f t="shared" si="13"/>
        <v>146.99</v>
      </c>
      <c r="J381" s="22">
        <f>100*(testdata4[[#This Row],[close]]-testdata4[[#This Row],[LL]])/(testdata4[[#This Row],[HH]]-testdata4[[#This Row],[LL]])</f>
        <v>30.106039649608171</v>
      </c>
      <c r="K381" s="22">
        <f>testdata4[[#This Row],[K(14)'']]</f>
        <v>30.106039649608171</v>
      </c>
      <c r="L381" s="22">
        <f>testdata4[[#This Row],[%K]]-100</f>
        <v>-69.893960350391836</v>
      </c>
      <c r="N381" s="12">
        <v>379</v>
      </c>
      <c r="O381" s="3">
        <v>45460</v>
      </c>
      <c r="P381" s="23" t="s">
        <v>382</v>
      </c>
      <c r="Q381" s="22">
        <f>IF(testdata4[[#This Row],[%R]]&lt;&gt;Table25[[#This Row],[%R]],testdata4[[#This Row],[%R]]-Table25[[#This Row],[%R]],"")</f>
        <v>-4.2632564145606011E-14</v>
      </c>
      <c r="R381" s="11" t="str">
        <f>IF(OR(Table25[[#This Row],[%R]]&lt;-100,Table25[[#This Row],[%R]]&gt;0),"RANGE_ERR","")</f>
        <v>RANGE_ERR</v>
      </c>
    </row>
    <row r="382" spans="1:18" x14ac:dyDescent="0.35">
      <c r="A382" s="6">
        <v>380</v>
      </c>
      <c r="B382" s="3">
        <v>45461</v>
      </c>
      <c r="C382" s="2">
        <v>132.13</v>
      </c>
      <c r="D382" s="2">
        <v>135.15</v>
      </c>
      <c r="E382" s="2">
        <v>131.56</v>
      </c>
      <c r="F382" s="2">
        <v>134.9</v>
      </c>
      <c r="G382" s="1">
        <v>3453080</v>
      </c>
      <c r="H382" s="2">
        <f t="shared" si="12"/>
        <v>125.3</v>
      </c>
      <c r="I382" s="2">
        <f t="shared" si="13"/>
        <v>135.18</v>
      </c>
      <c r="J382" s="22">
        <f>100*(testdata4[[#This Row],[close]]-testdata4[[#This Row],[LL]])/(testdata4[[#This Row],[HH]]-testdata4[[#This Row],[LL]])</f>
        <v>97.165991902834008</v>
      </c>
      <c r="K382" s="22">
        <f>testdata4[[#This Row],[K(14)'']]</f>
        <v>97.165991902834008</v>
      </c>
      <c r="L382" s="22">
        <f>testdata4[[#This Row],[%K]]-100</f>
        <v>-2.8340080971659916</v>
      </c>
      <c r="N382" s="12">
        <v>380</v>
      </c>
      <c r="O382" s="3">
        <v>45461</v>
      </c>
      <c r="P382" s="23" t="s">
        <v>383</v>
      </c>
      <c r="Q382" s="22">
        <f>IF(testdata4[[#This Row],[%R]]&lt;&gt;Table25[[#This Row],[%R]],testdata4[[#This Row],[%R]]-Table25[[#This Row],[%R]],"")</f>
        <v>-1.7763568394002505E-15</v>
      </c>
      <c r="R382" s="11" t="str">
        <f>IF(OR(Table25[[#This Row],[%R]]&lt;-100,Table25[[#This Row],[%R]]&gt;0),"RANGE_ERR","")</f>
        <v>RANGE_ERR</v>
      </c>
    </row>
    <row r="383" spans="1:18" x14ac:dyDescent="0.35">
      <c r="A383" s="6">
        <v>381</v>
      </c>
      <c r="B383" s="3">
        <v>45463</v>
      </c>
      <c r="C383" s="2">
        <v>133.26</v>
      </c>
      <c r="D383" s="2">
        <v>134.65</v>
      </c>
      <c r="E383" s="2">
        <v>132.53</v>
      </c>
      <c r="F383" s="2">
        <v>132.72999999999999</v>
      </c>
      <c r="G383" s="1">
        <v>2887363</v>
      </c>
      <c r="H383" s="2">
        <f t="shared" si="12"/>
        <v>129.24</v>
      </c>
      <c r="I383" s="2">
        <f t="shared" si="13"/>
        <v>135.15</v>
      </c>
      <c r="J383" s="22">
        <f>100*(testdata4[[#This Row],[close]]-testdata4[[#This Row],[LL]])/(testdata4[[#This Row],[HH]]-testdata4[[#This Row],[LL]])</f>
        <v>59.052453468696832</v>
      </c>
      <c r="K383" s="22">
        <f>testdata4[[#This Row],[K(14)'']]</f>
        <v>59.052453468696832</v>
      </c>
      <c r="L383" s="22">
        <f>testdata4[[#This Row],[%K]]-100</f>
        <v>-40.947546531303168</v>
      </c>
      <c r="N383" s="12">
        <v>381</v>
      </c>
      <c r="O383" s="3">
        <v>45463</v>
      </c>
      <c r="P383" s="23" t="s">
        <v>384</v>
      </c>
      <c r="Q383" s="22">
        <f>IF(testdata4[[#This Row],[%R]]&lt;&gt;Table25[[#This Row],[%R]],testdata4[[#This Row],[%R]]-Table25[[#This Row],[%R]],"")</f>
        <v>-7.1054273576010019E-14</v>
      </c>
      <c r="R383" s="11" t="str">
        <f>IF(OR(Table25[[#This Row],[%R]]&lt;-100,Table25[[#This Row],[%R]]&gt;0),"RANGE_ERR","")</f>
        <v>RANGE_ERR</v>
      </c>
    </row>
    <row r="384" spans="1:18" x14ac:dyDescent="0.35">
      <c r="A384" s="6">
        <v>382</v>
      </c>
      <c r="B384" s="3">
        <v>45464</v>
      </c>
      <c r="C384" s="2">
        <v>132.85</v>
      </c>
      <c r="D384" s="2">
        <v>134.5</v>
      </c>
      <c r="E384" s="2">
        <v>132.19999999999999</v>
      </c>
      <c r="F384" s="2">
        <v>133.25</v>
      </c>
      <c r="G384" s="1">
        <v>4461292</v>
      </c>
      <c r="H384" s="2">
        <f t="shared" si="12"/>
        <v>129.24</v>
      </c>
      <c r="I384" s="2">
        <f t="shared" si="13"/>
        <v>135.15</v>
      </c>
      <c r="J384" s="22">
        <f>100*(testdata4[[#This Row],[close]]-testdata4[[#This Row],[LL]])/(testdata4[[#This Row],[HH]]-testdata4[[#This Row],[LL]])</f>
        <v>67.85109983079515</v>
      </c>
      <c r="K384" s="22">
        <f>testdata4[[#This Row],[K(14)'']]</f>
        <v>67.85109983079515</v>
      </c>
      <c r="L384" s="22">
        <f>testdata4[[#This Row],[%K]]-100</f>
        <v>-32.14890016920485</v>
      </c>
      <c r="N384" s="12">
        <v>382</v>
      </c>
      <c r="O384" s="3">
        <v>45464</v>
      </c>
      <c r="P384" s="23" t="s">
        <v>385</v>
      </c>
      <c r="Q384" s="22">
        <f>IF(testdata4[[#This Row],[%R]]&lt;&gt;Table25[[#This Row],[%R]],testdata4[[#This Row],[%R]]-Table25[[#This Row],[%R]],"")</f>
        <v>-4.9737991503207013E-14</v>
      </c>
      <c r="R384" s="11" t="str">
        <f>IF(OR(Table25[[#This Row],[%R]]&lt;-100,Table25[[#This Row],[%R]]&gt;0),"RANGE_ERR","")</f>
        <v>RANGE_ERR</v>
      </c>
    </row>
    <row r="385" spans="1:18" x14ac:dyDescent="0.35">
      <c r="A385" s="6">
        <v>383</v>
      </c>
      <c r="B385" s="3">
        <v>45467</v>
      </c>
      <c r="C385" s="2">
        <v>135.30000000000001</v>
      </c>
      <c r="D385" s="2">
        <v>137.71</v>
      </c>
      <c r="E385" s="2">
        <v>134.34</v>
      </c>
      <c r="F385" s="2">
        <v>135.08000000000001</v>
      </c>
      <c r="G385" s="1">
        <v>3339551</v>
      </c>
      <c r="H385" s="2">
        <f t="shared" si="12"/>
        <v>129.24</v>
      </c>
      <c r="I385" s="2">
        <f t="shared" si="13"/>
        <v>137.71</v>
      </c>
      <c r="J385" s="22">
        <f>100*(testdata4[[#This Row],[close]]-testdata4[[#This Row],[LL]])/(testdata4[[#This Row],[HH]]-testdata4[[#This Row],[LL]])</f>
        <v>68.949232585596278</v>
      </c>
      <c r="K385" s="22">
        <f>testdata4[[#This Row],[K(14)'']]</f>
        <v>68.949232585596278</v>
      </c>
      <c r="L385" s="22">
        <f>testdata4[[#This Row],[%K]]-100</f>
        <v>-31.050767414403722</v>
      </c>
      <c r="N385" s="12">
        <v>383</v>
      </c>
      <c r="O385" s="3">
        <v>45467</v>
      </c>
      <c r="P385" s="23" t="s">
        <v>386</v>
      </c>
      <c r="Q385" s="22">
        <f>IF(testdata4[[#This Row],[%R]]&lt;&gt;Table25[[#This Row],[%R]],testdata4[[#This Row],[%R]]-Table25[[#This Row],[%R]],"")</f>
        <v>-2.1316282072803006E-14</v>
      </c>
      <c r="R385" s="11" t="str">
        <f>IF(OR(Table25[[#This Row],[%R]]&lt;-100,Table25[[#This Row],[%R]]&gt;0),"RANGE_ERR","")</f>
        <v>RANGE_ERR</v>
      </c>
    </row>
    <row r="386" spans="1:18" x14ac:dyDescent="0.35">
      <c r="A386" s="6">
        <v>384</v>
      </c>
      <c r="B386" s="3">
        <v>45468</v>
      </c>
      <c r="C386" s="2">
        <v>135</v>
      </c>
      <c r="D386" s="2">
        <v>136.01</v>
      </c>
      <c r="E386" s="2">
        <v>134.29</v>
      </c>
      <c r="F386" s="2">
        <v>134.69</v>
      </c>
      <c r="G386" s="1">
        <v>2310830</v>
      </c>
      <c r="H386" s="2">
        <f t="shared" si="12"/>
        <v>129.24</v>
      </c>
      <c r="I386" s="2">
        <f t="shared" si="13"/>
        <v>137.71</v>
      </c>
      <c r="J386" s="22">
        <f>100*(testdata4[[#This Row],[close]]-testdata4[[#This Row],[LL]])/(testdata4[[#This Row],[HH]]-testdata4[[#This Row],[LL]])</f>
        <v>64.344746162927862</v>
      </c>
      <c r="K386" s="22">
        <f>testdata4[[#This Row],[K(14)'']]</f>
        <v>64.344746162927862</v>
      </c>
      <c r="L386" s="22">
        <f>testdata4[[#This Row],[%K]]-100</f>
        <v>-35.655253837072138</v>
      </c>
      <c r="N386" s="12">
        <v>384</v>
      </c>
      <c r="O386" s="3">
        <v>45468</v>
      </c>
      <c r="P386" s="23" t="s">
        <v>387</v>
      </c>
      <c r="Q386" s="22">
        <f>IF(testdata4[[#This Row],[%R]]&lt;&gt;Table25[[#This Row],[%R]],testdata4[[#This Row],[%R]]-Table25[[#This Row],[%R]],"")</f>
        <v>-3.5527136788005009E-14</v>
      </c>
      <c r="R386" s="11" t="str">
        <f>IF(OR(Table25[[#This Row],[%R]]&lt;-100,Table25[[#This Row],[%R]]&gt;0),"RANGE_ERR","")</f>
        <v>RANGE_ERR</v>
      </c>
    </row>
    <row r="387" spans="1:18" x14ac:dyDescent="0.35">
      <c r="A387" s="6">
        <v>385</v>
      </c>
      <c r="B387" s="3">
        <v>45469</v>
      </c>
      <c r="C387" s="2">
        <v>133.99</v>
      </c>
      <c r="D387" s="2">
        <v>135.21</v>
      </c>
      <c r="E387" s="2">
        <v>132.76</v>
      </c>
      <c r="F387" s="2">
        <v>133.09</v>
      </c>
      <c r="G387" s="1">
        <v>1836777</v>
      </c>
      <c r="H387" s="2">
        <f t="shared" si="12"/>
        <v>129.24</v>
      </c>
      <c r="I387" s="2">
        <f t="shared" si="13"/>
        <v>137.71</v>
      </c>
      <c r="J387" s="22">
        <f>100*(testdata4[[#This Row],[close]]-testdata4[[#This Row],[LL]])/(testdata4[[#This Row],[HH]]-testdata4[[#This Row],[LL]])</f>
        <v>45.454545454545396</v>
      </c>
      <c r="K387" s="22">
        <f>testdata4[[#This Row],[K(14)'']]</f>
        <v>45.454545454545396</v>
      </c>
      <c r="L387" s="22">
        <f>testdata4[[#This Row],[%K]]-100</f>
        <v>-54.545454545454604</v>
      </c>
      <c r="N387" s="12">
        <v>385</v>
      </c>
      <c r="O387" s="3">
        <v>45469</v>
      </c>
      <c r="P387" s="23" t="s">
        <v>388</v>
      </c>
      <c r="Q387" s="22">
        <f>IF(testdata4[[#This Row],[%R]]&lt;&gt;Table25[[#This Row],[%R]],testdata4[[#This Row],[%R]]-Table25[[#This Row],[%R]],"")</f>
        <v>-7.1054273576010019E-15</v>
      </c>
      <c r="R387" s="11" t="str">
        <f>IF(OR(Table25[[#This Row],[%R]]&lt;-100,Table25[[#This Row],[%R]]&gt;0),"RANGE_ERR","")</f>
        <v>RANGE_ERR</v>
      </c>
    </row>
    <row r="388" spans="1:18" x14ac:dyDescent="0.35">
      <c r="A388" s="6">
        <v>386</v>
      </c>
      <c r="B388" s="3">
        <v>45470</v>
      </c>
      <c r="C388" s="2">
        <v>132.19999999999999</v>
      </c>
      <c r="D388" s="2">
        <v>132.99</v>
      </c>
      <c r="E388" s="2">
        <v>130.58000000000001</v>
      </c>
      <c r="F388" s="2">
        <v>130.80000000000001</v>
      </c>
      <c r="G388" s="1">
        <v>1897978</v>
      </c>
      <c r="H388" s="2">
        <f t="shared" si="12"/>
        <v>129.24</v>
      </c>
      <c r="I388" s="2">
        <f t="shared" si="13"/>
        <v>137.71</v>
      </c>
      <c r="J388" s="22">
        <f>100*(testdata4[[#This Row],[close]]-testdata4[[#This Row],[LL]])/(testdata4[[#This Row],[HH]]-testdata4[[#This Row],[LL]])</f>
        <v>18.417945690672994</v>
      </c>
      <c r="K388" s="22">
        <f>testdata4[[#This Row],[K(14)'']]</f>
        <v>18.417945690672994</v>
      </c>
      <c r="L388" s="22">
        <f>testdata4[[#This Row],[%K]]-100</f>
        <v>-81.582054309327006</v>
      </c>
      <c r="N388" s="12">
        <v>386</v>
      </c>
      <c r="O388" s="3">
        <v>45470</v>
      </c>
      <c r="P388" s="23" t="s">
        <v>389</v>
      </c>
      <c r="Q388" s="22">
        <f>IF(testdata4[[#This Row],[%R]]&lt;&gt;Table25[[#This Row],[%R]],testdata4[[#This Row],[%R]]-Table25[[#This Row],[%R]],"")</f>
        <v>0</v>
      </c>
      <c r="R388" s="11" t="str">
        <f>IF(OR(Table25[[#This Row],[%R]]&lt;-100,Table25[[#This Row],[%R]]&gt;0),"RANGE_ERR","")</f>
        <v>RANGE_ERR</v>
      </c>
    </row>
    <row r="389" spans="1:18" x14ac:dyDescent="0.35">
      <c r="A389" s="6">
        <v>387</v>
      </c>
      <c r="B389" s="3">
        <v>45471</v>
      </c>
      <c r="C389" s="2">
        <v>131.66</v>
      </c>
      <c r="D389" s="2">
        <v>133.03899999999999</v>
      </c>
      <c r="E389" s="2">
        <v>128.38999999999999</v>
      </c>
      <c r="F389" s="2">
        <v>129.63</v>
      </c>
      <c r="G389" s="1">
        <v>9800296</v>
      </c>
      <c r="H389" s="2">
        <f t="shared" si="12"/>
        <v>128.38999999999999</v>
      </c>
      <c r="I389" s="2">
        <f t="shared" si="13"/>
        <v>137.71</v>
      </c>
      <c r="J389" s="22">
        <f>100*(testdata4[[#This Row],[close]]-testdata4[[#This Row],[LL]])/(testdata4[[#This Row],[HH]]-testdata4[[#This Row],[LL]])</f>
        <v>13.304721030042986</v>
      </c>
      <c r="K389" s="22">
        <f>testdata4[[#This Row],[K(14)'']]</f>
        <v>13.304721030042986</v>
      </c>
      <c r="L389" s="22">
        <f>testdata4[[#This Row],[%K]]-100</f>
        <v>-86.695278969957016</v>
      </c>
      <c r="N389" s="12">
        <v>387</v>
      </c>
      <c r="O389" s="3">
        <v>45471</v>
      </c>
      <c r="P389" s="23" t="s">
        <v>390</v>
      </c>
      <c r="Q389" s="22">
        <f>IF(testdata4[[#This Row],[%R]]&lt;&gt;Table25[[#This Row],[%R]],testdata4[[#This Row],[%R]]-Table25[[#This Row],[%R]],"")</f>
        <v>-1.4210854715202004E-14</v>
      </c>
      <c r="R389" s="11" t="str">
        <f>IF(OR(Table25[[#This Row],[%R]]&lt;-100,Table25[[#This Row],[%R]]&gt;0),"RANGE_ERR","")</f>
        <v>RANGE_ERR</v>
      </c>
    </row>
    <row r="390" spans="1:18" x14ac:dyDescent="0.35">
      <c r="A390" s="6">
        <v>388</v>
      </c>
      <c r="B390" s="3">
        <v>45474</v>
      </c>
      <c r="C390" s="2">
        <v>130.69</v>
      </c>
      <c r="D390" s="2">
        <v>131.785</v>
      </c>
      <c r="E390" s="2">
        <v>127.06100000000001</v>
      </c>
      <c r="F390" s="2">
        <v>127.4</v>
      </c>
      <c r="G390" s="1">
        <v>2364844</v>
      </c>
      <c r="H390" s="2">
        <f t="shared" si="12"/>
        <v>127.06100000000001</v>
      </c>
      <c r="I390" s="2">
        <f t="shared" si="13"/>
        <v>137.71</v>
      </c>
      <c r="J390" s="22">
        <f>100*(testdata4[[#This Row],[close]]-testdata4[[#This Row],[LL]])/(testdata4[[#This Row],[HH]]-testdata4[[#This Row],[LL]])</f>
        <v>3.1833975021128613</v>
      </c>
      <c r="K390" s="22">
        <f>testdata4[[#This Row],[K(14)'']]</f>
        <v>3.1833975021128613</v>
      </c>
      <c r="L390" s="22">
        <f>testdata4[[#This Row],[%K]]-100</f>
        <v>-96.816602497887132</v>
      </c>
      <c r="N390" s="12">
        <v>388</v>
      </c>
      <c r="O390" s="3">
        <v>45474</v>
      </c>
      <c r="P390" s="23" t="s">
        <v>391</v>
      </c>
      <c r="Q390" s="22">
        <f>IF(testdata4[[#This Row],[%R]]&lt;&gt;Table25[[#This Row],[%R]],testdata4[[#This Row],[%R]]-Table25[[#This Row],[%R]],"")</f>
        <v>-2.8421709430404007E-14</v>
      </c>
      <c r="R390" s="11" t="str">
        <f>IF(OR(Table25[[#This Row],[%R]]&lt;-100,Table25[[#This Row],[%R]]&gt;0),"RANGE_ERR","")</f>
        <v>RANGE_ERR</v>
      </c>
    </row>
    <row r="391" spans="1:18" x14ac:dyDescent="0.35">
      <c r="A391" s="6">
        <v>389</v>
      </c>
      <c r="B391" s="3">
        <v>45475</v>
      </c>
      <c r="C391" s="2">
        <v>127.43</v>
      </c>
      <c r="D391" s="2">
        <v>128.57</v>
      </c>
      <c r="E391" s="2">
        <v>125.44</v>
      </c>
      <c r="F391" s="2">
        <v>125.78</v>
      </c>
      <c r="G391" s="1">
        <v>1981143</v>
      </c>
      <c r="H391" s="2">
        <f t="shared" si="12"/>
        <v>125.44</v>
      </c>
      <c r="I391" s="2">
        <f t="shared" si="13"/>
        <v>137.71</v>
      </c>
      <c r="J391" s="22">
        <f>100*(testdata4[[#This Row],[close]]-testdata4[[#This Row],[LL]])/(testdata4[[#This Row],[HH]]-testdata4[[#This Row],[LL]])</f>
        <v>2.7709861450693003</v>
      </c>
      <c r="K391" s="22">
        <f>testdata4[[#This Row],[K(14)'']]</f>
        <v>2.7709861450693003</v>
      </c>
      <c r="L391" s="22">
        <f>testdata4[[#This Row],[%K]]-100</f>
        <v>-97.229013854930699</v>
      </c>
      <c r="N391" s="12">
        <v>389</v>
      </c>
      <c r="O391" s="3">
        <v>45475</v>
      </c>
      <c r="P391" s="23" t="s">
        <v>392</v>
      </c>
      <c r="Q391" s="22">
        <f>IF(testdata4[[#This Row],[%R]]&lt;&gt;Table25[[#This Row],[%R]],testdata4[[#This Row],[%R]]-Table25[[#This Row],[%R]],"")</f>
        <v>-9.9475983006414026E-14</v>
      </c>
      <c r="R391" s="11" t="str">
        <f>IF(OR(Table25[[#This Row],[%R]]&lt;-100,Table25[[#This Row],[%R]]&gt;0),"RANGE_ERR","")</f>
        <v>RANGE_ERR</v>
      </c>
    </row>
    <row r="392" spans="1:18" x14ac:dyDescent="0.35">
      <c r="A392" s="6">
        <v>390</v>
      </c>
      <c r="B392" s="3">
        <v>45476</v>
      </c>
      <c r="C392" s="2">
        <v>126.12</v>
      </c>
      <c r="D392" s="2">
        <v>127.66</v>
      </c>
      <c r="E392" s="2">
        <v>125.83</v>
      </c>
      <c r="F392" s="2">
        <v>126.13</v>
      </c>
      <c r="G392" s="1">
        <v>1288210</v>
      </c>
      <c r="H392" s="2">
        <f t="shared" si="12"/>
        <v>125.44</v>
      </c>
      <c r="I392" s="2">
        <f t="shared" si="13"/>
        <v>137.71</v>
      </c>
      <c r="J392" s="22">
        <f>100*(testdata4[[#This Row],[close]]-testdata4[[#This Row],[LL]])/(testdata4[[#This Row],[HH]]-testdata4[[#This Row],[LL]])</f>
        <v>5.6234718826405636</v>
      </c>
      <c r="K392" s="22">
        <f>testdata4[[#This Row],[K(14)'']]</f>
        <v>5.6234718826405636</v>
      </c>
      <c r="L392" s="22">
        <f>testdata4[[#This Row],[%K]]-100</f>
        <v>-94.376528117359442</v>
      </c>
      <c r="N392" s="12">
        <v>390</v>
      </c>
      <c r="O392" s="3">
        <v>45476</v>
      </c>
      <c r="P392" s="23" t="s">
        <v>393</v>
      </c>
      <c r="Q392" s="22">
        <f>IF(testdata4[[#This Row],[%R]]&lt;&gt;Table25[[#This Row],[%R]],testdata4[[#This Row],[%R]]-Table25[[#This Row],[%R]],"")</f>
        <v>-4.2632564145606011E-14</v>
      </c>
      <c r="R392" s="11" t="str">
        <f>IF(OR(Table25[[#This Row],[%R]]&lt;-100,Table25[[#This Row],[%R]]&gt;0),"RANGE_ERR","")</f>
        <v>RANGE_ERR</v>
      </c>
    </row>
    <row r="393" spans="1:18" x14ac:dyDescent="0.35">
      <c r="A393" s="6">
        <v>391</v>
      </c>
      <c r="B393" s="3">
        <v>45478</v>
      </c>
      <c r="C393" s="2">
        <v>126.4</v>
      </c>
      <c r="D393" s="2">
        <v>126.61</v>
      </c>
      <c r="E393" s="2">
        <v>125.29</v>
      </c>
      <c r="F393" s="2">
        <v>126.37</v>
      </c>
      <c r="G393" s="1">
        <v>1341656</v>
      </c>
      <c r="H393" s="2">
        <f t="shared" si="12"/>
        <v>125.29</v>
      </c>
      <c r="I393" s="2">
        <f t="shared" si="13"/>
        <v>137.71</v>
      </c>
      <c r="J393" s="22">
        <f>100*(testdata4[[#This Row],[close]]-testdata4[[#This Row],[LL]])/(testdata4[[#This Row],[HH]]-testdata4[[#This Row],[LL]])</f>
        <v>8.6956521739130288</v>
      </c>
      <c r="K393" s="22">
        <f>testdata4[[#This Row],[K(14)'']]</f>
        <v>8.6956521739130288</v>
      </c>
      <c r="L393" s="22">
        <f>testdata4[[#This Row],[%K]]-100</f>
        <v>-91.304347826086968</v>
      </c>
      <c r="N393" s="12">
        <v>391</v>
      </c>
      <c r="O393" s="3">
        <v>45478</v>
      </c>
      <c r="P393" s="23" t="s">
        <v>394</v>
      </c>
      <c r="Q393" s="22">
        <f>IF(testdata4[[#This Row],[%R]]&lt;&gt;Table25[[#This Row],[%R]],testdata4[[#This Row],[%R]]-Table25[[#This Row],[%R]],"")</f>
        <v>-7.1054273576010019E-14</v>
      </c>
      <c r="R393" s="11" t="str">
        <f>IF(OR(Table25[[#This Row],[%R]]&lt;-100,Table25[[#This Row],[%R]]&gt;0),"RANGE_ERR","")</f>
        <v>RANGE_ERR</v>
      </c>
    </row>
    <row r="394" spans="1:18" x14ac:dyDescent="0.35">
      <c r="A394" s="6">
        <v>392</v>
      </c>
      <c r="B394" s="3">
        <v>45481</v>
      </c>
      <c r="C394" s="2">
        <v>126.68</v>
      </c>
      <c r="D394" s="2">
        <v>126.73</v>
      </c>
      <c r="E394" s="2">
        <v>125.4</v>
      </c>
      <c r="F394" s="2">
        <v>126.07</v>
      </c>
      <c r="G394" s="1">
        <v>2091058</v>
      </c>
      <c r="H394" s="2">
        <f t="shared" si="12"/>
        <v>125.29</v>
      </c>
      <c r="I394" s="2">
        <f t="shared" si="13"/>
        <v>137.71</v>
      </c>
      <c r="J394" s="22">
        <f>100*(testdata4[[#This Row],[close]]-testdata4[[#This Row],[LL]])/(testdata4[[#This Row],[HH]]-testdata4[[#This Row],[LL]])</f>
        <v>6.2801932367148696</v>
      </c>
      <c r="K394" s="22">
        <f>testdata4[[#This Row],[K(14)'']]</f>
        <v>6.2801932367148696</v>
      </c>
      <c r="L394" s="22">
        <f>testdata4[[#This Row],[%K]]-100</f>
        <v>-93.719806763285135</v>
      </c>
      <c r="N394" s="12">
        <v>392</v>
      </c>
      <c r="O394" s="3">
        <v>45481</v>
      </c>
      <c r="P394" s="23" t="s">
        <v>395</v>
      </c>
      <c r="Q394" s="22">
        <f>IF(testdata4[[#This Row],[%R]]&lt;&gt;Table25[[#This Row],[%R]],testdata4[[#This Row],[%R]]-Table25[[#This Row],[%R]],"")</f>
        <v>-2.8421709430404007E-14</v>
      </c>
      <c r="R394" s="11" t="str">
        <f>IF(OR(Table25[[#This Row],[%R]]&lt;-100,Table25[[#This Row],[%R]]&gt;0),"RANGE_ERR","")</f>
        <v>RANGE_ERR</v>
      </c>
    </row>
    <row r="395" spans="1:18" x14ac:dyDescent="0.35">
      <c r="A395" s="6">
        <v>393</v>
      </c>
      <c r="B395" s="3">
        <v>45482</v>
      </c>
      <c r="C395" s="2">
        <v>126.24</v>
      </c>
      <c r="D395" s="2">
        <v>126.24</v>
      </c>
      <c r="E395" s="2">
        <v>124.16</v>
      </c>
      <c r="F395" s="2">
        <v>125.42</v>
      </c>
      <c r="G395" s="1">
        <v>1558888</v>
      </c>
      <c r="H395" s="2">
        <f t="shared" si="12"/>
        <v>124.16</v>
      </c>
      <c r="I395" s="2">
        <f t="shared" si="13"/>
        <v>137.71</v>
      </c>
      <c r="J395" s="22">
        <f>100*(testdata4[[#This Row],[close]]-testdata4[[#This Row],[LL]])/(testdata4[[#This Row],[HH]]-testdata4[[#This Row],[LL]])</f>
        <v>9.2988929889299197</v>
      </c>
      <c r="K395" s="22">
        <f>testdata4[[#This Row],[K(14)'']]</f>
        <v>9.2988929889299197</v>
      </c>
      <c r="L395" s="22">
        <f>testdata4[[#This Row],[%K]]-100</f>
        <v>-90.701107011070079</v>
      </c>
      <c r="N395" s="12">
        <v>393</v>
      </c>
      <c r="O395" s="3">
        <v>45482</v>
      </c>
      <c r="P395" s="23" t="s">
        <v>396</v>
      </c>
      <c r="Q395" s="22">
        <f>IF(testdata4[[#This Row],[%R]]&lt;&gt;Table25[[#This Row],[%R]],testdata4[[#This Row],[%R]]-Table25[[#This Row],[%R]],"")</f>
        <v>-8.5265128291212022E-14</v>
      </c>
      <c r="R395" s="11" t="str">
        <f>IF(OR(Table25[[#This Row],[%R]]&lt;-100,Table25[[#This Row],[%R]]&gt;0),"RANGE_ERR","")</f>
        <v>RANGE_ERR</v>
      </c>
    </row>
    <row r="396" spans="1:18" x14ac:dyDescent="0.35">
      <c r="A396" s="6">
        <v>394</v>
      </c>
      <c r="B396" s="3">
        <v>45483</v>
      </c>
      <c r="C396" s="2">
        <v>126.42</v>
      </c>
      <c r="D396" s="2">
        <v>127.14</v>
      </c>
      <c r="E396" s="2">
        <v>125.542</v>
      </c>
      <c r="F396" s="2">
        <v>127.07</v>
      </c>
      <c r="G396" s="1">
        <v>1837330</v>
      </c>
      <c r="H396" s="2">
        <f t="shared" si="12"/>
        <v>124.16</v>
      </c>
      <c r="I396" s="2">
        <f t="shared" si="13"/>
        <v>137.71</v>
      </c>
      <c r="J396" s="22">
        <f>100*(testdata4[[#This Row],[close]]-testdata4[[#This Row],[LL]])/(testdata4[[#This Row],[HH]]-testdata4[[#This Row],[LL]])</f>
        <v>21.476014760147557</v>
      </c>
      <c r="K396" s="22">
        <f>testdata4[[#This Row],[K(14)'']]</f>
        <v>21.476014760147557</v>
      </c>
      <c r="L396" s="22">
        <f>testdata4[[#This Row],[%K]]-100</f>
        <v>-78.523985239852436</v>
      </c>
      <c r="N396" s="12">
        <v>394</v>
      </c>
      <c r="O396" s="3">
        <v>45483</v>
      </c>
      <c r="P396" s="23" t="s">
        <v>397</v>
      </c>
      <c r="Q396" s="22">
        <f>IF(testdata4[[#This Row],[%R]]&lt;&gt;Table25[[#This Row],[%R]],testdata4[[#This Row],[%R]]-Table25[[#This Row],[%R]],"")</f>
        <v>-4.2632564145606011E-14</v>
      </c>
      <c r="R396" s="11" t="str">
        <f>IF(OR(Table25[[#This Row],[%R]]&lt;-100,Table25[[#This Row],[%R]]&gt;0),"RANGE_ERR","")</f>
        <v>RANGE_ERR</v>
      </c>
    </row>
    <row r="397" spans="1:18" x14ac:dyDescent="0.35">
      <c r="A397" s="6">
        <v>395</v>
      </c>
      <c r="B397" s="3">
        <v>45484</v>
      </c>
      <c r="C397" s="2">
        <v>128.80000000000001</v>
      </c>
      <c r="D397" s="2">
        <v>131.535</v>
      </c>
      <c r="E397" s="2">
        <v>127.8775</v>
      </c>
      <c r="F397" s="2">
        <v>130.82</v>
      </c>
      <c r="G397" s="1">
        <v>1667172</v>
      </c>
      <c r="H397" s="2">
        <f t="shared" si="12"/>
        <v>124.16</v>
      </c>
      <c r="I397" s="2">
        <f t="shared" si="13"/>
        <v>137.71</v>
      </c>
      <c r="J397" s="22">
        <f>100*(testdata4[[#This Row],[close]]-testdata4[[#This Row],[LL]])/(testdata4[[#This Row],[HH]]-testdata4[[#This Row],[LL]])</f>
        <v>49.151291512915066</v>
      </c>
      <c r="K397" s="22">
        <f>testdata4[[#This Row],[K(14)'']]</f>
        <v>49.151291512915066</v>
      </c>
      <c r="L397" s="22">
        <f>testdata4[[#This Row],[%K]]-100</f>
        <v>-50.848708487084934</v>
      </c>
      <c r="N397" s="12">
        <v>395</v>
      </c>
      <c r="O397" s="3">
        <v>45484</v>
      </c>
      <c r="P397" s="23" t="s">
        <v>398</v>
      </c>
      <c r="Q397" s="22">
        <f>IF(testdata4[[#This Row],[%R]]&lt;&gt;Table25[[#This Row],[%R]],testdata4[[#This Row],[%R]]-Table25[[#This Row],[%R]],"")</f>
        <v>-3.5527136788005009E-14</v>
      </c>
      <c r="R397" s="11" t="str">
        <f>IF(OR(Table25[[#This Row],[%R]]&lt;-100,Table25[[#This Row],[%R]]&gt;0),"RANGE_ERR","")</f>
        <v>RANGE_ERR</v>
      </c>
    </row>
    <row r="398" spans="1:18" x14ac:dyDescent="0.35">
      <c r="A398" s="6">
        <v>396</v>
      </c>
      <c r="B398" s="3">
        <v>45485</v>
      </c>
      <c r="C398" s="2">
        <v>131.16999999999999</v>
      </c>
      <c r="D398" s="2">
        <v>133.4</v>
      </c>
      <c r="E398" s="2">
        <v>130.63999999999999</v>
      </c>
      <c r="F398" s="2">
        <v>132.22999999999999</v>
      </c>
      <c r="G398" s="1">
        <v>1477340</v>
      </c>
      <c r="H398" s="2">
        <f t="shared" si="12"/>
        <v>124.16</v>
      </c>
      <c r="I398" s="2">
        <f t="shared" si="13"/>
        <v>137.71</v>
      </c>
      <c r="J398" s="22">
        <f>100*(testdata4[[#This Row],[close]]-testdata4[[#This Row],[LL]])/(testdata4[[#This Row],[HH]]-testdata4[[#This Row],[LL]])</f>
        <v>59.557195571955617</v>
      </c>
      <c r="K398" s="22">
        <f>testdata4[[#This Row],[K(14)'']]</f>
        <v>59.557195571955617</v>
      </c>
      <c r="L398" s="22">
        <f>testdata4[[#This Row],[%K]]-100</f>
        <v>-40.442804428044383</v>
      </c>
      <c r="N398" s="12">
        <v>396</v>
      </c>
      <c r="O398" s="3">
        <v>45485</v>
      </c>
      <c r="P398" s="23" t="s">
        <v>399</v>
      </c>
      <c r="Q398" s="22">
        <f>IF(testdata4[[#This Row],[%R]]&lt;&gt;Table25[[#This Row],[%R]],testdata4[[#This Row],[%R]]-Table25[[#This Row],[%R]],"")</f>
        <v>-8.5265128291212022E-14</v>
      </c>
      <c r="R398" s="11" t="str">
        <f>IF(OR(Table25[[#This Row],[%R]]&lt;-100,Table25[[#This Row],[%R]]&gt;0),"RANGE_ERR","")</f>
        <v>RANGE_ERR</v>
      </c>
    </row>
    <row r="399" spans="1:18" x14ac:dyDescent="0.35">
      <c r="A399" s="6">
        <v>397</v>
      </c>
      <c r="B399" s="3">
        <v>45488</v>
      </c>
      <c r="C399" s="2">
        <v>132.01</v>
      </c>
      <c r="D399" s="2">
        <v>133.13999999999999</v>
      </c>
      <c r="E399" s="2">
        <v>130.77500000000001</v>
      </c>
      <c r="F399" s="2">
        <v>131.01</v>
      </c>
      <c r="G399" s="1">
        <v>1015719</v>
      </c>
      <c r="H399" s="2">
        <f t="shared" si="12"/>
        <v>124.16</v>
      </c>
      <c r="I399" s="2">
        <f t="shared" si="13"/>
        <v>136.01</v>
      </c>
      <c r="J399" s="22">
        <f>100*(testdata4[[#This Row],[close]]-testdata4[[#This Row],[LL]])/(testdata4[[#This Row],[HH]]-testdata4[[#This Row],[LL]])</f>
        <v>57.805907172995759</v>
      </c>
      <c r="K399" s="22">
        <f>testdata4[[#This Row],[K(14)'']]</f>
        <v>57.805907172995759</v>
      </c>
      <c r="L399" s="22">
        <f>testdata4[[#This Row],[%K]]-100</f>
        <v>-42.194092827004241</v>
      </c>
      <c r="N399" s="12">
        <v>397</v>
      </c>
      <c r="O399" s="3">
        <v>45488</v>
      </c>
      <c r="P399" s="23" t="s">
        <v>400</v>
      </c>
      <c r="Q399" s="22">
        <f>IF(testdata4[[#This Row],[%R]]&lt;&gt;Table25[[#This Row],[%R]],testdata4[[#This Row],[%R]]-Table25[[#This Row],[%R]],"")</f>
        <v>-4.2632564145606011E-14</v>
      </c>
      <c r="R399" s="11" t="str">
        <f>IF(OR(Table25[[#This Row],[%R]]&lt;-100,Table25[[#This Row],[%R]]&gt;0),"RANGE_ERR","")</f>
        <v>RANGE_ERR</v>
      </c>
    </row>
    <row r="400" spans="1:18" x14ac:dyDescent="0.35">
      <c r="A400" s="6">
        <v>398</v>
      </c>
      <c r="B400" s="3">
        <v>45489</v>
      </c>
      <c r="C400" s="2">
        <v>131.99</v>
      </c>
      <c r="D400" s="2">
        <v>136.18989999999999</v>
      </c>
      <c r="E400" s="2">
        <v>131.595</v>
      </c>
      <c r="F400" s="2">
        <v>136.06</v>
      </c>
      <c r="G400" s="1">
        <v>1064333</v>
      </c>
      <c r="H400" s="2">
        <f t="shared" ref="H400:H463" si="14">MIN(E387:E400)</f>
        <v>124.16</v>
      </c>
      <c r="I400" s="2">
        <f t="shared" ref="I400:I463" si="15">MAX(D387:D400)</f>
        <v>136.18989999999999</v>
      </c>
      <c r="J400" s="22">
        <f>100*(testdata4[[#This Row],[close]]-testdata4[[#This Row],[LL]])/(testdata4[[#This Row],[HH]]-testdata4[[#This Row],[LL]])</f>
        <v>98.920190525274577</v>
      </c>
      <c r="K400" s="22">
        <f>testdata4[[#This Row],[K(14)'']]</f>
        <v>98.920190525274577</v>
      </c>
      <c r="L400" s="22">
        <f>testdata4[[#This Row],[%K]]-100</f>
        <v>-1.0798094747254225</v>
      </c>
      <c r="N400" s="12">
        <v>398</v>
      </c>
      <c r="O400" s="3">
        <v>45489</v>
      </c>
      <c r="P400" s="23" t="s">
        <v>401</v>
      </c>
      <c r="Q400" s="22">
        <f>IF(testdata4[[#This Row],[%R]]&lt;&gt;Table25[[#This Row],[%R]],testdata4[[#This Row],[%R]]-Table25[[#This Row],[%R]],"")</f>
        <v>-2.4424906541753444E-15</v>
      </c>
      <c r="R400" s="11" t="str">
        <f>IF(OR(Table25[[#This Row],[%R]]&lt;-100,Table25[[#This Row],[%R]]&gt;0),"RANGE_ERR","")</f>
        <v>RANGE_ERR</v>
      </c>
    </row>
    <row r="401" spans="1:18" x14ac:dyDescent="0.35">
      <c r="A401" s="6">
        <v>399</v>
      </c>
      <c r="B401" s="3">
        <v>45490</v>
      </c>
      <c r="C401" s="2">
        <v>135.16</v>
      </c>
      <c r="D401" s="2">
        <v>136</v>
      </c>
      <c r="E401" s="2">
        <v>133.41999999999999</v>
      </c>
      <c r="F401" s="2">
        <v>133.5</v>
      </c>
      <c r="G401" s="1">
        <v>1031195</v>
      </c>
      <c r="H401" s="2">
        <f t="shared" si="14"/>
        <v>124.16</v>
      </c>
      <c r="I401" s="2">
        <f t="shared" si="15"/>
        <v>136.18989999999999</v>
      </c>
      <c r="J401" s="22">
        <f>100*(testdata4[[#This Row],[close]]-testdata4[[#This Row],[LL]])/(testdata4[[#This Row],[HH]]-testdata4[[#This Row],[LL]])</f>
        <v>77.639880630761724</v>
      </c>
      <c r="K401" s="22">
        <f>testdata4[[#This Row],[K(14)'']]</f>
        <v>77.639880630761724</v>
      </c>
      <c r="L401" s="22">
        <f>testdata4[[#This Row],[%K]]-100</f>
        <v>-22.360119369238276</v>
      </c>
      <c r="N401" s="12">
        <v>399</v>
      </c>
      <c r="O401" s="3">
        <v>45490</v>
      </c>
      <c r="P401" s="23" t="s">
        <v>402</v>
      </c>
      <c r="Q401" s="22">
        <f>IF(testdata4[[#This Row],[%R]]&lt;&gt;Table25[[#This Row],[%R]],testdata4[[#This Row],[%R]]-Table25[[#This Row],[%R]],"")</f>
        <v>-7.815970093361102E-14</v>
      </c>
      <c r="R401" s="11" t="str">
        <f>IF(OR(Table25[[#This Row],[%R]]&lt;-100,Table25[[#This Row],[%R]]&gt;0),"RANGE_ERR","")</f>
        <v>RANGE_ERR</v>
      </c>
    </row>
    <row r="402" spans="1:18" x14ac:dyDescent="0.35">
      <c r="A402" s="6">
        <v>400</v>
      </c>
      <c r="B402" s="3">
        <v>45491</v>
      </c>
      <c r="C402" s="2">
        <v>132.32</v>
      </c>
      <c r="D402" s="2">
        <v>135.21</v>
      </c>
      <c r="E402" s="2">
        <v>131.66</v>
      </c>
      <c r="F402" s="2">
        <v>131.97</v>
      </c>
      <c r="G402" s="1">
        <v>2783526</v>
      </c>
      <c r="H402" s="2">
        <f t="shared" si="14"/>
        <v>124.16</v>
      </c>
      <c r="I402" s="2">
        <f t="shared" si="15"/>
        <v>136.18989999999999</v>
      </c>
      <c r="J402" s="22">
        <f>100*(testdata4[[#This Row],[close]]-testdata4[[#This Row],[LL]])/(testdata4[[#This Row],[HH]]-testdata4[[#This Row],[LL]])</f>
        <v>64.921570420369278</v>
      </c>
      <c r="K402" s="22">
        <f>testdata4[[#This Row],[K(14)'']]</f>
        <v>64.921570420369278</v>
      </c>
      <c r="L402" s="22">
        <f>testdata4[[#This Row],[%K]]-100</f>
        <v>-35.078429579630722</v>
      </c>
      <c r="N402" s="12">
        <v>400</v>
      </c>
      <c r="O402" s="3">
        <v>45491</v>
      </c>
      <c r="P402" s="23" t="s">
        <v>403</v>
      </c>
      <c r="Q402" s="22">
        <f>IF(testdata4[[#This Row],[%R]]&lt;&gt;Table25[[#This Row],[%R]],testdata4[[#This Row],[%R]]-Table25[[#This Row],[%R]],"")</f>
        <v>-2.1316282072803006E-14</v>
      </c>
      <c r="R402" s="11" t="str">
        <f>IF(OR(Table25[[#This Row],[%R]]&lt;-100,Table25[[#This Row],[%R]]&gt;0),"RANGE_ERR","")</f>
        <v>RANGE_ERR</v>
      </c>
    </row>
    <row r="403" spans="1:18" x14ac:dyDescent="0.35">
      <c r="A403" s="6">
        <v>401</v>
      </c>
      <c r="B403" s="3">
        <v>45492</v>
      </c>
      <c r="C403" s="2">
        <v>131.96</v>
      </c>
      <c r="D403" s="2">
        <v>132.78</v>
      </c>
      <c r="E403" s="2">
        <v>130.29</v>
      </c>
      <c r="F403" s="2">
        <v>131.78</v>
      </c>
      <c r="G403" s="1">
        <v>1731443</v>
      </c>
      <c r="H403" s="2">
        <f t="shared" si="14"/>
        <v>124.16</v>
      </c>
      <c r="I403" s="2">
        <f t="shared" si="15"/>
        <v>136.18989999999999</v>
      </c>
      <c r="J403" s="22">
        <f>100*(testdata4[[#This Row],[close]]-testdata4[[#This Row],[LL]])/(testdata4[[#This Row],[HH]]-testdata4[[#This Row],[LL]])</f>
        <v>63.342172420385921</v>
      </c>
      <c r="K403" s="22">
        <f>testdata4[[#This Row],[K(14)'']]</f>
        <v>63.342172420385921</v>
      </c>
      <c r="L403" s="22">
        <f>testdata4[[#This Row],[%K]]-100</f>
        <v>-36.657827579614079</v>
      </c>
      <c r="N403" s="12">
        <v>401</v>
      </c>
      <c r="O403" s="3">
        <v>45492</v>
      </c>
      <c r="P403" s="23" t="s">
        <v>404</v>
      </c>
      <c r="Q403" s="22">
        <f>IF(testdata4[[#This Row],[%R]]&lt;&gt;Table25[[#This Row],[%R]],testdata4[[#This Row],[%R]]-Table25[[#This Row],[%R]],"")</f>
        <v>-7.815970093361102E-14</v>
      </c>
      <c r="R403" s="11" t="str">
        <f>IF(OR(Table25[[#This Row],[%R]]&lt;-100,Table25[[#This Row],[%R]]&gt;0),"RANGE_ERR","")</f>
        <v>RANGE_ERR</v>
      </c>
    </row>
    <row r="404" spans="1:18" x14ac:dyDescent="0.35">
      <c r="A404" s="6">
        <v>402</v>
      </c>
      <c r="B404" s="3">
        <v>45495</v>
      </c>
      <c r="C404" s="2">
        <v>133.06</v>
      </c>
      <c r="D404" s="2">
        <v>133.93</v>
      </c>
      <c r="E404" s="2">
        <v>131.4</v>
      </c>
      <c r="F404" s="2">
        <v>133.41999999999999</v>
      </c>
      <c r="G404" s="1">
        <v>2009368</v>
      </c>
      <c r="H404" s="2">
        <f t="shared" si="14"/>
        <v>124.16</v>
      </c>
      <c r="I404" s="2">
        <f t="shared" si="15"/>
        <v>136.18989999999999</v>
      </c>
      <c r="J404" s="22">
        <f>100*(testdata4[[#This Row],[close]]-testdata4[[#This Row],[LL]])/(testdata4[[#This Row],[HH]]-testdata4[[#This Row],[LL]])</f>
        <v>76.974870946558099</v>
      </c>
      <c r="K404" s="22">
        <f>testdata4[[#This Row],[K(14)'']]</f>
        <v>76.974870946558099</v>
      </c>
      <c r="L404" s="22">
        <f>testdata4[[#This Row],[%K]]-100</f>
        <v>-23.025129053441901</v>
      </c>
      <c r="N404" s="12">
        <v>402</v>
      </c>
      <c r="O404" s="3">
        <v>45495</v>
      </c>
      <c r="P404" s="23" t="s">
        <v>405</v>
      </c>
      <c r="Q404" s="22">
        <f>IF(testdata4[[#This Row],[%R]]&lt;&gt;Table25[[#This Row],[%R]],testdata4[[#This Row],[%R]]-Table25[[#This Row],[%R]],"")</f>
        <v>0</v>
      </c>
      <c r="R404" s="11" t="str">
        <f>IF(OR(Table25[[#This Row],[%R]]&lt;-100,Table25[[#This Row],[%R]]&gt;0),"RANGE_ERR","")</f>
        <v>RANGE_ERR</v>
      </c>
    </row>
    <row r="405" spans="1:18" x14ac:dyDescent="0.35">
      <c r="A405" s="6">
        <v>403</v>
      </c>
      <c r="B405" s="3">
        <v>45496</v>
      </c>
      <c r="C405" s="2">
        <v>137.61000000000001</v>
      </c>
      <c r="D405" s="2">
        <v>137.66</v>
      </c>
      <c r="E405" s="2">
        <v>130.49</v>
      </c>
      <c r="F405" s="2">
        <v>130.65</v>
      </c>
      <c r="G405" s="1">
        <v>1640805</v>
      </c>
      <c r="H405" s="2">
        <f t="shared" si="14"/>
        <v>124.16</v>
      </c>
      <c r="I405" s="2">
        <f t="shared" si="15"/>
        <v>137.66</v>
      </c>
      <c r="J405" s="22">
        <f>100*(testdata4[[#This Row],[close]]-testdata4[[#This Row],[LL]])/(testdata4[[#This Row],[HH]]-testdata4[[#This Row],[LL]])</f>
        <v>48.07407407407414</v>
      </c>
      <c r="K405" s="22">
        <f>testdata4[[#This Row],[K(14)'']]</f>
        <v>48.07407407407414</v>
      </c>
      <c r="L405" s="22">
        <f>testdata4[[#This Row],[%K]]-100</f>
        <v>-51.92592592592586</v>
      </c>
      <c r="N405" s="12">
        <v>403</v>
      </c>
      <c r="O405" s="3">
        <v>45496</v>
      </c>
      <c r="P405" s="23" t="s">
        <v>406</v>
      </c>
      <c r="Q405" s="22">
        <f>IF(testdata4[[#This Row],[%R]]&lt;&gt;Table25[[#This Row],[%R]],testdata4[[#This Row],[%R]]-Table25[[#This Row],[%R]],"")</f>
        <v>-5.6843418860808015E-14</v>
      </c>
      <c r="R405" s="11" t="str">
        <f>IF(OR(Table25[[#This Row],[%R]]&lt;-100,Table25[[#This Row],[%R]]&gt;0),"RANGE_ERR","")</f>
        <v>RANGE_ERR</v>
      </c>
    </row>
    <row r="406" spans="1:18" x14ac:dyDescent="0.35">
      <c r="A406" s="6">
        <v>404</v>
      </c>
      <c r="B406" s="3">
        <v>45497</v>
      </c>
      <c r="C406" s="2">
        <v>130.87</v>
      </c>
      <c r="D406" s="2">
        <v>134.43</v>
      </c>
      <c r="E406" s="2">
        <v>130.18</v>
      </c>
      <c r="F406" s="2">
        <v>134.16</v>
      </c>
      <c r="G406" s="1">
        <v>2066682</v>
      </c>
      <c r="H406" s="2">
        <f t="shared" si="14"/>
        <v>124.16</v>
      </c>
      <c r="I406" s="2">
        <f t="shared" si="15"/>
        <v>137.66</v>
      </c>
      <c r="J406" s="22">
        <f>100*(testdata4[[#This Row],[close]]-testdata4[[#This Row],[LL]])/(testdata4[[#This Row],[HH]]-testdata4[[#This Row],[LL]])</f>
        <v>74.074074074074076</v>
      </c>
      <c r="K406" s="22">
        <f>testdata4[[#This Row],[K(14)'']]</f>
        <v>74.074074074074076</v>
      </c>
      <c r="L406" s="22">
        <f>testdata4[[#This Row],[%K]]-100</f>
        <v>-25.925925925925924</v>
      </c>
      <c r="N406" s="12">
        <v>404</v>
      </c>
      <c r="O406" s="3">
        <v>45497</v>
      </c>
      <c r="P406" s="23" t="s">
        <v>407</v>
      </c>
      <c r="Q406" s="22">
        <f>IF(testdata4[[#This Row],[%R]]&lt;&gt;Table25[[#This Row],[%R]],testdata4[[#This Row],[%R]]-Table25[[#This Row],[%R]],"")</f>
        <v>-2.4868995751603507E-14</v>
      </c>
      <c r="R406" s="11" t="str">
        <f>IF(OR(Table25[[#This Row],[%R]]&lt;-100,Table25[[#This Row],[%R]]&gt;0),"RANGE_ERR","")</f>
        <v>RANGE_ERR</v>
      </c>
    </row>
    <row r="407" spans="1:18" x14ac:dyDescent="0.35">
      <c r="A407" s="6">
        <v>405</v>
      </c>
      <c r="B407" s="3">
        <v>45498</v>
      </c>
      <c r="C407" s="2">
        <v>133.94999999999999</v>
      </c>
      <c r="D407" s="2">
        <v>138.36500000000001</v>
      </c>
      <c r="E407" s="2">
        <v>133.44999999999999</v>
      </c>
      <c r="F407" s="2">
        <v>134.97999999999999</v>
      </c>
      <c r="G407" s="1">
        <v>1338851</v>
      </c>
      <c r="H407" s="2">
        <f t="shared" si="14"/>
        <v>124.16</v>
      </c>
      <c r="I407" s="2">
        <f t="shared" si="15"/>
        <v>138.36500000000001</v>
      </c>
      <c r="J407" s="22">
        <f>100*(testdata4[[#This Row],[close]]-testdata4[[#This Row],[LL]])/(testdata4[[#This Row],[HH]]-testdata4[[#This Row],[LL]])</f>
        <v>76.17036254839833</v>
      </c>
      <c r="K407" s="22">
        <f>testdata4[[#This Row],[K(14)'']]</f>
        <v>76.17036254839833</v>
      </c>
      <c r="L407" s="22">
        <f>testdata4[[#This Row],[%K]]-100</f>
        <v>-23.82963745160167</v>
      </c>
      <c r="N407" s="12">
        <v>405</v>
      </c>
      <c r="O407" s="3">
        <v>45498</v>
      </c>
      <c r="P407" s="23" t="s">
        <v>408</v>
      </c>
      <c r="Q407" s="22">
        <f>IF(testdata4[[#This Row],[%R]]&lt;&gt;Table25[[#This Row],[%R]],testdata4[[#This Row],[%R]]-Table25[[#This Row],[%R]],"")</f>
        <v>-7.1054273576010019E-14</v>
      </c>
      <c r="R407" s="11" t="str">
        <f>IF(OR(Table25[[#This Row],[%R]]&lt;-100,Table25[[#This Row],[%R]]&gt;0),"RANGE_ERR","")</f>
        <v>RANGE_ERR</v>
      </c>
    </row>
    <row r="408" spans="1:18" x14ac:dyDescent="0.35">
      <c r="A408" s="6">
        <v>406</v>
      </c>
      <c r="B408" s="3">
        <v>45499</v>
      </c>
      <c r="C408" s="2">
        <v>136.69</v>
      </c>
      <c r="D408" s="2">
        <v>140.29</v>
      </c>
      <c r="E408" s="2">
        <v>136.08000000000001</v>
      </c>
      <c r="F408" s="2">
        <v>137.32</v>
      </c>
      <c r="G408" s="1">
        <v>1717670</v>
      </c>
      <c r="H408" s="2">
        <f t="shared" si="14"/>
        <v>124.16</v>
      </c>
      <c r="I408" s="2">
        <f t="shared" si="15"/>
        <v>140.29</v>
      </c>
      <c r="J408" s="22">
        <f>100*(testdata4[[#This Row],[close]]-testdata4[[#This Row],[LL]])/(testdata4[[#This Row],[HH]]-testdata4[[#This Row],[LL]])</f>
        <v>81.587104773713577</v>
      </c>
      <c r="K408" s="22">
        <f>testdata4[[#This Row],[K(14)'']]</f>
        <v>81.587104773713577</v>
      </c>
      <c r="L408" s="22">
        <f>testdata4[[#This Row],[%K]]-100</f>
        <v>-18.412895226286423</v>
      </c>
      <c r="N408" s="12">
        <v>406</v>
      </c>
      <c r="O408" s="3">
        <v>45499</v>
      </c>
      <c r="P408" s="23" t="s">
        <v>409</v>
      </c>
      <c r="Q408" s="22">
        <f>IF(testdata4[[#This Row],[%R]]&lt;&gt;Table25[[#This Row],[%R]],testdata4[[#This Row],[%R]]-Table25[[#This Row],[%R]],"")</f>
        <v>-2.4868995751603507E-14</v>
      </c>
      <c r="R408" s="11" t="str">
        <f>IF(OR(Table25[[#This Row],[%R]]&lt;-100,Table25[[#This Row],[%R]]&gt;0),"RANGE_ERR","")</f>
        <v>RANGE_ERR</v>
      </c>
    </row>
    <row r="409" spans="1:18" x14ac:dyDescent="0.35">
      <c r="A409" s="6">
        <v>407</v>
      </c>
      <c r="B409" s="3">
        <v>45502</v>
      </c>
      <c r="C409" s="2">
        <v>137.58500000000001</v>
      </c>
      <c r="D409" s="2">
        <v>137.78</v>
      </c>
      <c r="E409" s="2">
        <v>135.62</v>
      </c>
      <c r="F409" s="2">
        <v>137.38</v>
      </c>
      <c r="G409" s="1">
        <v>1222648</v>
      </c>
      <c r="H409" s="2">
        <f t="shared" si="14"/>
        <v>125.542</v>
      </c>
      <c r="I409" s="2">
        <f t="shared" si="15"/>
        <v>140.29</v>
      </c>
      <c r="J409" s="22">
        <f>100*(testdata4[[#This Row],[close]]-testdata4[[#This Row],[LL]])/(testdata4[[#This Row],[HH]]-testdata4[[#This Row],[LL]])</f>
        <v>80.268510984540285</v>
      </c>
      <c r="K409" s="22">
        <f>testdata4[[#This Row],[K(14)'']]</f>
        <v>80.268510984540285</v>
      </c>
      <c r="L409" s="22">
        <f>testdata4[[#This Row],[%K]]-100</f>
        <v>-19.731489015459715</v>
      </c>
      <c r="N409" s="12">
        <v>407</v>
      </c>
      <c r="O409" s="3">
        <v>45502</v>
      </c>
      <c r="P409" s="23" t="s">
        <v>410</v>
      </c>
      <c r="Q409" s="22">
        <f>IF(testdata4[[#This Row],[%R]]&lt;&gt;Table25[[#This Row],[%R]],testdata4[[#This Row],[%R]]-Table25[[#This Row],[%R]],"")</f>
        <v>-1.4210854715202004E-14</v>
      </c>
      <c r="R409" s="11" t="str">
        <f>IF(OR(Table25[[#This Row],[%R]]&lt;-100,Table25[[#This Row],[%R]]&gt;0),"RANGE_ERR","")</f>
        <v>RANGE_ERR</v>
      </c>
    </row>
    <row r="410" spans="1:18" x14ac:dyDescent="0.35">
      <c r="A410" s="6">
        <v>408</v>
      </c>
      <c r="B410" s="3">
        <v>45503</v>
      </c>
      <c r="C410" s="2">
        <v>138.04</v>
      </c>
      <c r="D410" s="2">
        <v>139.72999999999999</v>
      </c>
      <c r="E410" s="2">
        <v>137.11000000000001</v>
      </c>
      <c r="F410" s="2">
        <v>139.49</v>
      </c>
      <c r="G410" s="1">
        <v>1428034</v>
      </c>
      <c r="H410" s="2">
        <f t="shared" si="14"/>
        <v>127.8775</v>
      </c>
      <c r="I410" s="2">
        <f t="shared" si="15"/>
        <v>140.29</v>
      </c>
      <c r="J410" s="22">
        <f>100*(testdata4[[#This Row],[close]]-testdata4[[#This Row],[LL]])/(testdata4[[#This Row],[HH]]-testdata4[[#This Row],[LL]])</f>
        <v>93.554884189325406</v>
      </c>
      <c r="K410" s="22">
        <f>testdata4[[#This Row],[K(14)'']]</f>
        <v>93.554884189325406</v>
      </c>
      <c r="L410" s="22">
        <f>testdata4[[#This Row],[%K]]-100</f>
        <v>-6.4451158106745936</v>
      </c>
      <c r="N410" s="12">
        <v>408</v>
      </c>
      <c r="O410" s="3">
        <v>45503</v>
      </c>
      <c r="P410" s="23" t="s">
        <v>411</v>
      </c>
      <c r="Q410" s="22">
        <f>IF(testdata4[[#This Row],[%R]]&lt;&gt;Table25[[#This Row],[%R]],testdata4[[#This Row],[%R]]-Table25[[#This Row],[%R]],"")</f>
        <v>-3.5527136788005009E-15</v>
      </c>
      <c r="R410" s="11" t="str">
        <f>IF(OR(Table25[[#This Row],[%R]]&lt;-100,Table25[[#This Row],[%R]]&gt;0),"RANGE_ERR","")</f>
        <v>RANGE_ERR</v>
      </c>
    </row>
    <row r="411" spans="1:18" x14ac:dyDescent="0.35">
      <c r="A411" s="6">
        <v>409</v>
      </c>
      <c r="B411" s="3">
        <v>45504</v>
      </c>
      <c r="C411" s="2">
        <v>140.38999999999999</v>
      </c>
      <c r="D411" s="2">
        <v>144</v>
      </c>
      <c r="E411" s="2">
        <v>139.71</v>
      </c>
      <c r="F411" s="2">
        <v>141.4</v>
      </c>
      <c r="G411" s="1">
        <v>2582725</v>
      </c>
      <c r="H411" s="2">
        <f t="shared" si="14"/>
        <v>130.18</v>
      </c>
      <c r="I411" s="2">
        <f t="shared" si="15"/>
        <v>144</v>
      </c>
      <c r="J411" s="22">
        <f>100*(testdata4[[#This Row],[close]]-testdata4[[#This Row],[LL]])/(testdata4[[#This Row],[HH]]-testdata4[[#This Row],[LL]])</f>
        <v>81.186685962373417</v>
      </c>
      <c r="K411" s="22">
        <f>testdata4[[#This Row],[K(14)'']]</f>
        <v>81.186685962373417</v>
      </c>
      <c r="L411" s="22">
        <f>testdata4[[#This Row],[%K]]-100</f>
        <v>-18.813314037626583</v>
      </c>
      <c r="N411" s="12">
        <v>409</v>
      </c>
      <c r="O411" s="3">
        <v>45504</v>
      </c>
      <c r="P411" s="23" t="s">
        <v>412</v>
      </c>
      <c r="Q411" s="22">
        <f>IF(testdata4[[#This Row],[%R]]&lt;&gt;Table25[[#This Row],[%R]],testdata4[[#This Row],[%R]]-Table25[[#This Row],[%R]],"")</f>
        <v>-8.1712414612411521E-14</v>
      </c>
      <c r="R411" s="11" t="str">
        <f>IF(OR(Table25[[#This Row],[%R]]&lt;-100,Table25[[#This Row],[%R]]&gt;0),"RANGE_ERR","")</f>
        <v>RANGE_ERR</v>
      </c>
    </row>
    <row r="412" spans="1:18" x14ac:dyDescent="0.35">
      <c r="A412" s="6">
        <v>410</v>
      </c>
      <c r="B412" s="3">
        <v>45505</v>
      </c>
      <c r="C412" s="2">
        <v>142.24</v>
      </c>
      <c r="D412" s="2">
        <v>144.22</v>
      </c>
      <c r="E412" s="2">
        <v>141.75</v>
      </c>
      <c r="F412" s="2">
        <v>142.86000000000001</v>
      </c>
      <c r="G412" s="1">
        <v>2896452</v>
      </c>
      <c r="H412" s="2">
        <f t="shared" si="14"/>
        <v>130.18</v>
      </c>
      <c r="I412" s="2">
        <f t="shared" si="15"/>
        <v>144.22</v>
      </c>
      <c r="J412" s="22">
        <f>100*(testdata4[[#This Row],[close]]-testdata4[[#This Row],[LL]])/(testdata4[[#This Row],[HH]]-testdata4[[#This Row],[LL]])</f>
        <v>90.313390313390414</v>
      </c>
      <c r="K412" s="22">
        <f>testdata4[[#This Row],[K(14)'']]</f>
        <v>90.313390313390414</v>
      </c>
      <c r="L412" s="22">
        <f>testdata4[[#This Row],[%K]]-100</f>
        <v>-9.6866096866095859</v>
      </c>
      <c r="N412" s="12">
        <v>410</v>
      </c>
      <c r="O412" s="3">
        <v>45505</v>
      </c>
      <c r="P412" s="23" t="s">
        <v>413</v>
      </c>
      <c r="Q412" s="22">
        <f>IF(testdata4[[#This Row],[%R]]&lt;&gt;Table25[[#This Row],[%R]],testdata4[[#This Row],[%R]]-Table25[[#This Row],[%R]],"")</f>
        <v>-5.3290705182007514E-15</v>
      </c>
      <c r="R412" s="11" t="str">
        <f>IF(OR(Table25[[#This Row],[%R]]&lt;-100,Table25[[#This Row],[%R]]&gt;0),"RANGE_ERR","")</f>
        <v>RANGE_ERR</v>
      </c>
    </row>
    <row r="413" spans="1:18" x14ac:dyDescent="0.35">
      <c r="A413" s="6">
        <v>411</v>
      </c>
      <c r="B413" s="3">
        <v>45506</v>
      </c>
      <c r="C413" s="2">
        <v>141.97999999999999</v>
      </c>
      <c r="D413" s="2">
        <v>143.16999999999999</v>
      </c>
      <c r="E413" s="2">
        <v>135.76</v>
      </c>
      <c r="F413" s="2">
        <v>139.04</v>
      </c>
      <c r="G413" s="1">
        <v>2298354</v>
      </c>
      <c r="H413" s="2">
        <f t="shared" si="14"/>
        <v>130.18</v>
      </c>
      <c r="I413" s="2">
        <f t="shared" si="15"/>
        <v>144.22</v>
      </c>
      <c r="J413" s="22">
        <f>100*(testdata4[[#This Row],[close]]-testdata4[[#This Row],[LL]])/(testdata4[[#This Row],[HH]]-testdata4[[#This Row],[LL]])</f>
        <v>63.105413105413035</v>
      </c>
      <c r="K413" s="22">
        <f>testdata4[[#This Row],[K(14)'']]</f>
        <v>63.105413105413035</v>
      </c>
      <c r="L413" s="22">
        <f>testdata4[[#This Row],[%K]]-100</f>
        <v>-36.894586894586965</v>
      </c>
      <c r="N413" s="12">
        <v>411</v>
      </c>
      <c r="O413" s="3">
        <v>45506</v>
      </c>
      <c r="P413" s="23" t="s">
        <v>414</v>
      </c>
      <c r="Q413" s="22">
        <f>IF(testdata4[[#This Row],[%R]]&lt;&gt;Table25[[#This Row],[%R]],testdata4[[#This Row],[%R]]-Table25[[#This Row],[%R]],"")</f>
        <v>-6.3948846218409017E-14</v>
      </c>
      <c r="R413" s="11" t="str">
        <f>IF(OR(Table25[[#This Row],[%R]]&lt;-100,Table25[[#This Row],[%R]]&gt;0),"RANGE_ERR","")</f>
        <v>RANGE_ERR</v>
      </c>
    </row>
    <row r="414" spans="1:18" x14ac:dyDescent="0.35">
      <c r="A414" s="6">
        <v>412</v>
      </c>
      <c r="B414" s="3">
        <v>45509</v>
      </c>
      <c r="C414" s="2">
        <v>136.55000000000001</v>
      </c>
      <c r="D414" s="2">
        <v>136.82</v>
      </c>
      <c r="E414" s="2">
        <v>133.06</v>
      </c>
      <c r="F414" s="2">
        <v>134.69999999999999</v>
      </c>
      <c r="G414" s="1">
        <v>1885243</v>
      </c>
      <c r="H414" s="2">
        <f t="shared" si="14"/>
        <v>130.18</v>
      </c>
      <c r="I414" s="2">
        <f t="shared" si="15"/>
        <v>144.22</v>
      </c>
      <c r="J414" s="22">
        <f>100*(testdata4[[#This Row],[close]]-testdata4[[#This Row],[LL]])/(testdata4[[#This Row],[HH]]-testdata4[[#This Row],[LL]])</f>
        <v>32.193732193732082</v>
      </c>
      <c r="K414" s="22">
        <f>testdata4[[#This Row],[K(14)'']]</f>
        <v>32.193732193732082</v>
      </c>
      <c r="L414" s="22">
        <f>testdata4[[#This Row],[%K]]-100</f>
        <v>-67.806267806267925</v>
      </c>
      <c r="N414" s="12">
        <v>412</v>
      </c>
      <c r="O414" s="3">
        <v>45509</v>
      </c>
      <c r="P414" s="23" t="s">
        <v>415</v>
      </c>
      <c r="Q414" s="22">
        <f>IF(testdata4[[#This Row],[%R]]&lt;&gt;Table25[[#This Row],[%R]],testdata4[[#This Row],[%R]]-Table25[[#This Row],[%R]],"")</f>
        <v>-2.8421709430404007E-14</v>
      </c>
      <c r="R414" s="11" t="str">
        <f>IF(OR(Table25[[#This Row],[%R]]&lt;-100,Table25[[#This Row],[%R]]&gt;0),"RANGE_ERR","")</f>
        <v>RANGE_ERR</v>
      </c>
    </row>
    <row r="415" spans="1:18" x14ac:dyDescent="0.35">
      <c r="A415" s="6">
        <v>413</v>
      </c>
      <c r="B415" s="3">
        <v>45510</v>
      </c>
      <c r="C415" s="2">
        <v>135.41999999999999</v>
      </c>
      <c r="D415" s="2">
        <v>138.91999999999999</v>
      </c>
      <c r="E415" s="2">
        <v>134.27000000000001</v>
      </c>
      <c r="F415" s="2">
        <v>136.26</v>
      </c>
      <c r="G415" s="1">
        <v>1461969</v>
      </c>
      <c r="H415" s="2">
        <f t="shared" si="14"/>
        <v>130.18</v>
      </c>
      <c r="I415" s="2">
        <f t="shared" si="15"/>
        <v>144.22</v>
      </c>
      <c r="J415" s="22">
        <f>100*(testdata4[[#This Row],[close]]-testdata4[[#This Row],[LL]])/(testdata4[[#This Row],[HH]]-testdata4[[#This Row],[LL]])</f>
        <v>43.304843304843217</v>
      </c>
      <c r="K415" s="22">
        <f>testdata4[[#This Row],[K(14)'']]</f>
        <v>43.304843304843217</v>
      </c>
      <c r="L415" s="22">
        <f>testdata4[[#This Row],[%K]]-100</f>
        <v>-56.695156695156783</v>
      </c>
      <c r="N415" s="12">
        <v>413</v>
      </c>
      <c r="O415" s="3">
        <v>45510</v>
      </c>
      <c r="P415" s="23" t="s">
        <v>416</v>
      </c>
      <c r="Q415" s="22">
        <f>IF(testdata4[[#This Row],[%R]]&lt;&gt;Table25[[#This Row],[%R]],testdata4[[#This Row],[%R]]-Table25[[#This Row],[%R]],"")</f>
        <v>-8.5265128291212022E-14</v>
      </c>
      <c r="R415" s="11" t="str">
        <f>IF(OR(Table25[[#This Row],[%R]]&lt;-100,Table25[[#This Row],[%R]]&gt;0),"RANGE_ERR","")</f>
        <v>RANGE_ERR</v>
      </c>
    </row>
    <row r="416" spans="1:18" x14ac:dyDescent="0.35">
      <c r="A416" s="6">
        <v>414</v>
      </c>
      <c r="B416" s="3">
        <v>45511</v>
      </c>
      <c r="C416" s="2">
        <v>137.25</v>
      </c>
      <c r="D416" s="2">
        <v>138.08500000000001</v>
      </c>
      <c r="E416" s="2">
        <v>133.69</v>
      </c>
      <c r="F416" s="2">
        <v>133.96</v>
      </c>
      <c r="G416" s="1">
        <v>1553910</v>
      </c>
      <c r="H416" s="2">
        <f t="shared" si="14"/>
        <v>130.18</v>
      </c>
      <c r="I416" s="2">
        <f t="shared" si="15"/>
        <v>144.22</v>
      </c>
      <c r="J416" s="22">
        <f>100*(testdata4[[#This Row],[close]]-testdata4[[#This Row],[LL]])/(testdata4[[#This Row],[HH]]-testdata4[[#This Row],[LL]])</f>
        <v>26.923076923076945</v>
      </c>
      <c r="K416" s="22">
        <f>testdata4[[#This Row],[K(14)'']]</f>
        <v>26.923076923076945</v>
      </c>
      <c r="L416" s="22">
        <f>testdata4[[#This Row],[%K]]-100</f>
        <v>-73.076923076923052</v>
      </c>
      <c r="N416" s="12">
        <v>414</v>
      </c>
      <c r="O416" s="3">
        <v>45511</v>
      </c>
      <c r="P416" s="23" t="s">
        <v>417</v>
      </c>
      <c r="Q416" s="22">
        <f>IF(testdata4[[#This Row],[%R]]&lt;&gt;Table25[[#This Row],[%R]],testdata4[[#This Row],[%R]]-Table25[[#This Row],[%R]],"")</f>
        <v>-5.6843418860808015E-14</v>
      </c>
      <c r="R416" s="11" t="str">
        <f>IF(OR(Table25[[#This Row],[%R]]&lt;-100,Table25[[#This Row],[%R]]&gt;0),"RANGE_ERR","")</f>
        <v>RANGE_ERR</v>
      </c>
    </row>
    <row r="417" spans="1:18" x14ac:dyDescent="0.35">
      <c r="A417" s="6">
        <v>415</v>
      </c>
      <c r="B417" s="3">
        <v>45512</v>
      </c>
      <c r="C417" s="2">
        <v>134.15</v>
      </c>
      <c r="D417" s="2">
        <v>137.22</v>
      </c>
      <c r="E417" s="2">
        <v>133.78</v>
      </c>
      <c r="F417" s="2">
        <v>136.76</v>
      </c>
      <c r="G417" s="1">
        <v>976850</v>
      </c>
      <c r="H417" s="2">
        <f t="shared" si="14"/>
        <v>130.18</v>
      </c>
      <c r="I417" s="2">
        <f t="shared" si="15"/>
        <v>144.22</v>
      </c>
      <c r="J417" s="22">
        <f>100*(testdata4[[#This Row],[close]]-testdata4[[#This Row],[LL]])/(testdata4[[#This Row],[HH]]-testdata4[[#This Row],[LL]])</f>
        <v>46.866096866096782</v>
      </c>
      <c r="K417" s="22">
        <f>testdata4[[#This Row],[K(14)'']]</f>
        <v>46.866096866096782</v>
      </c>
      <c r="L417" s="22">
        <f>testdata4[[#This Row],[%K]]-100</f>
        <v>-53.133903133903218</v>
      </c>
      <c r="N417" s="12">
        <v>415</v>
      </c>
      <c r="O417" s="3">
        <v>45512</v>
      </c>
      <c r="P417" s="23" t="s">
        <v>418</v>
      </c>
      <c r="Q417" s="22">
        <f>IF(testdata4[[#This Row],[%R]]&lt;&gt;Table25[[#This Row],[%R]],testdata4[[#This Row],[%R]]-Table25[[#This Row],[%R]],"")</f>
        <v>-1.4210854715202004E-14</v>
      </c>
      <c r="R417" s="11" t="str">
        <f>IF(OR(Table25[[#This Row],[%R]]&lt;-100,Table25[[#This Row],[%R]]&gt;0),"RANGE_ERR","")</f>
        <v>RANGE_ERR</v>
      </c>
    </row>
    <row r="418" spans="1:18" x14ac:dyDescent="0.35">
      <c r="A418" s="6">
        <v>416</v>
      </c>
      <c r="B418" s="3">
        <v>45513</v>
      </c>
      <c r="C418" s="2">
        <v>136.84</v>
      </c>
      <c r="D418" s="2">
        <v>137.86000000000001</v>
      </c>
      <c r="E418" s="2">
        <v>136.10499999999999</v>
      </c>
      <c r="F418" s="2">
        <v>136.9</v>
      </c>
      <c r="G418" s="1">
        <v>737614</v>
      </c>
      <c r="H418" s="2">
        <f t="shared" si="14"/>
        <v>130.18</v>
      </c>
      <c r="I418" s="2">
        <f t="shared" si="15"/>
        <v>144.22</v>
      </c>
      <c r="J418" s="22">
        <f>100*(testdata4[[#This Row],[close]]-testdata4[[#This Row],[LL]])/(testdata4[[#This Row],[HH]]-testdata4[[#This Row],[LL]])</f>
        <v>47.863247863247885</v>
      </c>
      <c r="K418" s="22">
        <f>testdata4[[#This Row],[K(14)'']]</f>
        <v>47.863247863247885</v>
      </c>
      <c r="L418" s="22">
        <f>testdata4[[#This Row],[%K]]-100</f>
        <v>-52.136752136752115</v>
      </c>
      <c r="N418" s="12">
        <v>416</v>
      </c>
      <c r="O418" s="3">
        <v>45513</v>
      </c>
      <c r="P418" s="23" t="s">
        <v>419</v>
      </c>
      <c r="Q418" s="22">
        <f>IF(testdata4[[#This Row],[%R]]&lt;&gt;Table25[[#This Row],[%R]],testdata4[[#This Row],[%R]]-Table25[[#This Row],[%R]],"")</f>
        <v>-1.4210854715202004E-14</v>
      </c>
      <c r="R418" s="11" t="str">
        <f>IF(OR(Table25[[#This Row],[%R]]&lt;-100,Table25[[#This Row],[%R]]&gt;0),"RANGE_ERR","")</f>
        <v>RANGE_ERR</v>
      </c>
    </row>
    <row r="419" spans="1:18" x14ac:dyDescent="0.35">
      <c r="A419" s="6">
        <v>417</v>
      </c>
      <c r="B419" s="3">
        <v>45516</v>
      </c>
      <c r="C419" s="2">
        <v>136.81</v>
      </c>
      <c r="D419" s="2">
        <v>136.81</v>
      </c>
      <c r="E419" s="2">
        <v>134.47999999999999</v>
      </c>
      <c r="F419" s="2">
        <v>135.6</v>
      </c>
      <c r="G419" s="1">
        <v>1347172</v>
      </c>
      <c r="H419" s="2">
        <f t="shared" si="14"/>
        <v>130.18</v>
      </c>
      <c r="I419" s="2">
        <f t="shared" si="15"/>
        <v>144.22</v>
      </c>
      <c r="J419" s="22">
        <f>100*(testdata4[[#This Row],[close]]-testdata4[[#This Row],[LL]])/(testdata4[[#This Row],[HH]]-testdata4[[#This Row],[LL]])</f>
        <v>38.60398860398854</v>
      </c>
      <c r="K419" s="22">
        <f>testdata4[[#This Row],[K(14)'']]</f>
        <v>38.60398860398854</v>
      </c>
      <c r="L419" s="22">
        <f>testdata4[[#This Row],[%K]]-100</f>
        <v>-61.39601139601146</v>
      </c>
      <c r="N419" s="12">
        <v>417</v>
      </c>
      <c r="O419" s="3">
        <v>45516</v>
      </c>
      <c r="P419" s="23" t="s">
        <v>420</v>
      </c>
      <c r="Q419" s="22">
        <f>IF(testdata4[[#This Row],[%R]]&lt;&gt;Table25[[#This Row],[%R]],testdata4[[#This Row],[%R]]-Table25[[#This Row],[%R]],"")</f>
        <v>-5.6843418860808015E-14</v>
      </c>
      <c r="R419" s="11" t="str">
        <f>IF(OR(Table25[[#This Row],[%R]]&lt;-100,Table25[[#This Row],[%R]]&gt;0),"RANGE_ERR","")</f>
        <v>RANGE_ERR</v>
      </c>
    </row>
    <row r="420" spans="1:18" x14ac:dyDescent="0.35">
      <c r="A420" s="6">
        <v>418</v>
      </c>
      <c r="B420" s="3">
        <v>45517</v>
      </c>
      <c r="C420" s="2">
        <v>135.83000000000001</v>
      </c>
      <c r="D420" s="2">
        <v>137.69999999999999</v>
      </c>
      <c r="E420" s="2">
        <v>135.33000000000001</v>
      </c>
      <c r="F420" s="2">
        <v>137.41999999999999</v>
      </c>
      <c r="G420" s="1">
        <v>1157979</v>
      </c>
      <c r="H420" s="2">
        <f t="shared" si="14"/>
        <v>133.06</v>
      </c>
      <c r="I420" s="2">
        <f t="shared" si="15"/>
        <v>144.22</v>
      </c>
      <c r="J420" s="22">
        <f>100*(testdata4[[#This Row],[close]]-testdata4[[#This Row],[LL]])/(testdata4[[#This Row],[HH]]-testdata4[[#This Row],[LL]])</f>
        <v>39.068100358422818</v>
      </c>
      <c r="K420" s="22">
        <f>testdata4[[#This Row],[K(14)'']]</f>
        <v>39.068100358422818</v>
      </c>
      <c r="L420" s="22">
        <f>testdata4[[#This Row],[%K]]-100</f>
        <v>-60.931899641577182</v>
      </c>
      <c r="N420" s="12">
        <v>418</v>
      </c>
      <c r="O420" s="3">
        <v>45517</v>
      </c>
      <c r="P420" s="23" t="s">
        <v>421</v>
      </c>
      <c r="Q420" s="22">
        <f>IF(testdata4[[#This Row],[%R]]&lt;&gt;Table25[[#This Row],[%R]],testdata4[[#This Row],[%R]]-Table25[[#This Row],[%R]],"")</f>
        <v>-8.5265128291212022E-14</v>
      </c>
      <c r="R420" s="11" t="str">
        <f>IF(OR(Table25[[#This Row],[%R]]&lt;-100,Table25[[#This Row],[%R]]&gt;0),"RANGE_ERR","")</f>
        <v>RANGE_ERR</v>
      </c>
    </row>
    <row r="421" spans="1:18" x14ac:dyDescent="0.35">
      <c r="A421" s="6">
        <v>419</v>
      </c>
      <c r="B421" s="3">
        <v>45518</v>
      </c>
      <c r="C421" s="2">
        <v>137.93</v>
      </c>
      <c r="D421" s="2">
        <v>138.69</v>
      </c>
      <c r="E421" s="2">
        <v>135.88</v>
      </c>
      <c r="F421" s="2">
        <v>136.03</v>
      </c>
      <c r="G421" s="1">
        <v>1090040</v>
      </c>
      <c r="H421" s="2">
        <f t="shared" si="14"/>
        <v>133.06</v>
      </c>
      <c r="I421" s="2">
        <f t="shared" si="15"/>
        <v>144.22</v>
      </c>
      <c r="J421" s="22">
        <f>100*(testdata4[[#This Row],[close]]-testdata4[[#This Row],[LL]])/(testdata4[[#This Row],[HH]]-testdata4[[#This Row],[LL]])</f>
        <v>26.612903225806448</v>
      </c>
      <c r="K421" s="22">
        <f>testdata4[[#This Row],[K(14)'']]</f>
        <v>26.612903225806448</v>
      </c>
      <c r="L421" s="22">
        <f>testdata4[[#This Row],[%K]]-100</f>
        <v>-73.387096774193552</v>
      </c>
      <c r="N421" s="12">
        <v>419</v>
      </c>
      <c r="O421" s="3">
        <v>45518</v>
      </c>
      <c r="P421" s="23" t="s">
        <v>422</v>
      </c>
      <c r="Q421" s="22">
        <f>IF(testdata4[[#This Row],[%R]]&lt;&gt;Table25[[#This Row],[%R]],testdata4[[#This Row],[%R]]-Table25[[#This Row],[%R]],"")</f>
        <v>-5.6843418860808015E-14</v>
      </c>
      <c r="R421" s="11" t="str">
        <f>IF(OR(Table25[[#This Row],[%R]]&lt;-100,Table25[[#This Row],[%R]]&gt;0),"RANGE_ERR","")</f>
        <v>RANGE_ERR</v>
      </c>
    </row>
    <row r="422" spans="1:18" x14ac:dyDescent="0.35">
      <c r="A422" s="6">
        <v>420</v>
      </c>
      <c r="B422" s="3">
        <v>45519</v>
      </c>
      <c r="C422" s="2">
        <v>137.66</v>
      </c>
      <c r="D422" s="2">
        <v>139.99</v>
      </c>
      <c r="E422" s="2">
        <v>137.66</v>
      </c>
      <c r="F422" s="2">
        <v>139.88999999999999</v>
      </c>
      <c r="G422" s="1">
        <v>1120379</v>
      </c>
      <c r="H422" s="2">
        <f t="shared" si="14"/>
        <v>133.06</v>
      </c>
      <c r="I422" s="2">
        <f t="shared" si="15"/>
        <v>144.22</v>
      </c>
      <c r="J422" s="22">
        <f>100*(testdata4[[#This Row],[close]]-testdata4[[#This Row],[LL]])/(testdata4[[#This Row],[HH]]-testdata4[[#This Row],[LL]])</f>
        <v>61.200716845878013</v>
      </c>
      <c r="K422" s="22">
        <f>testdata4[[#This Row],[K(14)'']]</f>
        <v>61.200716845878013</v>
      </c>
      <c r="L422" s="22">
        <f>testdata4[[#This Row],[%K]]-100</f>
        <v>-38.799283154121987</v>
      </c>
      <c r="N422" s="12">
        <v>420</v>
      </c>
      <c r="O422" s="3">
        <v>45519</v>
      </c>
      <c r="P422" s="23" t="s">
        <v>423</v>
      </c>
      <c r="Q422" s="22">
        <f>IF(testdata4[[#This Row],[%R]]&lt;&gt;Table25[[#This Row],[%R]],testdata4[[#This Row],[%R]]-Table25[[#This Row],[%R]],"")</f>
        <v>-8.5265128291212022E-14</v>
      </c>
      <c r="R422" s="11" t="str">
        <f>IF(OR(Table25[[#This Row],[%R]]&lt;-100,Table25[[#This Row],[%R]]&gt;0),"RANGE_ERR","")</f>
        <v>RANGE_ERR</v>
      </c>
    </row>
    <row r="423" spans="1:18" x14ac:dyDescent="0.35">
      <c r="A423" s="6">
        <v>421</v>
      </c>
      <c r="B423" s="3">
        <v>45520</v>
      </c>
      <c r="C423" s="2">
        <v>139.79</v>
      </c>
      <c r="D423" s="2">
        <v>140.9</v>
      </c>
      <c r="E423" s="2">
        <v>138.52000000000001</v>
      </c>
      <c r="F423" s="2">
        <v>140.04</v>
      </c>
      <c r="G423" s="1">
        <v>1284834</v>
      </c>
      <c r="H423" s="2">
        <f t="shared" si="14"/>
        <v>133.06</v>
      </c>
      <c r="I423" s="2">
        <f t="shared" si="15"/>
        <v>144.22</v>
      </c>
      <c r="J423" s="22">
        <f>100*(testdata4[[#This Row],[close]]-testdata4[[#This Row],[LL]])/(testdata4[[#This Row],[HH]]-testdata4[[#This Row],[LL]])</f>
        <v>62.544802867383439</v>
      </c>
      <c r="K423" s="22">
        <f>testdata4[[#This Row],[K(14)'']]</f>
        <v>62.544802867383439</v>
      </c>
      <c r="L423" s="22">
        <f>testdata4[[#This Row],[%K]]-100</f>
        <v>-37.455197132616561</v>
      </c>
      <c r="N423" s="12">
        <v>421</v>
      </c>
      <c r="O423" s="3">
        <v>45520</v>
      </c>
      <c r="P423" s="23" t="s">
        <v>424</v>
      </c>
      <c r="Q423" s="22">
        <f>IF(testdata4[[#This Row],[%R]]&lt;&gt;Table25[[#This Row],[%R]],testdata4[[#This Row],[%R]]-Table25[[#This Row],[%R]],"")</f>
        <v>-6.3948846218409017E-14</v>
      </c>
      <c r="R423" s="11" t="str">
        <f>IF(OR(Table25[[#This Row],[%R]]&lt;-100,Table25[[#This Row],[%R]]&gt;0),"RANGE_ERR","")</f>
        <v>RANGE_ERR</v>
      </c>
    </row>
    <row r="424" spans="1:18" x14ac:dyDescent="0.35">
      <c r="A424" s="6">
        <v>422</v>
      </c>
      <c r="B424" s="3">
        <v>45523</v>
      </c>
      <c r="C424" s="2">
        <v>140.55000000000001</v>
      </c>
      <c r="D424" s="2">
        <v>141.29</v>
      </c>
      <c r="E424" s="2">
        <v>139.28</v>
      </c>
      <c r="F424" s="2">
        <v>140.51</v>
      </c>
      <c r="G424" s="1">
        <v>1714079</v>
      </c>
      <c r="H424" s="2">
        <f t="shared" si="14"/>
        <v>133.06</v>
      </c>
      <c r="I424" s="2">
        <f t="shared" si="15"/>
        <v>144.22</v>
      </c>
      <c r="J424" s="22">
        <f>100*(testdata4[[#This Row],[close]]-testdata4[[#This Row],[LL]])/(testdata4[[#This Row],[HH]]-testdata4[[#This Row],[LL]])</f>
        <v>66.756272401433606</v>
      </c>
      <c r="K424" s="22">
        <f>testdata4[[#This Row],[K(14)'']]</f>
        <v>66.756272401433606</v>
      </c>
      <c r="L424" s="22">
        <f>testdata4[[#This Row],[%K]]-100</f>
        <v>-33.243727598566394</v>
      </c>
      <c r="N424" s="12">
        <v>422</v>
      </c>
      <c r="O424" s="3">
        <v>45523</v>
      </c>
      <c r="P424" s="23" t="s">
        <v>425</v>
      </c>
      <c r="Q424" s="22">
        <f>IF(testdata4[[#This Row],[%R]]&lt;&gt;Table25[[#This Row],[%R]],testdata4[[#This Row],[%R]]-Table25[[#This Row],[%R]],"")</f>
        <v>-9.2370555648813024E-14</v>
      </c>
      <c r="R424" s="11" t="str">
        <f>IF(OR(Table25[[#This Row],[%R]]&lt;-100,Table25[[#This Row],[%R]]&gt;0),"RANGE_ERR","")</f>
        <v>RANGE_ERR</v>
      </c>
    </row>
    <row r="425" spans="1:18" x14ac:dyDescent="0.35">
      <c r="A425" s="6">
        <v>423</v>
      </c>
      <c r="B425" s="3">
        <v>45524</v>
      </c>
      <c r="C425" s="2">
        <v>140.6</v>
      </c>
      <c r="D425" s="2">
        <v>141.535</v>
      </c>
      <c r="E425" s="2">
        <v>139.43</v>
      </c>
      <c r="F425" s="2">
        <v>139.75</v>
      </c>
      <c r="G425" s="1">
        <v>1227757</v>
      </c>
      <c r="H425" s="2">
        <f t="shared" si="14"/>
        <v>133.06</v>
      </c>
      <c r="I425" s="2">
        <f t="shared" si="15"/>
        <v>144.22</v>
      </c>
      <c r="J425" s="22">
        <f>100*(testdata4[[#This Row],[close]]-testdata4[[#This Row],[LL]])/(testdata4[[#This Row],[HH]]-testdata4[[#This Row],[LL]])</f>
        <v>59.946236559139784</v>
      </c>
      <c r="K425" s="22">
        <f>testdata4[[#This Row],[K(14)'']]</f>
        <v>59.946236559139784</v>
      </c>
      <c r="L425" s="22">
        <f>testdata4[[#This Row],[%K]]-100</f>
        <v>-40.053763440860216</v>
      </c>
      <c r="N425" s="12">
        <v>423</v>
      </c>
      <c r="O425" s="3">
        <v>45524</v>
      </c>
      <c r="P425" s="23" t="s">
        <v>426</v>
      </c>
      <c r="Q425" s="22">
        <f>IF(testdata4[[#This Row],[%R]]&lt;&gt;Table25[[#This Row],[%R]],testdata4[[#This Row],[%R]]-Table25[[#This Row],[%R]],"")</f>
        <v>-1.4210854715202004E-14</v>
      </c>
      <c r="R425" s="11" t="str">
        <f>IF(OR(Table25[[#This Row],[%R]]&lt;-100,Table25[[#This Row],[%R]]&gt;0),"RANGE_ERR","")</f>
        <v>RANGE_ERR</v>
      </c>
    </row>
    <row r="426" spans="1:18" x14ac:dyDescent="0.35">
      <c r="A426" s="6">
        <v>424</v>
      </c>
      <c r="B426" s="3">
        <v>45525</v>
      </c>
      <c r="C426" s="2">
        <v>139.97999999999999</v>
      </c>
      <c r="D426" s="2">
        <v>140.79</v>
      </c>
      <c r="E426" s="2">
        <v>139.14500000000001</v>
      </c>
      <c r="F426" s="2">
        <v>139.99</v>
      </c>
      <c r="G426" s="1">
        <v>2262977</v>
      </c>
      <c r="H426" s="2">
        <f t="shared" si="14"/>
        <v>133.06</v>
      </c>
      <c r="I426" s="2">
        <f t="shared" si="15"/>
        <v>143.16999999999999</v>
      </c>
      <c r="J426" s="22">
        <f>100*(testdata4[[#This Row],[close]]-testdata4[[#This Row],[LL]])/(testdata4[[#This Row],[HH]]-testdata4[[#This Row],[LL]])</f>
        <v>68.545994065282073</v>
      </c>
      <c r="K426" s="22">
        <f>testdata4[[#This Row],[K(14)'']]</f>
        <v>68.545994065282073</v>
      </c>
      <c r="L426" s="22">
        <f>testdata4[[#This Row],[%K]]-100</f>
        <v>-31.454005934717927</v>
      </c>
      <c r="N426" s="12">
        <v>424</v>
      </c>
      <c r="O426" s="3">
        <v>45525</v>
      </c>
      <c r="P426" s="23" t="s">
        <v>427</v>
      </c>
      <c r="Q426" s="22">
        <f>IF(testdata4[[#This Row],[%R]]&lt;&gt;Table25[[#This Row],[%R]],testdata4[[#This Row],[%R]]-Table25[[#This Row],[%R]],"")</f>
        <v>-2.4868995751603507E-14</v>
      </c>
      <c r="R426" s="11" t="str">
        <f>IF(OR(Table25[[#This Row],[%R]]&lt;-100,Table25[[#This Row],[%R]]&gt;0),"RANGE_ERR","")</f>
        <v>RANGE_ERR</v>
      </c>
    </row>
    <row r="427" spans="1:18" x14ac:dyDescent="0.35">
      <c r="A427" s="6">
        <v>425</v>
      </c>
      <c r="B427" s="3">
        <v>45526</v>
      </c>
      <c r="C427" s="2">
        <v>145.375</v>
      </c>
      <c r="D427" s="2">
        <v>145.44999999999999</v>
      </c>
      <c r="E427" s="2">
        <v>138.15</v>
      </c>
      <c r="F427" s="2">
        <v>140.22</v>
      </c>
      <c r="G427" s="1">
        <v>2634529</v>
      </c>
      <c r="H427" s="2">
        <f t="shared" si="14"/>
        <v>133.06</v>
      </c>
      <c r="I427" s="2">
        <f t="shared" si="15"/>
        <v>145.44999999999999</v>
      </c>
      <c r="J427" s="22">
        <f>100*(testdata4[[#This Row],[close]]-testdata4[[#This Row],[LL]])/(testdata4[[#This Row],[HH]]-testdata4[[#This Row],[LL]])</f>
        <v>57.788539144471386</v>
      </c>
      <c r="K427" s="22">
        <f>testdata4[[#This Row],[K(14)'']]</f>
        <v>57.788539144471386</v>
      </c>
      <c r="L427" s="22">
        <f>testdata4[[#This Row],[%K]]-100</f>
        <v>-42.211460855528614</v>
      </c>
      <c r="N427" s="12">
        <v>425</v>
      </c>
      <c r="O427" s="3">
        <v>45526</v>
      </c>
      <c r="P427" s="23" t="s">
        <v>428</v>
      </c>
      <c r="Q427" s="22">
        <f>IF(testdata4[[#This Row],[%R]]&lt;&gt;Table25[[#This Row],[%R]],testdata4[[#This Row],[%R]]-Table25[[#This Row],[%R]],"")</f>
        <v>-1.4210854715202004E-14</v>
      </c>
      <c r="R427" s="11" t="str">
        <f>IF(OR(Table25[[#This Row],[%R]]&lt;-100,Table25[[#This Row],[%R]]&gt;0),"RANGE_ERR","")</f>
        <v>RANGE_ERR</v>
      </c>
    </row>
    <row r="428" spans="1:18" x14ac:dyDescent="0.35">
      <c r="A428" s="6">
        <v>426</v>
      </c>
      <c r="B428" s="3">
        <v>45527</v>
      </c>
      <c r="C428" s="2">
        <v>141.21</v>
      </c>
      <c r="D428" s="2">
        <v>142.27000000000001</v>
      </c>
      <c r="E428" s="2">
        <v>140.16</v>
      </c>
      <c r="F428" s="2">
        <v>140.87</v>
      </c>
      <c r="G428" s="1">
        <v>1735656</v>
      </c>
      <c r="H428" s="2">
        <f t="shared" si="14"/>
        <v>133.69</v>
      </c>
      <c r="I428" s="2">
        <f t="shared" si="15"/>
        <v>145.44999999999999</v>
      </c>
      <c r="J428" s="22">
        <f>100*(testdata4[[#This Row],[close]]-testdata4[[#This Row],[LL]])/(testdata4[[#This Row],[HH]]-testdata4[[#This Row],[LL]])</f>
        <v>61.054421768707591</v>
      </c>
      <c r="K428" s="22">
        <f>testdata4[[#This Row],[K(14)'']]</f>
        <v>61.054421768707591</v>
      </c>
      <c r="L428" s="22">
        <f>testdata4[[#This Row],[%K]]-100</f>
        <v>-38.945578231292409</v>
      </c>
      <c r="N428" s="12">
        <v>426</v>
      </c>
      <c r="O428" s="3">
        <v>45527</v>
      </c>
      <c r="P428" s="23" t="s">
        <v>429</v>
      </c>
      <c r="Q428" s="22">
        <f>IF(testdata4[[#This Row],[%R]]&lt;&gt;Table25[[#This Row],[%R]],testdata4[[#This Row],[%R]]-Table25[[#This Row],[%R]],"")</f>
        <v>-7.1054273576010019E-15</v>
      </c>
      <c r="R428" s="11" t="str">
        <f>IF(OR(Table25[[#This Row],[%R]]&lt;-100,Table25[[#This Row],[%R]]&gt;0),"RANGE_ERR","")</f>
        <v>RANGE_ERR</v>
      </c>
    </row>
    <row r="429" spans="1:18" x14ac:dyDescent="0.35">
      <c r="A429" s="6">
        <v>427</v>
      </c>
      <c r="B429" s="3">
        <v>45530</v>
      </c>
      <c r="C429" s="2">
        <v>141.11000000000001</v>
      </c>
      <c r="D429" s="2">
        <v>141.18</v>
      </c>
      <c r="E429" s="2">
        <v>139.96</v>
      </c>
      <c r="F429" s="2">
        <v>140.49</v>
      </c>
      <c r="G429" s="1">
        <v>1013194</v>
      </c>
      <c r="H429" s="2">
        <f t="shared" si="14"/>
        <v>133.69</v>
      </c>
      <c r="I429" s="2">
        <f t="shared" si="15"/>
        <v>145.44999999999999</v>
      </c>
      <c r="J429" s="22">
        <f>100*(testdata4[[#This Row],[close]]-testdata4[[#This Row],[LL]])/(testdata4[[#This Row],[HH]]-testdata4[[#This Row],[LL]])</f>
        <v>57.82312925170082</v>
      </c>
      <c r="K429" s="22">
        <f>testdata4[[#This Row],[K(14)'']]</f>
        <v>57.82312925170082</v>
      </c>
      <c r="L429" s="22">
        <f>testdata4[[#This Row],[%K]]-100</f>
        <v>-42.17687074829918</v>
      </c>
      <c r="N429" s="12">
        <v>427</v>
      </c>
      <c r="O429" s="3">
        <v>45530</v>
      </c>
      <c r="P429" s="23" t="s">
        <v>430</v>
      </c>
      <c r="Q429" s="22">
        <f>IF(testdata4[[#This Row],[%R]]&lt;&gt;Table25[[#This Row],[%R]],testdata4[[#This Row],[%R]]-Table25[[#This Row],[%R]],"")</f>
        <v>-7.815970093361102E-14</v>
      </c>
      <c r="R429" s="11" t="str">
        <f>IF(OR(Table25[[#This Row],[%R]]&lt;-100,Table25[[#This Row],[%R]]&gt;0),"RANGE_ERR","")</f>
        <v>RANGE_ERR</v>
      </c>
    </row>
    <row r="430" spans="1:18" x14ac:dyDescent="0.35">
      <c r="A430" s="6">
        <v>428</v>
      </c>
      <c r="B430" s="3">
        <v>45531</v>
      </c>
      <c r="C430" s="2">
        <v>140.47999999999999</v>
      </c>
      <c r="D430" s="2">
        <v>141.2099</v>
      </c>
      <c r="E430" s="2">
        <v>139.71</v>
      </c>
      <c r="F430" s="2">
        <v>141.1</v>
      </c>
      <c r="G430" s="1">
        <v>949743</v>
      </c>
      <c r="H430" s="2">
        <f t="shared" si="14"/>
        <v>133.78</v>
      </c>
      <c r="I430" s="2">
        <f t="shared" si="15"/>
        <v>145.44999999999999</v>
      </c>
      <c r="J430" s="22">
        <f>100*(testdata4[[#This Row],[close]]-testdata4[[#This Row],[LL]])/(testdata4[[#This Row],[HH]]-testdata4[[#This Row],[LL]])</f>
        <v>62.724935732647822</v>
      </c>
      <c r="K430" s="22">
        <f>testdata4[[#This Row],[K(14)'']]</f>
        <v>62.724935732647822</v>
      </c>
      <c r="L430" s="22">
        <f>testdata4[[#This Row],[%K]]-100</f>
        <v>-37.275064267352178</v>
      </c>
      <c r="N430" s="12">
        <v>428</v>
      </c>
      <c r="O430" s="3">
        <v>45531</v>
      </c>
      <c r="P430" s="23" t="s">
        <v>431</v>
      </c>
      <c r="Q430" s="22">
        <f>IF(testdata4[[#This Row],[%R]]&lt;&gt;Table25[[#This Row],[%R]],testdata4[[#This Row],[%R]]-Table25[[#This Row],[%R]],"")</f>
        <v>-7.815970093361102E-14</v>
      </c>
      <c r="R430" s="11" t="str">
        <f>IF(OR(Table25[[#This Row],[%R]]&lt;-100,Table25[[#This Row],[%R]]&gt;0),"RANGE_ERR","")</f>
        <v>RANGE_ERR</v>
      </c>
    </row>
    <row r="431" spans="1:18" x14ac:dyDescent="0.35">
      <c r="A431" s="6">
        <v>429</v>
      </c>
      <c r="B431" s="3">
        <v>45532</v>
      </c>
      <c r="C431" s="2">
        <v>141.53</v>
      </c>
      <c r="D431" s="2">
        <v>142.31</v>
      </c>
      <c r="E431" s="2">
        <v>140.29</v>
      </c>
      <c r="F431" s="2">
        <v>141.06</v>
      </c>
      <c r="G431" s="1">
        <v>1089854</v>
      </c>
      <c r="H431" s="2">
        <f t="shared" si="14"/>
        <v>134.47999999999999</v>
      </c>
      <c r="I431" s="2">
        <f t="shared" si="15"/>
        <v>145.44999999999999</v>
      </c>
      <c r="J431" s="22">
        <f>100*(testdata4[[#This Row],[close]]-testdata4[[#This Row],[LL]])/(testdata4[[#This Row],[HH]]-testdata4[[#This Row],[LL]])</f>
        <v>59.981768459434946</v>
      </c>
      <c r="K431" s="22">
        <f>testdata4[[#This Row],[K(14)'']]</f>
        <v>59.981768459434946</v>
      </c>
      <c r="L431" s="22">
        <f>testdata4[[#This Row],[%K]]-100</f>
        <v>-40.018231540565054</v>
      </c>
      <c r="N431" s="12">
        <v>429</v>
      </c>
      <c r="O431" s="3">
        <v>45532</v>
      </c>
      <c r="P431" s="23" t="s">
        <v>432</v>
      </c>
      <c r="Q431" s="22">
        <f>IF(testdata4[[#This Row],[%R]]&lt;&gt;Table25[[#This Row],[%R]],testdata4[[#This Row],[%R]]-Table25[[#This Row],[%R]],"")</f>
        <v>-5.6843418860808015E-14</v>
      </c>
      <c r="R431" s="11" t="str">
        <f>IF(OR(Table25[[#This Row],[%R]]&lt;-100,Table25[[#This Row],[%R]]&gt;0),"RANGE_ERR","")</f>
        <v>RANGE_ERR</v>
      </c>
    </row>
    <row r="432" spans="1:18" x14ac:dyDescent="0.35">
      <c r="A432" s="6">
        <v>430</v>
      </c>
      <c r="B432" s="3">
        <v>45533</v>
      </c>
      <c r="C432" s="2">
        <v>142.07</v>
      </c>
      <c r="D432" s="2">
        <v>143.44</v>
      </c>
      <c r="E432" s="2">
        <v>141.11000000000001</v>
      </c>
      <c r="F432" s="2">
        <v>142.53</v>
      </c>
      <c r="G432" s="1">
        <v>1577379</v>
      </c>
      <c r="H432" s="2">
        <f t="shared" si="14"/>
        <v>134.47999999999999</v>
      </c>
      <c r="I432" s="2">
        <f t="shared" si="15"/>
        <v>145.44999999999999</v>
      </c>
      <c r="J432" s="22">
        <f>100*(testdata4[[#This Row],[close]]-testdata4[[#This Row],[LL]])/(testdata4[[#This Row],[HH]]-testdata4[[#This Row],[LL]])</f>
        <v>73.38195077484059</v>
      </c>
      <c r="K432" s="22">
        <f>testdata4[[#This Row],[K(14)'']]</f>
        <v>73.38195077484059</v>
      </c>
      <c r="L432" s="22">
        <f>testdata4[[#This Row],[%K]]-100</f>
        <v>-26.61804922515941</v>
      </c>
      <c r="N432" s="12">
        <v>430</v>
      </c>
      <c r="O432" s="3">
        <v>45533</v>
      </c>
      <c r="P432" s="23" t="s">
        <v>433</v>
      </c>
      <c r="Q432" s="22">
        <f>IF(testdata4[[#This Row],[%R]]&lt;&gt;Table25[[#This Row],[%R]],testdata4[[#This Row],[%R]]-Table25[[#This Row],[%R]],"")</f>
        <v>-1.0658141036401503E-14</v>
      </c>
      <c r="R432" s="11" t="str">
        <f>IF(OR(Table25[[#This Row],[%R]]&lt;-100,Table25[[#This Row],[%R]]&gt;0),"RANGE_ERR","")</f>
        <v>RANGE_ERR</v>
      </c>
    </row>
    <row r="433" spans="1:18" x14ac:dyDescent="0.35">
      <c r="A433" s="6">
        <v>431</v>
      </c>
      <c r="B433" s="3">
        <v>45534</v>
      </c>
      <c r="C433" s="2">
        <v>142.16</v>
      </c>
      <c r="D433" s="2">
        <v>143.27000000000001</v>
      </c>
      <c r="E433" s="2">
        <v>141.02000000000001</v>
      </c>
      <c r="F433" s="2">
        <v>142.91999999999999</v>
      </c>
      <c r="G433" s="1">
        <v>1570696</v>
      </c>
      <c r="H433" s="2">
        <f t="shared" si="14"/>
        <v>135.33000000000001</v>
      </c>
      <c r="I433" s="2">
        <f t="shared" si="15"/>
        <v>145.44999999999999</v>
      </c>
      <c r="J433" s="22">
        <f>100*(testdata4[[#This Row],[close]]-testdata4[[#This Row],[LL]])/(testdata4[[#This Row],[HH]]-testdata4[[#This Row],[LL]])</f>
        <v>74.999999999999929</v>
      </c>
      <c r="K433" s="22">
        <f>testdata4[[#This Row],[K(14)'']]</f>
        <v>74.999999999999929</v>
      </c>
      <c r="L433" s="22">
        <f>testdata4[[#This Row],[%K]]-100</f>
        <v>-25.000000000000071</v>
      </c>
      <c r="N433" s="12">
        <v>431</v>
      </c>
      <c r="O433" s="3">
        <v>45534</v>
      </c>
      <c r="P433" s="23" t="s">
        <v>434</v>
      </c>
      <c r="Q433" s="22">
        <f>IF(testdata4[[#This Row],[%R]]&lt;&gt;Table25[[#This Row],[%R]],testdata4[[#This Row],[%R]]-Table25[[#This Row],[%R]],"")</f>
        <v>-7.1054273576010019E-14</v>
      </c>
      <c r="R433" s="11" t="str">
        <f>IF(OR(Table25[[#This Row],[%R]]&lt;-100,Table25[[#This Row],[%R]]&gt;0),"RANGE_ERR","")</f>
        <v>RANGE_ERR</v>
      </c>
    </row>
    <row r="434" spans="1:18" x14ac:dyDescent="0.35">
      <c r="A434" s="6">
        <v>432</v>
      </c>
      <c r="B434" s="3">
        <v>45538</v>
      </c>
      <c r="C434" s="2">
        <v>141.63</v>
      </c>
      <c r="D434" s="2">
        <v>143.27000000000001</v>
      </c>
      <c r="E434" s="2">
        <v>138.06</v>
      </c>
      <c r="F434" s="2">
        <v>138.96</v>
      </c>
      <c r="G434" s="1">
        <v>1629187</v>
      </c>
      <c r="H434" s="2">
        <f t="shared" si="14"/>
        <v>135.88</v>
      </c>
      <c r="I434" s="2">
        <f t="shared" si="15"/>
        <v>145.44999999999999</v>
      </c>
      <c r="J434" s="22">
        <f>100*(testdata4[[#This Row],[close]]-testdata4[[#This Row],[LL]])/(testdata4[[#This Row],[HH]]-testdata4[[#This Row],[LL]])</f>
        <v>32.183908045977162</v>
      </c>
      <c r="K434" s="22">
        <f>testdata4[[#This Row],[K(14)'']]</f>
        <v>32.183908045977162</v>
      </c>
      <c r="L434" s="22">
        <f>testdata4[[#This Row],[%K]]-100</f>
        <v>-67.816091954022838</v>
      </c>
      <c r="N434" s="12">
        <v>432</v>
      </c>
      <c r="O434" s="3">
        <v>45538</v>
      </c>
      <c r="P434" s="23" t="s">
        <v>435</v>
      </c>
      <c r="Q434" s="22">
        <f>IF(testdata4[[#This Row],[%R]]&lt;&gt;Table25[[#This Row],[%R]],testdata4[[#This Row],[%R]]-Table25[[#This Row],[%R]],"")</f>
        <v>-4.2632564145606011E-14</v>
      </c>
      <c r="R434" s="11" t="str">
        <f>IF(OR(Table25[[#This Row],[%R]]&lt;-100,Table25[[#This Row],[%R]]&gt;0),"RANGE_ERR","")</f>
        <v>RANGE_ERR</v>
      </c>
    </row>
    <row r="435" spans="1:18" x14ac:dyDescent="0.35">
      <c r="A435" s="6">
        <v>433</v>
      </c>
      <c r="B435" s="3">
        <v>45539</v>
      </c>
      <c r="C435" s="2">
        <v>138.38999999999999</v>
      </c>
      <c r="D435" s="2">
        <v>139.66</v>
      </c>
      <c r="E435" s="2">
        <v>136.49</v>
      </c>
      <c r="F435" s="2">
        <v>138.16</v>
      </c>
      <c r="G435" s="1">
        <v>1368684</v>
      </c>
      <c r="H435" s="2">
        <f t="shared" si="14"/>
        <v>136.49</v>
      </c>
      <c r="I435" s="2">
        <f t="shared" si="15"/>
        <v>145.44999999999999</v>
      </c>
      <c r="J435" s="22">
        <f>100*(testdata4[[#This Row],[close]]-testdata4[[#This Row],[LL]])/(testdata4[[#This Row],[HH]]-testdata4[[#This Row],[LL]])</f>
        <v>18.638392857142762</v>
      </c>
      <c r="K435" s="22">
        <f>testdata4[[#This Row],[K(14)'']]</f>
        <v>18.638392857142762</v>
      </c>
      <c r="L435" s="22">
        <f>testdata4[[#This Row],[%K]]-100</f>
        <v>-81.361607142857238</v>
      </c>
      <c r="N435" s="12">
        <v>433</v>
      </c>
      <c r="O435" s="3">
        <v>45539</v>
      </c>
      <c r="P435" s="23" t="s">
        <v>436</v>
      </c>
      <c r="Q435" s="22">
        <f>IF(testdata4[[#This Row],[%R]]&lt;&gt;Table25[[#This Row],[%R]],testdata4[[#This Row],[%R]]-Table25[[#This Row],[%R]],"")</f>
        <v>-4.2632564145606011E-14</v>
      </c>
      <c r="R435" s="11" t="str">
        <f>IF(OR(Table25[[#This Row],[%R]]&lt;-100,Table25[[#This Row],[%R]]&gt;0),"RANGE_ERR","")</f>
        <v>RANGE_ERR</v>
      </c>
    </row>
    <row r="436" spans="1:18" x14ac:dyDescent="0.35">
      <c r="A436" s="6">
        <v>434</v>
      </c>
      <c r="B436" s="3">
        <v>45540</v>
      </c>
      <c r="C436" s="2">
        <v>138.36000000000001</v>
      </c>
      <c r="D436" s="2">
        <v>139.06</v>
      </c>
      <c r="E436" s="2">
        <v>136.92500000000001</v>
      </c>
      <c r="F436" s="2">
        <v>138.36000000000001</v>
      </c>
      <c r="G436" s="1">
        <v>1194620</v>
      </c>
      <c r="H436" s="2">
        <f t="shared" si="14"/>
        <v>136.49</v>
      </c>
      <c r="I436" s="2">
        <f t="shared" si="15"/>
        <v>145.44999999999999</v>
      </c>
      <c r="J436" s="22">
        <f>100*(testdata4[[#This Row],[close]]-testdata4[[#This Row],[LL]])/(testdata4[[#This Row],[HH]]-testdata4[[#This Row],[LL]])</f>
        <v>20.870535714285811</v>
      </c>
      <c r="K436" s="22">
        <f>testdata4[[#This Row],[K(14)'']]</f>
        <v>20.870535714285811</v>
      </c>
      <c r="L436" s="22">
        <f>testdata4[[#This Row],[%K]]-100</f>
        <v>-79.129464285714192</v>
      </c>
      <c r="N436" s="12">
        <v>434</v>
      </c>
      <c r="O436" s="3">
        <v>45540</v>
      </c>
      <c r="P436" s="23" t="s">
        <v>437</v>
      </c>
      <c r="Q436" s="22">
        <f>IF(testdata4[[#This Row],[%R]]&lt;&gt;Table25[[#This Row],[%R]],testdata4[[#This Row],[%R]]-Table25[[#This Row],[%R]],"")</f>
        <v>-8.5265128291212022E-14</v>
      </c>
      <c r="R436" s="11" t="str">
        <f>IF(OR(Table25[[#This Row],[%R]]&lt;-100,Table25[[#This Row],[%R]]&gt;0),"RANGE_ERR","")</f>
        <v>RANGE_ERR</v>
      </c>
    </row>
    <row r="437" spans="1:18" x14ac:dyDescent="0.35">
      <c r="A437" s="6">
        <v>435</v>
      </c>
      <c r="B437" s="3">
        <v>45541</v>
      </c>
      <c r="C437" s="2">
        <v>138.44999999999999</v>
      </c>
      <c r="D437" s="2">
        <v>140</v>
      </c>
      <c r="E437" s="2">
        <v>136.51</v>
      </c>
      <c r="F437" s="2">
        <v>137.19999999999999</v>
      </c>
      <c r="G437" s="1">
        <v>1298388</v>
      </c>
      <c r="H437" s="2">
        <f t="shared" si="14"/>
        <v>136.49</v>
      </c>
      <c r="I437" s="2">
        <f t="shared" si="15"/>
        <v>145.44999999999999</v>
      </c>
      <c r="J437" s="22">
        <f>100*(testdata4[[#This Row],[close]]-testdata4[[#This Row],[LL]])/(testdata4[[#This Row],[HH]]-testdata4[[#This Row],[LL]])</f>
        <v>7.9241071428569327</v>
      </c>
      <c r="K437" s="22">
        <f>testdata4[[#This Row],[K(14)'']]</f>
        <v>7.9241071428569327</v>
      </c>
      <c r="L437" s="22">
        <f>testdata4[[#This Row],[%K]]-100</f>
        <v>-92.07589285714306</v>
      </c>
      <c r="N437" s="12">
        <v>435</v>
      </c>
      <c r="O437" s="3">
        <v>45541</v>
      </c>
      <c r="P437" s="23" t="s">
        <v>438</v>
      </c>
      <c r="Q437" s="22">
        <f>IF(testdata4[[#This Row],[%R]]&lt;&gt;Table25[[#This Row],[%R]],testdata4[[#This Row],[%R]]-Table25[[#This Row],[%R]],"")</f>
        <v>-5.6843418860808015E-14</v>
      </c>
      <c r="R437" s="11" t="str">
        <f>IF(OR(Table25[[#This Row],[%R]]&lt;-100,Table25[[#This Row],[%R]]&gt;0),"RANGE_ERR","")</f>
        <v>RANGE_ERR</v>
      </c>
    </row>
    <row r="438" spans="1:18" x14ac:dyDescent="0.35">
      <c r="A438" s="6">
        <v>436</v>
      </c>
      <c r="B438" s="3">
        <v>45544</v>
      </c>
      <c r="C438" s="2">
        <v>138.80000000000001</v>
      </c>
      <c r="D438" s="2">
        <v>139.54</v>
      </c>
      <c r="E438" s="2">
        <v>137.15</v>
      </c>
      <c r="F438" s="2">
        <v>138.09</v>
      </c>
      <c r="G438" s="1">
        <v>1770253</v>
      </c>
      <c r="H438" s="2">
        <f t="shared" si="14"/>
        <v>136.49</v>
      </c>
      <c r="I438" s="2">
        <f t="shared" si="15"/>
        <v>145.44999999999999</v>
      </c>
      <c r="J438" s="22">
        <f>100*(testdata4[[#This Row],[close]]-testdata4[[#This Row],[LL]])/(testdata4[[#This Row],[HH]]-testdata4[[#This Row],[LL]])</f>
        <v>17.857142857142833</v>
      </c>
      <c r="K438" s="22">
        <f>testdata4[[#This Row],[K(14)'']]</f>
        <v>17.857142857142833</v>
      </c>
      <c r="L438" s="22">
        <f>testdata4[[#This Row],[%K]]-100</f>
        <v>-82.142857142857167</v>
      </c>
      <c r="N438" s="12">
        <v>436</v>
      </c>
      <c r="O438" s="3">
        <v>45544</v>
      </c>
      <c r="P438" s="23" t="s">
        <v>439</v>
      </c>
      <c r="Q438" s="22">
        <f>IF(testdata4[[#This Row],[%R]]&lt;&gt;Table25[[#This Row],[%R]],testdata4[[#This Row],[%R]]-Table25[[#This Row],[%R]],"")</f>
        <v>-7.1054273576010019E-14</v>
      </c>
      <c r="R438" s="11" t="str">
        <f>IF(OR(Table25[[#This Row],[%R]]&lt;-100,Table25[[#This Row],[%R]]&gt;0),"RANGE_ERR","")</f>
        <v>RANGE_ERR</v>
      </c>
    </row>
    <row r="439" spans="1:18" x14ac:dyDescent="0.35">
      <c r="A439" s="6">
        <v>437</v>
      </c>
      <c r="B439" s="3">
        <v>45545</v>
      </c>
      <c r="C439" s="2">
        <v>137.53</v>
      </c>
      <c r="D439" s="2">
        <v>138.21</v>
      </c>
      <c r="E439" s="2">
        <v>135.94</v>
      </c>
      <c r="F439" s="2">
        <v>138.03</v>
      </c>
      <c r="G439" s="1">
        <v>1357677</v>
      </c>
      <c r="H439" s="2">
        <f t="shared" si="14"/>
        <v>135.94</v>
      </c>
      <c r="I439" s="2">
        <f t="shared" si="15"/>
        <v>145.44999999999999</v>
      </c>
      <c r="J439" s="22">
        <f>100*(testdata4[[#This Row],[close]]-testdata4[[#This Row],[LL]])/(testdata4[[#This Row],[HH]]-testdata4[[#This Row],[LL]])</f>
        <v>21.97686645636178</v>
      </c>
      <c r="K439" s="22">
        <f>testdata4[[#This Row],[K(14)'']]</f>
        <v>21.97686645636178</v>
      </c>
      <c r="L439" s="22">
        <f>testdata4[[#This Row],[%K]]-100</f>
        <v>-78.023133543638224</v>
      </c>
      <c r="N439" s="12">
        <v>437</v>
      </c>
      <c r="O439" s="3">
        <v>45545</v>
      </c>
      <c r="P439" s="23" t="s">
        <v>440</v>
      </c>
      <c r="Q439" s="22">
        <f>IF(testdata4[[#This Row],[%R]]&lt;&gt;Table25[[#This Row],[%R]],testdata4[[#This Row],[%R]]-Table25[[#This Row],[%R]],"")</f>
        <v>-2.8421709430404007E-14</v>
      </c>
      <c r="R439" s="11" t="str">
        <f>IF(OR(Table25[[#This Row],[%R]]&lt;-100,Table25[[#This Row],[%R]]&gt;0),"RANGE_ERR","")</f>
        <v>RANGE_ERR</v>
      </c>
    </row>
    <row r="440" spans="1:18" x14ac:dyDescent="0.35">
      <c r="A440" s="6">
        <v>438</v>
      </c>
      <c r="B440" s="3">
        <v>45546</v>
      </c>
      <c r="C440" s="2">
        <v>137.34</v>
      </c>
      <c r="D440" s="2">
        <v>138.86000000000001</v>
      </c>
      <c r="E440" s="2">
        <v>134.76</v>
      </c>
      <c r="F440" s="2">
        <v>138.69999999999999</v>
      </c>
      <c r="G440" s="1">
        <v>1405535</v>
      </c>
      <c r="H440" s="2">
        <f t="shared" si="14"/>
        <v>134.76</v>
      </c>
      <c r="I440" s="2">
        <f t="shared" si="15"/>
        <v>145.44999999999999</v>
      </c>
      <c r="J440" s="22">
        <f>100*(testdata4[[#This Row],[close]]-testdata4[[#This Row],[LL]])/(testdata4[[#This Row],[HH]]-testdata4[[#This Row],[LL]])</f>
        <v>36.856875584658546</v>
      </c>
      <c r="K440" s="22">
        <f>testdata4[[#This Row],[K(14)'']]</f>
        <v>36.856875584658546</v>
      </c>
      <c r="L440" s="22">
        <f>testdata4[[#This Row],[%K]]-100</f>
        <v>-63.143124415341454</v>
      </c>
      <c r="N440" s="12">
        <v>438</v>
      </c>
      <c r="O440" s="3">
        <v>45546</v>
      </c>
      <c r="P440" s="23" t="s">
        <v>441</v>
      </c>
      <c r="Q440" s="22">
        <f>IF(testdata4[[#This Row],[%R]]&lt;&gt;Table25[[#This Row],[%R]],testdata4[[#This Row],[%R]]-Table25[[#This Row],[%R]],"")</f>
        <v>-5.6843418860808015E-14</v>
      </c>
      <c r="R440" s="11" t="str">
        <f>IF(OR(Table25[[#This Row],[%R]]&lt;-100,Table25[[#This Row],[%R]]&gt;0),"RANGE_ERR","")</f>
        <v>RANGE_ERR</v>
      </c>
    </row>
    <row r="441" spans="1:18" x14ac:dyDescent="0.35">
      <c r="A441" s="6">
        <v>439</v>
      </c>
      <c r="B441" s="3">
        <v>45547</v>
      </c>
      <c r="C441" s="2">
        <v>138.19999999999999</v>
      </c>
      <c r="D441" s="2">
        <v>138.62</v>
      </c>
      <c r="E441" s="2">
        <v>134.25</v>
      </c>
      <c r="F441" s="2">
        <v>136.38999999999999</v>
      </c>
      <c r="G441" s="1">
        <v>1616489</v>
      </c>
      <c r="H441" s="2">
        <f t="shared" si="14"/>
        <v>134.25</v>
      </c>
      <c r="I441" s="2">
        <f t="shared" si="15"/>
        <v>143.44</v>
      </c>
      <c r="J441" s="22">
        <f>100*(testdata4[[#This Row],[close]]-testdata4[[#This Row],[LL]])/(testdata4[[#This Row],[HH]]-testdata4[[#This Row],[LL]])</f>
        <v>23.28618063112064</v>
      </c>
      <c r="K441" s="22">
        <f>testdata4[[#This Row],[K(14)'']]</f>
        <v>23.28618063112064</v>
      </c>
      <c r="L441" s="22">
        <f>testdata4[[#This Row],[%K]]-100</f>
        <v>-76.713819368879356</v>
      </c>
      <c r="N441" s="12">
        <v>439</v>
      </c>
      <c r="O441" s="3">
        <v>45547</v>
      </c>
      <c r="P441" s="23" t="s">
        <v>442</v>
      </c>
      <c r="Q441" s="22">
        <f>IF(testdata4[[#This Row],[%R]]&lt;&gt;Table25[[#This Row],[%R]],testdata4[[#This Row],[%R]]-Table25[[#This Row],[%R]],"")</f>
        <v>-5.6843418860808015E-14</v>
      </c>
      <c r="R441" s="11" t="str">
        <f>IF(OR(Table25[[#This Row],[%R]]&lt;-100,Table25[[#This Row],[%R]]&gt;0),"RANGE_ERR","")</f>
        <v>RANGE_ERR</v>
      </c>
    </row>
    <row r="442" spans="1:18" x14ac:dyDescent="0.35">
      <c r="A442" s="6">
        <v>440</v>
      </c>
      <c r="B442" s="3">
        <v>45548</v>
      </c>
      <c r="C442" s="2">
        <v>136.81</v>
      </c>
      <c r="D442" s="2">
        <v>137.61000000000001</v>
      </c>
      <c r="E442" s="2">
        <v>136.36500000000001</v>
      </c>
      <c r="F442" s="2">
        <v>137.31</v>
      </c>
      <c r="G442" s="1">
        <v>917759</v>
      </c>
      <c r="H442" s="2">
        <f t="shared" si="14"/>
        <v>134.25</v>
      </c>
      <c r="I442" s="2">
        <f t="shared" si="15"/>
        <v>143.44</v>
      </c>
      <c r="J442" s="22">
        <f>100*(testdata4[[#This Row],[close]]-testdata4[[#This Row],[LL]])/(testdata4[[#This Row],[HH]]-testdata4[[#This Row],[LL]])</f>
        <v>33.297062023939098</v>
      </c>
      <c r="K442" s="22">
        <f>testdata4[[#This Row],[K(14)'']]</f>
        <v>33.297062023939098</v>
      </c>
      <c r="L442" s="22">
        <f>testdata4[[#This Row],[%K]]-100</f>
        <v>-66.702937976060895</v>
      </c>
      <c r="N442" s="12">
        <v>440</v>
      </c>
      <c r="O442" s="3">
        <v>45548</v>
      </c>
      <c r="P442" s="23" t="s">
        <v>443</v>
      </c>
      <c r="Q442" s="22">
        <f>IF(testdata4[[#This Row],[%R]]&lt;&gt;Table25[[#This Row],[%R]],testdata4[[#This Row],[%R]]-Table25[[#This Row],[%R]],"")</f>
        <v>-9.9475983006414026E-14</v>
      </c>
      <c r="R442" s="11" t="str">
        <f>IF(OR(Table25[[#This Row],[%R]]&lt;-100,Table25[[#This Row],[%R]]&gt;0),"RANGE_ERR","")</f>
        <v>RANGE_ERR</v>
      </c>
    </row>
    <row r="443" spans="1:18" x14ac:dyDescent="0.35">
      <c r="A443" s="6">
        <v>441</v>
      </c>
      <c r="B443" s="3">
        <v>45551</v>
      </c>
      <c r="C443" s="2">
        <v>138.28</v>
      </c>
      <c r="D443" s="2">
        <v>139.78</v>
      </c>
      <c r="E443" s="2">
        <v>137.495</v>
      </c>
      <c r="F443" s="2">
        <v>138.31</v>
      </c>
      <c r="G443" s="1">
        <v>887044</v>
      </c>
      <c r="H443" s="2">
        <f t="shared" si="14"/>
        <v>134.25</v>
      </c>
      <c r="I443" s="2">
        <f t="shared" si="15"/>
        <v>143.44</v>
      </c>
      <c r="J443" s="22">
        <f>100*(testdata4[[#This Row],[close]]-testdata4[[#This Row],[LL]])/(testdata4[[#This Row],[HH]]-testdata4[[#This Row],[LL]])</f>
        <v>44.178454842219843</v>
      </c>
      <c r="K443" s="22">
        <f>testdata4[[#This Row],[K(14)'']]</f>
        <v>44.178454842219843</v>
      </c>
      <c r="L443" s="22">
        <f>testdata4[[#This Row],[%K]]-100</f>
        <v>-55.821545157780157</v>
      </c>
      <c r="N443" s="12">
        <v>441</v>
      </c>
      <c r="O443" s="3">
        <v>45551</v>
      </c>
      <c r="P443" s="23" t="s">
        <v>444</v>
      </c>
      <c r="Q443" s="22">
        <f>IF(testdata4[[#This Row],[%R]]&lt;&gt;Table25[[#This Row],[%R]],testdata4[[#This Row],[%R]]-Table25[[#This Row],[%R]],"")</f>
        <v>-5.6843418860808015E-14</v>
      </c>
      <c r="R443" s="11" t="str">
        <f>IF(OR(Table25[[#This Row],[%R]]&lt;-100,Table25[[#This Row],[%R]]&gt;0),"RANGE_ERR","")</f>
        <v>RANGE_ERR</v>
      </c>
    </row>
    <row r="444" spans="1:18" x14ac:dyDescent="0.35">
      <c r="A444" s="6">
        <v>442</v>
      </c>
      <c r="B444" s="3">
        <v>45552</v>
      </c>
      <c r="C444" s="2">
        <v>138.66</v>
      </c>
      <c r="D444" s="2">
        <v>139.77500000000001</v>
      </c>
      <c r="E444" s="2">
        <v>137.38999999999999</v>
      </c>
      <c r="F444" s="2">
        <v>138.35</v>
      </c>
      <c r="G444" s="1">
        <v>1210176</v>
      </c>
      <c r="H444" s="2">
        <f t="shared" si="14"/>
        <v>134.25</v>
      </c>
      <c r="I444" s="2">
        <f t="shared" si="15"/>
        <v>143.44</v>
      </c>
      <c r="J444" s="22">
        <f>100*(testdata4[[#This Row],[close]]-testdata4[[#This Row],[LL]])/(testdata4[[#This Row],[HH]]-testdata4[[#This Row],[LL]])</f>
        <v>44.613710554950984</v>
      </c>
      <c r="K444" s="22">
        <f>testdata4[[#This Row],[K(14)'']]</f>
        <v>44.613710554950984</v>
      </c>
      <c r="L444" s="22">
        <f>testdata4[[#This Row],[%K]]-100</f>
        <v>-55.386289445049016</v>
      </c>
      <c r="N444" s="12">
        <v>442</v>
      </c>
      <c r="O444" s="3">
        <v>45552</v>
      </c>
      <c r="P444" s="23" t="s">
        <v>445</v>
      </c>
      <c r="Q444" s="22">
        <f>IF(testdata4[[#This Row],[%R]]&lt;&gt;Table25[[#This Row],[%R]],testdata4[[#This Row],[%R]]-Table25[[#This Row],[%R]],"")</f>
        <v>-1.4210854715202004E-14</v>
      </c>
      <c r="R444" s="11" t="str">
        <f>IF(OR(Table25[[#This Row],[%R]]&lt;-100,Table25[[#This Row],[%R]]&gt;0),"RANGE_ERR","")</f>
        <v>RANGE_ERR</v>
      </c>
    </row>
    <row r="445" spans="1:18" x14ac:dyDescent="0.35">
      <c r="A445" s="6">
        <v>443</v>
      </c>
      <c r="B445" s="3">
        <v>45553</v>
      </c>
      <c r="C445" s="2">
        <v>138.5</v>
      </c>
      <c r="D445" s="2">
        <v>141</v>
      </c>
      <c r="E445" s="2">
        <v>137.43</v>
      </c>
      <c r="F445" s="2">
        <v>139.01</v>
      </c>
      <c r="G445" s="1">
        <v>1390546</v>
      </c>
      <c r="H445" s="2">
        <f t="shared" si="14"/>
        <v>134.25</v>
      </c>
      <c r="I445" s="2">
        <f t="shared" si="15"/>
        <v>143.44</v>
      </c>
      <c r="J445" s="22">
        <f>100*(testdata4[[#This Row],[close]]-testdata4[[#This Row],[LL]])/(testdata4[[#This Row],[HH]]-testdata4[[#This Row],[LL]])</f>
        <v>51.795429815016234</v>
      </c>
      <c r="K445" s="22">
        <f>testdata4[[#This Row],[K(14)'']]</f>
        <v>51.795429815016234</v>
      </c>
      <c r="L445" s="22">
        <f>testdata4[[#This Row],[%K]]-100</f>
        <v>-48.204570184983766</v>
      </c>
      <c r="N445" s="12">
        <v>443</v>
      </c>
      <c r="O445" s="3">
        <v>45553</v>
      </c>
      <c r="P445" s="23" t="s">
        <v>446</v>
      </c>
      <c r="Q445" s="22">
        <f>IF(testdata4[[#This Row],[%R]]&lt;&gt;Table25[[#This Row],[%R]],testdata4[[#This Row],[%R]]-Table25[[#This Row],[%R]],"")</f>
        <v>-6.3948846218409017E-14</v>
      </c>
      <c r="R445" s="11" t="str">
        <f>IF(OR(Table25[[#This Row],[%R]]&lt;-100,Table25[[#This Row],[%R]]&gt;0),"RANGE_ERR","")</f>
        <v>RANGE_ERR</v>
      </c>
    </row>
    <row r="446" spans="1:18" x14ac:dyDescent="0.35">
      <c r="A446" s="6">
        <v>444</v>
      </c>
      <c r="B446" s="3">
        <v>45554</v>
      </c>
      <c r="C446" s="2">
        <v>141.85</v>
      </c>
      <c r="D446" s="2">
        <v>143.44</v>
      </c>
      <c r="E446" s="2">
        <v>141.45500000000001</v>
      </c>
      <c r="F446" s="2">
        <v>141.94999999999999</v>
      </c>
      <c r="G446" s="1">
        <v>1225954</v>
      </c>
      <c r="H446" s="2">
        <f t="shared" si="14"/>
        <v>134.25</v>
      </c>
      <c r="I446" s="2">
        <f t="shared" si="15"/>
        <v>143.44</v>
      </c>
      <c r="J446" s="22">
        <f>100*(testdata4[[#This Row],[close]]-testdata4[[#This Row],[LL]])/(testdata4[[#This Row],[HH]]-testdata4[[#This Row],[LL]])</f>
        <v>83.786724700761596</v>
      </c>
      <c r="K446" s="22">
        <f>testdata4[[#This Row],[K(14)'']]</f>
        <v>83.786724700761596</v>
      </c>
      <c r="L446" s="22">
        <f>testdata4[[#This Row],[%K]]-100</f>
        <v>-16.213275299238404</v>
      </c>
      <c r="N446" s="12">
        <v>444</v>
      </c>
      <c r="O446" s="3">
        <v>45554</v>
      </c>
      <c r="P446" s="23" t="s">
        <v>447</v>
      </c>
      <c r="Q446" s="22">
        <f>IF(testdata4[[#This Row],[%R]]&lt;&gt;Table25[[#This Row],[%R]],testdata4[[#This Row],[%R]]-Table25[[#This Row],[%R]],"")</f>
        <v>-3.5527136788005009E-15</v>
      </c>
      <c r="R446" s="11" t="str">
        <f>IF(OR(Table25[[#This Row],[%R]]&lt;-100,Table25[[#This Row],[%R]]&gt;0),"RANGE_ERR","")</f>
        <v>RANGE_ERR</v>
      </c>
    </row>
    <row r="447" spans="1:18" x14ac:dyDescent="0.35">
      <c r="A447" s="6">
        <v>445</v>
      </c>
      <c r="B447" s="3">
        <v>45555</v>
      </c>
      <c r="C447" s="2">
        <v>141.21</v>
      </c>
      <c r="D447" s="2">
        <v>141.39519999999999</v>
      </c>
      <c r="E447" s="2">
        <v>137.88</v>
      </c>
      <c r="F447" s="2">
        <v>140.09</v>
      </c>
      <c r="G447" s="1">
        <v>2613595</v>
      </c>
      <c r="H447" s="2">
        <f t="shared" si="14"/>
        <v>134.25</v>
      </c>
      <c r="I447" s="2">
        <f t="shared" si="15"/>
        <v>143.44</v>
      </c>
      <c r="J447" s="22">
        <f>100*(testdata4[[#This Row],[close]]-testdata4[[#This Row],[LL]])/(testdata4[[#This Row],[HH]]-testdata4[[#This Row],[LL]])</f>
        <v>63.547334058759574</v>
      </c>
      <c r="K447" s="22">
        <f>testdata4[[#This Row],[K(14)'']]</f>
        <v>63.547334058759574</v>
      </c>
      <c r="L447" s="22">
        <f>testdata4[[#This Row],[%K]]-100</f>
        <v>-36.452665941240426</v>
      </c>
      <c r="N447" s="12">
        <v>445</v>
      </c>
      <c r="O447" s="3">
        <v>45555</v>
      </c>
      <c r="P447" s="23" t="s">
        <v>448</v>
      </c>
      <c r="Q447" s="22">
        <f>IF(testdata4[[#This Row],[%R]]&lt;&gt;Table25[[#This Row],[%R]],testdata4[[#This Row],[%R]]-Table25[[#This Row],[%R]],"")</f>
        <v>-2.8421709430404007E-14</v>
      </c>
      <c r="R447" s="11" t="str">
        <f>IF(OR(Table25[[#This Row],[%R]]&lt;-100,Table25[[#This Row],[%R]]&gt;0),"RANGE_ERR","")</f>
        <v>RANGE_ERR</v>
      </c>
    </row>
    <row r="448" spans="1:18" x14ac:dyDescent="0.35">
      <c r="A448" s="6">
        <v>446</v>
      </c>
      <c r="B448" s="3">
        <v>45558</v>
      </c>
      <c r="C448" s="2">
        <v>141.15</v>
      </c>
      <c r="D448" s="2">
        <v>141.15</v>
      </c>
      <c r="E448" s="2">
        <v>138.60069999999999</v>
      </c>
      <c r="F448" s="2">
        <v>139.79</v>
      </c>
      <c r="G448" s="1">
        <v>2179480</v>
      </c>
      <c r="H448" s="2">
        <f t="shared" si="14"/>
        <v>134.25</v>
      </c>
      <c r="I448" s="2">
        <f t="shared" si="15"/>
        <v>143.44</v>
      </c>
      <c r="J448" s="22">
        <f>100*(testdata4[[#This Row],[close]]-testdata4[[#This Row],[LL]])/(testdata4[[#This Row],[HH]]-testdata4[[#This Row],[LL]])</f>
        <v>60.282916213275229</v>
      </c>
      <c r="K448" s="22">
        <f>testdata4[[#This Row],[K(14)'']]</f>
        <v>60.282916213275229</v>
      </c>
      <c r="L448" s="22">
        <f>testdata4[[#This Row],[%K]]-100</f>
        <v>-39.717083786724771</v>
      </c>
      <c r="N448" s="12">
        <v>446</v>
      </c>
      <c r="O448" s="3">
        <v>45558</v>
      </c>
      <c r="P448" s="23" t="s">
        <v>449</v>
      </c>
      <c r="Q448" s="22">
        <f>IF(testdata4[[#This Row],[%R]]&lt;&gt;Table25[[#This Row],[%R]],testdata4[[#This Row],[%R]]-Table25[[#This Row],[%R]],"")</f>
        <v>-7.1054273576010019E-14</v>
      </c>
      <c r="R448" s="11" t="str">
        <f>IF(OR(Table25[[#This Row],[%R]]&lt;-100,Table25[[#This Row],[%R]]&gt;0),"RANGE_ERR","")</f>
        <v>RANGE_ERR</v>
      </c>
    </row>
    <row r="449" spans="1:18" x14ac:dyDescent="0.35">
      <c r="A449" s="6">
        <v>447</v>
      </c>
      <c r="B449" s="3">
        <v>45559</v>
      </c>
      <c r="C449" s="2">
        <v>140.1</v>
      </c>
      <c r="D449" s="2">
        <v>143.27000000000001</v>
      </c>
      <c r="E449" s="2">
        <v>139.31</v>
      </c>
      <c r="F449" s="2">
        <v>141.87</v>
      </c>
      <c r="G449" s="1">
        <v>1930083</v>
      </c>
      <c r="H449" s="2">
        <f t="shared" si="14"/>
        <v>134.25</v>
      </c>
      <c r="I449" s="2">
        <f t="shared" si="15"/>
        <v>143.44</v>
      </c>
      <c r="J449" s="22">
        <f>100*(testdata4[[#This Row],[close]]-testdata4[[#This Row],[LL]])/(testdata4[[#This Row],[HH]]-testdata4[[#This Row],[LL]])</f>
        <v>82.916213275299313</v>
      </c>
      <c r="K449" s="22">
        <f>testdata4[[#This Row],[K(14)'']]</f>
        <v>82.916213275299313</v>
      </c>
      <c r="L449" s="22">
        <f>testdata4[[#This Row],[%K]]-100</f>
        <v>-17.083786724700687</v>
      </c>
      <c r="N449" s="12">
        <v>447</v>
      </c>
      <c r="O449" s="3">
        <v>45559</v>
      </c>
      <c r="P449" s="23" t="s">
        <v>450</v>
      </c>
      <c r="Q449" s="22">
        <f>IF(testdata4[[#This Row],[%R]]&lt;&gt;Table25[[#This Row],[%R]],testdata4[[#This Row],[%R]]-Table25[[#This Row],[%R]],"")</f>
        <v>-8.5265128291212022E-14</v>
      </c>
      <c r="R449" s="11" t="str">
        <f>IF(OR(Table25[[#This Row],[%R]]&lt;-100,Table25[[#This Row],[%R]]&gt;0),"RANGE_ERR","")</f>
        <v>RANGE_ERR</v>
      </c>
    </row>
    <row r="450" spans="1:18" x14ac:dyDescent="0.35">
      <c r="A450" s="6">
        <v>448</v>
      </c>
      <c r="B450" s="3">
        <v>45560</v>
      </c>
      <c r="C450" s="2">
        <v>141.97</v>
      </c>
      <c r="D450" s="2">
        <v>142.83500000000001</v>
      </c>
      <c r="E450" s="2">
        <v>139.21</v>
      </c>
      <c r="F450" s="2">
        <v>139.44</v>
      </c>
      <c r="G450" s="1">
        <v>1437304</v>
      </c>
      <c r="H450" s="2">
        <f t="shared" si="14"/>
        <v>134.25</v>
      </c>
      <c r="I450" s="2">
        <f t="shared" si="15"/>
        <v>143.44</v>
      </c>
      <c r="J450" s="22">
        <f>100*(testdata4[[#This Row],[close]]-testdata4[[#This Row],[LL]])/(testdata4[[#This Row],[HH]]-testdata4[[#This Row],[LL]])</f>
        <v>56.474428726877029</v>
      </c>
      <c r="K450" s="22">
        <f>testdata4[[#This Row],[K(14)'']]</f>
        <v>56.474428726877029</v>
      </c>
      <c r="L450" s="22">
        <f>testdata4[[#This Row],[%K]]-100</f>
        <v>-43.525571273122971</v>
      </c>
      <c r="N450" s="12">
        <v>448</v>
      </c>
      <c r="O450" s="3">
        <v>45560</v>
      </c>
      <c r="P450" s="23" t="s">
        <v>451</v>
      </c>
      <c r="Q450" s="22">
        <f>IF(testdata4[[#This Row],[%R]]&lt;&gt;Table25[[#This Row],[%R]],testdata4[[#This Row],[%R]]-Table25[[#This Row],[%R]],"")</f>
        <v>-7.1054273576010019E-14</v>
      </c>
      <c r="R450" s="11" t="str">
        <f>IF(OR(Table25[[#This Row],[%R]]&lt;-100,Table25[[#This Row],[%R]]&gt;0),"RANGE_ERR","")</f>
        <v>RANGE_ERR</v>
      </c>
    </row>
    <row r="451" spans="1:18" x14ac:dyDescent="0.35">
      <c r="A451" s="6">
        <v>449</v>
      </c>
      <c r="B451" s="3">
        <v>45561</v>
      </c>
      <c r="C451" s="2">
        <v>141.26</v>
      </c>
      <c r="D451" s="2">
        <v>146.96</v>
      </c>
      <c r="E451" s="2">
        <v>140.54</v>
      </c>
      <c r="F451" s="2">
        <v>146.74</v>
      </c>
      <c r="G451" s="1">
        <v>2149759</v>
      </c>
      <c r="H451" s="2">
        <f t="shared" si="14"/>
        <v>134.25</v>
      </c>
      <c r="I451" s="2">
        <f t="shared" si="15"/>
        <v>146.96</v>
      </c>
      <c r="J451" s="22">
        <f>100*(testdata4[[#This Row],[close]]-testdata4[[#This Row],[LL]])/(testdata4[[#This Row],[HH]]-testdata4[[#This Row],[LL]])</f>
        <v>98.269079464988209</v>
      </c>
      <c r="K451" s="22">
        <f>testdata4[[#This Row],[K(14)'']]</f>
        <v>98.269079464988209</v>
      </c>
      <c r="L451" s="22">
        <f>testdata4[[#This Row],[%K]]-100</f>
        <v>-1.7309205350117907</v>
      </c>
      <c r="N451" s="12">
        <v>449</v>
      </c>
      <c r="O451" s="3">
        <v>45561</v>
      </c>
      <c r="P451" s="23" t="s">
        <v>452</v>
      </c>
      <c r="Q451" s="22">
        <f>IF(testdata4[[#This Row],[%R]]&lt;&gt;Table25[[#This Row],[%R]],testdata4[[#This Row],[%R]]-Table25[[#This Row],[%R]],"")</f>
        <v>-6.6613381477509392E-16</v>
      </c>
      <c r="R451" s="11" t="str">
        <f>IF(OR(Table25[[#This Row],[%R]]&lt;-100,Table25[[#This Row],[%R]]&gt;0),"RANGE_ERR","")</f>
        <v>RANGE_ERR</v>
      </c>
    </row>
    <row r="452" spans="1:18" x14ac:dyDescent="0.35">
      <c r="A452" s="6">
        <v>450</v>
      </c>
      <c r="B452" s="3">
        <v>45562</v>
      </c>
      <c r="C452" s="2">
        <v>147.18</v>
      </c>
      <c r="D452" s="2">
        <v>150.08000000000001</v>
      </c>
      <c r="E452" s="2">
        <v>147.18</v>
      </c>
      <c r="F452" s="2">
        <v>148.06</v>
      </c>
      <c r="G452" s="1">
        <v>2213029</v>
      </c>
      <c r="H452" s="2">
        <f t="shared" si="14"/>
        <v>134.25</v>
      </c>
      <c r="I452" s="2">
        <f t="shared" si="15"/>
        <v>150.08000000000001</v>
      </c>
      <c r="J452" s="22">
        <f>100*(testdata4[[#This Row],[close]]-testdata4[[#This Row],[LL]])/(testdata4[[#This Row],[HH]]-testdata4[[#This Row],[LL]])</f>
        <v>87.239418825015733</v>
      </c>
      <c r="K452" s="22">
        <f>testdata4[[#This Row],[K(14)'']]</f>
        <v>87.239418825015733</v>
      </c>
      <c r="L452" s="22">
        <f>testdata4[[#This Row],[%K]]-100</f>
        <v>-12.760581174984267</v>
      </c>
      <c r="N452" s="12">
        <v>450</v>
      </c>
      <c r="O452" s="3">
        <v>45562</v>
      </c>
      <c r="P452" s="23" t="s">
        <v>453</v>
      </c>
      <c r="Q452" s="22">
        <f>IF(testdata4[[#This Row],[%R]]&lt;&gt;Table25[[#This Row],[%R]],testdata4[[#This Row],[%R]]-Table25[[#This Row],[%R]],"")</f>
        <v>-6.7501559897209518E-14</v>
      </c>
      <c r="R452" s="11" t="str">
        <f>IF(OR(Table25[[#This Row],[%R]]&lt;-100,Table25[[#This Row],[%R]]&gt;0),"RANGE_ERR","")</f>
        <v>RANGE_ERR</v>
      </c>
    </row>
    <row r="453" spans="1:18" x14ac:dyDescent="0.35">
      <c r="A453" s="6">
        <v>451</v>
      </c>
      <c r="B453" s="3">
        <v>45565</v>
      </c>
      <c r="C453" s="2">
        <v>147.69999999999999</v>
      </c>
      <c r="D453" s="2">
        <v>148.83000000000001</v>
      </c>
      <c r="E453" s="2">
        <v>146.71</v>
      </c>
      <c r="F453" s="2">
        <v>148.47999999999999</v>
      </c>
      <c r="G453" s="1">
        <v>1408312</v>
      </c>
      <c r="H453" s="2">
        <f t="shared" si="14"/>
        <v>134.25</v>
      </c>
      <c r="I453" s="2">
        <f t="shared" si="15"/>
        <v>150.08000000000001</v>
      </c>
      <c r="J453" s="22">
        <f>100*(testdata4[[#This Row],[close]]-testdata4[[#This Row],[LL]])/(testdata4[[#This Row],[HH]]-testdata4[[#This Row],[LL]])</f>
        <v>89.892608970309411</v>
      </c>
      <c r="K453" s="22">
        <f>testdata4[[#This Row],[K(14)'']]</f>
        <v>89.892608970309411</v>
      </c>
      <c r="L453" s="22">
        <f>testdata4[[#This Row],[%K]]-100</f>
        <v>-10.107391029690589</v>
      </c>
      <c r="N453" s="12">
        <v>451</v>
      </c>
      <c r="O453" s="3">
        <v>45565</v>
      </c>
      <c r="P453" s="23" t="s">
        <v>454</v>
      </c>
      <c r="Q453" s="22">
        <f>IF(testdata4[[#This Row],[%R]]&lt;&gt;Table25[[#This Row],[%R]],testdata4[[#This Row],[%R]]-Table25[[#This Row],[%R]],"")</f>
        <v>-8.8817841970012523E-14</v>
      </c>
      <c r="R453" s="11" t="str">
        <f>IF(OR(Table25[[#This Row],[%R]]&lt;-100,Table25[[#This Row],[%R]]&gt;0),"RANGE_ERR","")</f>
        <v>RANGE_ERR</v>
      </c>
    </row>
    <row r="454" spans="1:18" x14ac:dyDescent="0.35">
      <c r="A454" s="6">
        <v>452</v>
      </c>
      <c r="B454" s="3">
        <v>45566</v>
      </c>
      <c r="C454" s="2">
        <v>148.19</v>
      </c>
      <c r="D454" s="2">
        <v>148.19</v>
      </c>
      <c r="E454" s="2">
        <v>144.02000000000001</v>
      </c>
      <c r="F454" s="2">
        <v>146.56</v>
      </c>
      <c r="G454" s="1">
        <v>1408643</v>
      </c>
      <c r="H454" s="2">
        <f t="shared" si="14"/>
        <v>134.25</v>
      </c>
      <c r="I454" s="2">
        <f t="shared" si="15"/>
        <v>150.08000000000001</v>
      </c>
      <c r="J454" s="22">
        <f>100*(testdata4[[#This Row],[close]]-testdata4[[#This Row],[LL]])/(testdata4[[#This Row],[HH]]-testdata4[[#This Row],[LL]])</f>
        <v>77.763739734680939</v>
      </c>
      <c r="K454" s="22">
        <f>testdata4[[#This Row],[K(14)'']]</f>
        <v>77.763739734680939</v>
      </c>
      <c r="L454" s="22">
        <f>testdata4[[#This Row],[%K]]-100</f>
        <v>-22.236260265319061</v>
      </c>
      <c r="N454" s="12">
        <v>452</v>
      </c>
      <c r="O454" s="3">
        <v>45566</v>
      </c>
      <c r="P454" s="23" t="s">
        <v>455</v>
      </c>
      <c r="Q454" s="22">
        <f>IF(testdata4[[#This Row],[%R]]&lt;&gt;Table25[[#This Row],[%R]],testdata4[[#This Row],[%R]]-Table25[[#This Row],[%R]],"")</f>
        <v>-6.0396132539608516E-14</v>
      </c>
      <c r="R454" s="11" t="str">
        <f>IF(OR(Table25[[#This Row],[%R]]&lt;-100,Table25[[#This Row],[%R]]&gt;0),"RANGE_ERR","")</f>
        <v>RANGE_ERR</v>
      </c>
    </row>
    <row r="455" spans="1:18" x14ac:dyDescent="0.35">
      <c r="A455" s="6">
        <v>453</v>
      </c>
      <c r="B455" s="3">
        <v>45567</v>
      </c>
      <c r="C455" s="2">
        <v>146.27000000000001</v>
      </c>
      <c r="D455" s="2">
        <v>147.65</v>
      </c>
      <c r="E455" s="2">
        <v>145.11000000000001</v>
      </c>
      <c r="F455" s="2">
        <v>146.54</v>
      </c>
      <c r="G455" s="1">
        <v>1200066</v>
      </c>
      <c r="H455" s="2">
        <f t="shared" si="14"/>
        <v>136.36500000000001</v>
      </c>
      <c r="I455" s="2">
        <f t="shared" si="15"/>
        <v>150.08000000000001</v>
      </c>
      <c r="J455" s="22">
        <f>100*(testdata4[[#This Row],[close]]-testdata4[[#This Row],[LL]])/(testdata4[[#This Row],[HH]]-testdata4[[#This Row],[LL]])</f>
        <v>74.188844331024285</v>
      </c>
      <c r="K455" s="22">
        <f>testdata4[[#This Row],[K(14)'']]</f>
        <v>74.188844331024285</v>
      </c>
      <c r="L455" s="22">
        <f>testdata4[[#This Row],[%K]]-100</f>
        <v>-25.811155668975715</v>
      </c>
      <c r="N455" s="12">
        <v>453</v>
      </c>
      <c r="O455" s="3">
        <v>45567</v>
      </c>
      <c r="P455" s="23" t="s">
        <v>456</v>
      </c>
      <c r="Q455" s="22">
        <f>IF(testdata4[[#This Row],[%R]]&lt;&gt;Table25[[#This Row],[%R]],testdata4[[#This Row],[%R]]-Table25[[#This Row],[%R]],"")</f>
        <v>-1.4210854715202004E-14</v>
      </c>
      <c r="R455" s="11" t="str">
        <f>IF(OR(Table25[[#This Row],[%R]]&lt;-100,Table25[[#This Row],[%R]]&gt;0),"RANGE_ERR","")</f>
        <v>RANGE_ERR</v>
      </c>
    </row>
    <row r="456" spans="1:18" x14ac:dyDescent="0.35">
      <c r="A456" s="6">
        <v>454</v>
      </c>
      <c r="B456" s="3">
        <v>45568</v>
      </c>
      <c r="C456" s="2">
        <v>145.43</v>
      </c>
      <c r="D456" s="2">
        <v>145.97999999999999</v>
      </c>
      <c r="E456" s="2">
        <v>144.09</v>
      </c>
      <c r="F456" s="2">
        <v>144.55000000000001</v>
      </c>
      <c r="G456" s="1">
        <v>1100049</v>
      </c>
      <c r="H456" s="2">
        <f t="shared" si="14"/>
        <v>137.38999999999999</v>
      </c>
      <c r="I456" s="2">
        <f t="shared" si="15"/>
        <v>150.08000000000001</v>
      </c>
      <c r="J456" s="22">
        <f>100*(testdata4[[#This Row],[close]]-testdata4[[#This Row],[LL]])/(testdata4[[#This Row],[HH]]-testdata4[[#This Row],[LL]])</f>
        <v>56.422379826635229</v>
      </c>
      <c r="K456" s="22">
        <f>testdata4[[#This Row],[K(14)'']]</f>
        <v>56.422379826635229</v>
      </c>
      <c r="L456" s="22">
        <f>testdata4[[#This Row],[%K]]-100</f>
        <v>-43.577620173364771</v>
      </c>
      <c r="N456" s="12">
        <v>454</v>
      </c>
      <c r="O456" s="3">
        <v>45568</v>
      </c>
      <c r="P456" s="23" t="s">
        <v>457</v>
      </c>
      <c r="Q456" s="22">
        <f>IF(testdata4[[#This Row],[%R]]&lt;&gt;Table25[[#This Row],[%R]],testdata4[[#This Row],[%R]]-Table25[[#This Row],[%R]],"")</f>
        <v>-7.1054273576010019E-14</v>
      </c>
      <c r="R456" s="11" t="str">
        <f>IF(OR(Table25[[#This Row],[%R]]&lt;-100,Table25[[#This Row],[%R]]&gt;0),"RANGE_ERR","")</f>
        <v>RANGE_ERR</v>
      </c>
    </row>
    <row r="457" spans="1:18" x14ac:dyDescent="0.35">
      <c r="A457" s="6">
        <v>455</v>
      </c>
      <c r="B457" s="3">
        <v>45569</v>
      </c>
      <c r="C457" s="2">
        <v>146.19999999999999</v>
      </c>
      <c r="D457" s="2">
        <v>146.56</v>
      </c>
      <c r="E457" s="2">
        <v>144.19999999999999</v>
      </c>
      <c r="F457" s="2">
        <v>144.97</v>
      </c>
      <c r="G457" s="1">
        <v>1001140</v>
      </c>
      <c r="H457" s="2">
        <f t="shared" si="14"/>
        <v>137.38999999999999</v>
      </c>
      <c r="I457" s="2">
        <f t="shared" si="15"/>
        <v>150.08000000000001</v>
      </c>
      <c r="J457" s="22">
        <f>100*(testdata4[[#This Row],[close]]-testdata4[[#This Row],[LL]])/(testdata4[[#This Row],[HH]]-testdata4[[#This Row],[LL]])</f>
        <v>59.732072498029922</v>
      </c>
      <c r="K457" s="22">
        <f>testdata4[[#This Row],[K(14)'']]</f>
        <v>59.732072498029922</v>
      </c>
      <c r="L457" s="22">
        <f>testdata4[[#This Row],[%K]]-100</f>
        <v>-40.267927501970078</v>
      </c>
      <c r="N457" s="12">
        <v>455</v>
      </c>
      <c r="O457" s="3">
        <v>45569</v>
      </c>
      <c r="P457" s="23" t="s">
        <v>458</v>
      </c>
      <c r="Q457" s="22">
        <f>IF(testdata4[[#This Row],[%R]]&lt;&gt;Table25[[#This Row],[%R]],testdata4[[#This Row],[%R]]-Table25[[#This Row],[%R]],"")</f>
        <v>-7.815970093361102E-14</v>
      </c>
      <c r="R457" s="11" t="str">
        <f>IF(OR(Table25[[#This Row],[%R]]&lt;-100,Table25[[#This Row],[%R]]&gt;0),"RANGE_ERR","")</f>
        <v>RANGE_ERR</v>
      </c>
    </row>
    <row r="458" spans="1:18" x14ac:dyDescent="0.35">
      <c r="A458" s="6">
        <v>456</v>
      </c>
      <c r="B458" s="3">
        <v>45572</v>
      </c>
      <c r="C458" s="2">
        <v>144.13</v>
      </c>
      <c r="D458" s="2">
        <v>144.44990000000001</v>
      </c>
      <c r="E458" s="2">
        <v>142.83000000000001</v>
      </c>
      <c r="F458" s="2">
        <v>143.88999999999999</v>
      </c>
      <c r="G458" s="1">
        <v>836738</v>
      </c>
      <c r="H458" s="2">
        <f t="shared" si="14"/>
        <v>137.43</v>
      </c>
      <c r="I458" s="2">
        <f t="shared" si="15"/>
        <v>150.08000000000001</v>
      </c>
      <c r="J458" s="22">
        <f>100*(testdata4[[#This Row],[close]]-testdata4[[#This Row],[LL]])/(testdata4[[#This Row],[HH]]-testdata4[[#This Row],[LL]])</f>
        <v>51.067193675889143</v>
      </c>
      <c r="K458" s="22">
        <f>testdata4[[#This Row],[K(14)'']]</f>
        <v>51.067193675889143</v>
      </c>
      <c r="L458" s="22">
        <f>testdata4[[#This Row],[%K]]-100</f>
        <v>-48.932806324110857</v>
      </c>
      <c r="N458" s="12">
        <v>456</v>
      </c>
      <c r="O458" s="3">
        <v>45572</v>
      </c>
      <c r="P458" s="23" t="s">
        <v>459</v>
      </c>
      <c r="Q458" s="22">
        <f>IF(testdata4[[#This Row],[%R]]&lt;&gt;Table25[[#This Row],[%R]],testdata4[[#This Row],[%R]]-Table25[[#This Row],[%R]],"")</f>
        <v>-5.6843418860808015E-14</v>
      </c>
      <c r="R458" s="11" t="str">
        <f>IF(OR(Table25[[#This Row],[%R]]&lt;-100,Table25[[#This Row],[%R]]&gt;0),"RANGE_ERR","")</f>
        <v>RANGE_ERR</v>
      </c>
    </row>
    <row r="459" spans="1:18" x14ac:dyDescent="0.35">
      <c r="A459" s="6">
        <v>457</v>
      </c>
      <c r="B459" s="3">
        <v>45573</v>
      </c>
      <c r="C459" s="2">
        <v>144</v>
      </c>
      <c r="D459" s="2">
        <v>145.24</v>
      </c>
      <c r="E459" s="2">
        <v>143.84</v>
      </c>
      <c r="F459" s="2">
        <v>144.61000000000001</v>
      </c>
      <c r="G459" s="1">
        <v>914968</v>
      </c>
      <c r="H459" s="2">
        <f t="shared" si="14"/>
        <v>137.88</v>
      </c>
      <c r="I459" s="2">
        <f t="shared" si="15"/>
        <v>150.08000000000001</v>
      </c>
      <c r="J459" s="22">
        <f>100*(testdata4[[#This Row],[close]]-testdata4[[#This Row],[LL]])/(testdata4[[#This Row],[HH]]-testdata4[[#This Row],[LL]])</f>
        <v>55.163934426229581</v>
      </c>
      <c r="K459" s="22">
        <f>testdata4[[#This Row],[K(14)'']]</f>
        <v>55.163934426229581</v>
      </c>
      <c r="L459" s="22">
        <f>testdata4[[#This Row],[%K]]-100</f>
        <v>-44.836065573770419</v>
      </c>
      <c r="N459" s="12">
        <v>457</v>
      </c>
      <c r="O459" s="3">
        <v>45573</v>
      </c>
      <c r="P459" s="23" t="s">
        <v>460</v>
      </c>
      <c r="Q459" s="22">
        <f>IF(testdata4[[#This Row],[%R]]&lt;&gt;Table25[[#This Row],[%R]],testdata4[[#This Row],[%R]]-Table25[[#This Row],[%R]],"")</f>
        <v>-2.1316282072803006E-14</v>
      </c>
      <c r="R459" s="11" t="str">
        <f>IF(OR(Table25[[#This Row],[%R]]&lt;-100,Table25[[#This Row],[%R]]&gt;0),"RANGE_ERR","")</f>
        <v>RANGE_ERR</v>
      </c>
    </row>
    <row r="460" spans="1:18" x14ac:dyDescent="0.35">
      <c r="A460" s="6">
        <v>458</v>
      </c>
      <c r="B460" s="3">
        <v>45574</v>
      </c>
      <c r="C460" s="2">
        <v>145.03</v>
      </c>
      <c r="D460" s="2">
        <v>145.5899</v>
      </c>
      <c r="E460" s="2">
        <v>144.18</v>
      </c>
      <c r="F460" s="2">
        <v>144.80000000000001</v>
      </c>
      <c r="G460" s="1">
        <v>634673</v>
      </c>
      <c r="H460" s="2">
        <f t="shared" si="14"/>
        <v>137.88</v>
      </c>
      <c r="I460" s="2">
        <f t="shared" si="15"/>
        <v>150.08000000000001</v>
      </c>
      <c r="J460" s="22">
        <f>100*(testdata4[[#This Row],[close]]-testdata4[[#This Row],[LL]])/(testdata4[[#This Row],[HH]]-testdata4[[#This Row],[LL]])</f>
        <v>56.721311475409884</v>
      </c>
      <c r="K460" s="22">
        <f>testdata4[[#This Row],[K(14)'']]</f>
        <v>56.721311475409884</v>
      </c>
      <c r="L460" s="22">
        <f>testdata4[[#This Row],[%K]]-100</f>
        <v>-43.278688524590116</v>
      </c>
      <c r="N460" s="12">
        <v>458</v>
      </c>
      <c r="O460" s="3">
        <v>45574</v>
      </c>
      <c r="P460" s="23" t="s">
        <v>461</v>
      </c>
      <c r="Q460" s="22">
        <f>IF(testdata4[[#This Row],[%R]]&lt;&gt;Table25[[#This Row],[%R]],testdata4[[#This Row],[%R]]-Table25[[#This Row],[%R]],"")</f>
        <v>-1.4210854715202004E-14</v>
      </c>
      <c r="R460" s="11" t="str">
        <f>IF(OR(Table25[[#This Row],[%R]]&lt;-100,Table25[[#This Row],[%R]]&gt;0),"RANGE_ERR","")</f>
        <v>RANGE_ERR</v>
      </c>
    </row>
    <row r="461" spans="1:18" x14ac:dyDescent="0.35">
      <c r="A461" s="6">
        <v>459</v>
      </c>
      <c r="B461" s="3">
        <v>45575</v>
      </c>
      <c r="C461" s="2">
        <v>143.21</v>
      </c>
      <c r="D461" s="2">
        <v>144.41</v>
      </c>
      <c r="E461" s="2">
        <v>142.595</v>
      </c>
      <c r="F461" s="2">
        <v>142.74</v>
      </c>
      <c r="G461" s="1">
        <v>1288934</v>
      </c>
      <c r="H461" s="2">
        <f t="shared" si="14"/>
        <v>138.60069999999999</v>
      </c>
      <c r="I461" s="2">
        <f t="shared" si="15"/>
        <v>150.08000000000001</v>
      </c>
      <c r="J461" s="22">
        <f>100*(testdata4[[#This Row],[close]]-testdata4[[#This Row],[LL]])/(testdata4[[#This Row],[HH]]-testdata4[[#This Row],[LL]])</f>
        <v>36.058818917529912</v>
      </c>
      <c r="K461" s="22">
        <f>testdata4[[#This Row],[K(14)'']]</f>
        <v>36.058818917529912</v>
      </c>
      <c r="L461" s="22">
        <f>testdata4[[#This Row],[%K]]-100</f>
        <v>-63.941181082470088</v>
      </c>
      <c r="N461" s="12">
        <v>459</v>
      </c>
      <c r="O461" s="3">
        <v>45575</v>
      </c>
      <c r="P461" s="23" t="s">
        <v>462</v>
      </c>
      <c r="Q461" s="22">
        <f>IF(testdata4[[#This Row],[%R]]&lt;&gt;Table25[[#This Row],[%R]],testdata4[[#This Row],[%R]]-Table25[[#This Row],[%R]],"")</f>
        <v>-8.5265128291212022E-14</v>
      </c>
      <c r="R461" s="11" t="str">
        <f>IF(OR(Table25[[#This Row],[%R]]&lt;-100,Table25[[#This Row],[%R]]&gt;0),"RANGE_ERR","")</f>
        <v>RANGE_ERR</v>
      </c>
    </row>
    <row r="462" spans="1:18" x14ac:dyDescent="0.35">
      <c r="A462" s="6">
        <v>460</v>
      </c>
      <c r="B462" s="3">
        <v>45576</v>
      </c>
      <c r="C462" s="2">
        <v>143.06</v>
      </c>
      <c r="D462" s="2">
        <v>145.05500000000001</v>
      </c>
      <c r="E462" s="2">
        <v>143.06</v>
      </c>
      <c r="F462" s="2">
        <v>143.82</v>
      </c>
      <c r="G462" s="1">
        <v>1427375</v>
      </c>
      <c r="H462" s="2">
        <f t="shared" si="14"/>
        <v>139.21</v>
      </c>
      <c r="I462" s="2">
        <f t="shared" si="15"/>
        <v>150.08000000000001</v>
      </c>
      <c r="J462" s="22">
        <f>100*(testdata4[[#This Row],[close]]-testdata4[[#This Row],[LL]])/(testdata4[[#This Row],[HH]]-testdata4[[#This Row],[LL]])</f>
        <v>42.410303587856333</v>
      </c>
      <c r="K462" s="22">
        <f>testdata4[[#This Row],[K(14)'']]</f>
        <v>42.410303587856333</v>
      </c>
      <c r="L462" s="22">
        <f>testdata4[[#This Row],[%K]]-100</f>
        <v>-57.589696412143667</v>
      </c>
      <c r="N462" s="12">
        <v>460</v>
      </c>
      <c r="O462" s="3">
        <v>45576</v>
      </c>
      <c r="P462" s="23" t="s">
        <v>463</v>
      </c>
      <c r="Q462" s="22">
        <f>IF(testdata4[[#This Row],[%R]]&lt;&gt;Table25[[#This Row],[%R]],testdata4[[#This Row],[%R]]-Table25[[#This Row],[%R]],"")</f>
        <v>-6.3948846218409017E-14</v>
      </c>
      <c r="R462" s="11" t="str">
        <f>IF(OR(Table25[[#This Row],[%R]]&lt;-100,Table25[[#This Row],[%R]]&gt;0),"RANGE_ERR","")</f>
        <v>RANGE_ERR</v>
      </c>
    </row>
    <row r="463" spans="1:18" x14ac:dyDescent="0.35">
      <c r="A463" s="6">
        <v>461</v>
      </c>
      <c r="B463" s="3">
        <v>45579</v>
      </c>
      <c r="C463" s="2">
        <v>144</v>
      </c>
      <c r="D463" s="2">
        <v>145.07</v>
      </c>
      <c r="E463" s="2">
        <v>142.82</v>
      </c>
      <c r="F463" s="2">
        <v>144.25</v>
      </c>
      <c r="G463" s="1">
        <v>1765112</v>
      </c>
      <c r="H463" s="2">
        <f t="shared" si="14"/>
        <v>139.21</v>
      </c>
      <c r="I463" s="2">
        <f t="shared" si="15"/>
        <v>150.08000000000001</v>
      </c>
      <c r="J463" s="22">
        <f>100*(testdata4[[#This Row],[close]]-testdata4[[#This Row],[LL]])/(testdata4[[#This Row],[HH]]-testdata4[[#This Row],[LL]])</f>
        <v>46.36614535418574</v>
      </c>
      <c r="K463" s="22">
        <f>testdata4[[#This Row],[K(14)'']]</f>
        <v>46.36614535418574</v>
      </c>
      <c r="L463" s="22">
        <f>testdata4[[#This Row],[%K]]-100</f>
        <v>-53.63385464581426</v>
      </c>
      <c r="N463" s="12">
        <v>461</v>
      </c>
      <c r="O463" s="3">
        <v>45579</v>
      </c>
      <c r="P463" s="23" t="s">
        <v>464</v>
      </c>
      <c r="Q463" s="22">
        <f>IF(testdata4[[#This Row],[%R]]&lt;&gt;Table25[[#This Row],[%R]],testdata4[[#This Row],[%R]]-Table25[[#This Row],[%R]],"")</f>
        <v>-5.6843418860808015E-14</v>
      </c>
      <c r="R463" s="11" t="str">
        <f>IF(OR(Table25[[#This Row],[%R]]&lt;-100,Table25[[#This Row],[%R]]&gt;0),"RANGE_ERR","")</f>
        <v>RANGE_ERR</v>
      </c>
    </row>
    <row r="464" spans="1:18" x14ac:dyDescent="0.35">
      <c r="A464" s="6">
        <v>462</v>
      </c>
      <c r="B464" s="3">
        <v>45580</v>
      </c>
      <c r="C464" s="2">
        <v>144.35</v>
      </c>
      <c r="D464" s="2">
        <v>146.66</v>
      </c>
      <c r="E464" s="2">
        <v>144.06800000000001</v>
      </c>
      <c r="F464" s="2">
        <v>144.58000000000001</v>
      </c>
      <c r="G464" s="1">
        <v>1251198</v>
      </c>
      <c r="H464" s="2">
        <f t="shared" ref="H464:H503" si="16">MIN(E451:E464)</f>
        <v>140.54</v>
      </c>
      <c r="I464" s="2">
        <f t="shared" ref="I464:I503" si="17">MAX(D451:D464)</f>
        <v>150.08000000000001</v>
      </c>
      <c r="J464" s="22">
        <f>100*(testdata4[[#This Row],[close]]-testdata4[[#This Row],[LL]])/(testdata4[[#This Row],[HH]]-testdata4[[#This Row],[LL]])</f>
        <v>42.348008385744357</v>
      </c>
      <c r="K464" s="22">
        <f>testdata4[[#This Row],[K(14)'']]</f>
        <v>42.348008385744357</v>
      </c>
      <c r="L464" s="22">
        <f>testdata4[[#This Row],[%K]]-100</f>
        <v>-57.651991614255643</v>
      </c>
      <c r="N464" s="12">
        <v>462</v>
      </c>
      <c r="O464" s="3">
        <v>45580</v>
      </c>
      <c r="P464" s="23" t="s">
        <v>465</v>
      </c>
      <c r="Q464" s="22">
        <f>IF(testdata4[[#This Row],[%R]]&lt;&gt;Table25[[#This Row],[%R]],testdata4[[#This Row],[%R]]-Table25[[#This Row],[%R]],"")</f>
        <v>-4.2632564145606011E-14</v>
      </c>
      <c r="R464" s="11" t="str">
        <f>IF(OR(Table25[[#This Row],[%R]]&lt;-100,Table25[[#This Row],[%R]]&gt;0),"RANGE_ERR","")</f>
        <v>RANGE_ERR</v>
      </c>
    </row>
    <row r="465" spans="1:18" x14ac:dyDescent="0.35">
      <c r="A465" s="6">
        <v>463</v>
      </c>
      <c r="B465" s="3">
        <v>45581</v>
      </c>
      <c r="C465" s="2">
        <v>141.51</v>
      </c>
      <c r="D465" s="2">
        <v>142.565</v>
      </c>
      <c r="E465" s="2">
        <v>138.44</v>
      </c>
      <c r="F465" s="2">
        <v>139.11000000000001</v>
      </c>
      <c r="G465" s="1">
        <v>1702132</v>
      </c>
      <c r="H465" s="2">
        <f t="shared" si="16"/>
        <v>138.44</v>
      </c>
      <c r="I465" s="2">
        <f t="shared" si="17"/>
        <v>150.08000000000001</v>
      </c>
      <c r="J465" s="22">
        <f>100*(testdata4[[#This Row],[close]]-testdata4[[#This Row],[LL]])/(testdata4[[#This Row],[HH]]-testdata4[[#This Row],[LL]])</f>
        <v>5.756013745704597</v>
      </c>
      <c r="K465" s="22">
        <f>testdata4[[#This Row],[K(14)'']]</f>
        <v>5.756013745704597</v>
      </c>
      <c r="L465" s="22">
        <f>testdata4[[#This Row],[%K]]-100</f>
        <v>-94.243986254295407</v>
      </c>
      <c r="N465" s="12">
        <v>463</v>
      </c>
      <c r="O465" s="3">
        <v>45581</v>
      </c>
      <c r="P465" s="23" t="s">
        <v>466</v>
      </c>
      <c r="Q465" s="22">
        <f>IF(testdata4[[#This Row],[%R]]&lt;&gt;Table25[[#This Row],[%R]],testdata4[[#This Row],[%R]]-Table25[[#This Row],[%R]],"")</f>
        <v>-1.4210854715202004E-14</v>
      </c>
      <c r="R465" s="11" t="str">
        <f>IF(OR(Table25[[#This Row],[%R]]&lt;-100,Table25[[#This Row],[%R]]&gt;0),"RANGE_ERR","")</f>
        <v>RANGE_ERR</v>
      </c>
    </row>
    <row r="466" spans="1:18" x14ac:dyDescent="0.35">
      <c r="A466" s="6">
        <v>464</v>
      </c>
      <c r="B466" s="3">
        <v>45582</v>
      </c>
      <c r="C466" s="2">
        <v>141.81</v>
      </c>
      <c r="D466" s="2">
        <v>142.53</v>
      </c>
      <c r="E466" s="2">
        <v>136.47999999999999</v>
      </c>
      <c r="F466" s="2">
        <v>137.41999999999999</v>
      </c>
      <c r="G466" s="1">
        <v>1592884</v>
      </c>
      <c r="H466" s="2">
        <f t="shared" si="16"/>
        <v>136.47999999999999</v>
      </c>
      <c r="I466" s="2">
        <f t="shared" si="17"/>
        <v>148.83000000000001</v>
      </c>
      <c r="J466" s="22">
        <f>100*(testdata4[[#This Row],[close]]-testdata4[[#This Row],[LL]])/(testdata4[[#This Row],[HH]]-testdata4[[#This Row],[LL]])</f>
        <v>7.6113360323886319</v>
      </c>
      <c r="K466" s="22">
        <f>testdata4[[#This Row],[K(14)'']]</f>
        <v>7.6113360323886319</v>
      </c>
      <c r="L466" s="22">
        <f>testdata4[[#This Row],[%K]]-100</f>
        <v>-92.388663967611365</v>
      </c>
      <c r="N466" s="12">
        <v>464</v>
      </c>
      <c r="O466" s="3">
        <v>45582</v>
      </c>
      <c r="P466" s="23" t="s">
        <v>467</v>
      </c>
      <c r="Q466" s="22">
        <f>IF(testdata4[[#This Row],[%R]]&lt;&gt;Table25[[#This Row],[%R]],testdata4[[#This Row],[%R]]-Table25[[#This Row],[%R]],"")</f>
        <v>-7.1054273576010019E-14</v>
      </c>
      <c r="R466" s="11" t="str">
        <f>IF(OR(Table25[[#This Row],[%R]]&lt;-100,Table25[[#This Row],[%R]]&gt;0),"RANGE_ERR","")</f>
        <v>RANGE_ERR</v>
      </c>
    </row>
    <row r="467" spans="1:18" x14ac:dyDescent="0.35">
      <c r="A467" s="6">
        <v>465</v>
      </c>
      <c r="B467" s="3">
        <v>45583</v>
      </c>
      <c r="C467" s="2">
        <v>138.53</v>
      </c>
      <c r="D467" s="2">
        <v>139.52000000000001</v>
      </c>
      <c r="E467" s="2">
        <v>137.23750000000001</v>
      </c>
      <c r="F467" s="2">
        <v>138.83000000000001</v>
      </c>
      <c r="G467" s="1">
        <v>1185274</v>
      </c>
      <c r="H467" s="2">
        <f t="shared" si="16"/>
        <v>136.47999999999999</v>
      </c>
      <c r="I467" s="2">
        <f t="shared" si="17"/>
        <v>148.19</v>
      </c>
      <c r="J467" s="22">
        <f>100*(testdata4[[#This Row],[close]]-testdata4[[#This Row],[LL]])/(testdata4[[#This Row],[HH]]-testdata4[[#This Row],[LL]])</f>
        <v>20.068317677199154</v>
      </c>
      <c r="K467" s="22">
        <f>testdata4[[#This Row],[K(14)'']]</f>
        <v>20.068317677199154</v>
      </c>
      <c r="L467" s="22">
        <f>testdata4[[#This Row],[%K]]-100</f>
        <v>-79.931682322800839</v>
      </c>
      <c r="N467" s="12">
        <v>465</v>
      </c>
      <c r="O467" s="3">
        <v>45583</v>
      </c>
      <c r="P467" s="23" t="s">
        <v>468</v>
      </c>
      <c r="Q467" s="22">
        <f>IF(testdata4[[#This Row],[%R]]&lt;&gt;Table25[[#This Row],[%R]],testdata4[[#This Row],[%R]]-Table25[[#This Row],[%R]],"")</f>
        <v>-4.2632564145606011E-14</v>
      </c>
      <c r="R467" s="11" t="str">
        <f>IF(OR(Table25[[#This Row],[%R]]&lt;-100,Table25[[#This Row],[%R]]&gt;0),"RANGE_ERR","")</f>
        <v>RANGE_ERR</v>
      </c>
    </row>
    <row r="468" spans="1:18" x14ac:dyDescent="0.35">
      <c r="A468" s="6">
        <v>466</v>
      </c>
      <c r="B468" s="3">
        <v>45586</v>
      </c>
      <c r="C468" s="2">
        <v>138.35</v>
      </c>
      <c r="D468" s="2">
        <v>138.81</v>
      </c>
      <c r="E468" s="2">
        <v>136.22</v>
      </c>
      <c r="F468" s="2">
        <v>136.76</v>
      </c>
      <c r="G468" s="1">
        <v>975947</v>
      </c>
      <c r="H468" s="2">
        <f t="shared" si="16"/>
        <v>136.22</v>
      </c>
      <c r="I468" s="2">
        <f t="shared" si="17"/>
        <v>147.65</v>
      </c>
      <c r="J468" s="22">
        <f>100*(testdata4[[#This Row],[close]]-testdata4[[#This Row],[LL]])/(testdata4[[#This Row],[HH]]-testdata4[[#This Row],[LL]])</f>
        <v>4.7244094488188253</v>
      </c>
      <c r="K468" s="22">
        <f>testdata4[[#This Row],[K(14)'']]</f>
        <v>4.7244094488188253</v>
      </c>
      <c r="L468" s="22">
        <f>testdata4[[#This Row],[%K]]-100</f>
        <v>-95.275590551181182</v>
      </c>
      <c r="N468" s="12">
        <v>466</v>
      </c>
      <c r="O468" s="3">
        <v>45586</v>
      </c>
      <c r="P468" s="23" t="s">
        <v>469</v>
      </c>
      <c r="Q468" s="22">
        <f>IF(testdata4[[#This Row],[%R]]&lt;&gt;Table25[[#This Row],[%R]],testdata4[[#This Row],[%R]]-Table25[[#This Row],[%R]],"")</f>
        <v>-8.5265128291212022E-14</v>
      </c>
      <c r="R468" s="11" t="str">
        <f>IF(OR(Table25[[#This Row],[%R]]&lt;-100,Table25[[#This Row],[%R]]&gt;0),"RANGE_ERR","")</f>
        <v>RANGE_ERR</v>
      </c>
    </row>
    <row r="469" spans="1:18" x14ac:dyDescent="0.35">
      <c r="A469" s="6">
        <v>467</v>
      </c>
      <c r="B469" s="3">
        <v>45587</v>
      </c>
      <c r="C469" s="2">
        <v>134.69</v>
      </c>
      <c r="D469" s="2">
        <v>134.75</v>
      </c>
      <c r="E469" s="2">
        <v>131.97999999999999</v>
      </c>
      <c r="F469" s="2">
        <v>133.46</v>
      </c>
      <c r="G469" s="1">
        <v>1822734</v>
      </c>
      <c r="H469" s="2">
        <f t="shared" si="16"/>
        <v>131.97999999999999</v>
      </c>
      <c r="I469" s="2">
        <f t="shared" si="17"/>
        <v>146.66</v>
      </c>
      <c r="J469" s="22">
        <f>100*(testdata4[[#This Row],[close]]-testdata4[[#This Row],[LL]])/(testdata4[[#This Row],[HH]]-testdata4[[#This Row],[LL]])</f>
        <v>10.081743869209928</v>
      </c>
      <c r="K469" s="22">
        <f>testdata4[[#This Row],[K(14)'']]</f>
        <v>10.081743869209928</v>
      </c>
      <c r="L469" s="22">
        <f>testdata4[[#This Row],[%K]]-100</f>
        <v>-89.91825613079007</v>
      </c>
      <c r="N469" s="12">
        <v>467</v>
      </c>
      <c r="O469" s="3">
        <v>45587</v>
      </c>
      <c r="P469" s="23" t="s">
        <v>470</v>
      </c>
      <c r="Q469" s="22">
        <f>IF(testdata4[[#This Row],[%R]]&lt;&gt;Table25[[#This Row],[%R]],testdata4[[#This Row],[%R]]-Table25[[#This Row],[%R]],"")</f>
        <v>-7.1054273576010019E-14</v>
      </c>
      <c r="R469" s="11" t="str">
        <f>IF(OR(Table25[[#This Row],[%R]]&lt;-100,Table25[[#This Row],[%R]]&gt;0),"RANGE_ERR","")</f>
        <v>RANGE_ERR</v>
      </c>
    </row>
    <row r="470" spans="1:18" x14ac:dyDescent="0.35">
      <c r="A470" s="6">
        <v>468</v>
      </c>
      <c r="B470" s="3">
        <v>45588</v>
      </c>
      <c r="C470" s="2">
        <v>133.27000000000001</v>
      </c>
      <c r="D470" s="2">
        <v>134.30000000000001</v>
      </c>
      <c r="E470" s="2">
        <v>131.36000000000001</v>
      </c>
      <c r="F470" s="2">
        <v>133.03</v>
      </c>
      <c r="G470" s="1">
        <v>1657530</v>
      </c>
      <c r="H470" s="2">
        <f t="shared" si="16"/>
        <v>131.36000000000001</v>
      </c>
      <c r="I470" s="2">
        <f t="shared" si="17"/>
        <v>146.66</v>
      </c>
      <c r="J470" s="22">
        <f>100*(testdata4[[#This Row],[close]]-testdata4[[#This Row],[LL]])/(testdata4[[#This Row],[HH]]-testdata4[[#This Row],[LL]])</f>
        <v>10.915032679738493</v>
      </c>
      <c r="K470" s="22">
        <f>testdata4[[#This Row],[K(14)'']]</f>
        <v>10.915032679738493</v>
      </c>
      <c r="L470" s="22">
        <f>testdata4[[#This Row],[%K]]-100</f>
        <v>-89.084967320261512</v>
      </c>
      <c r="N470" s="12">
        <v>468</v>
      </c>
      <c r="O470" s="3">
        <v>45588</v>
      </c>
      <c r="P470" s="23" t="s">
        <v>471</v>
      </c>
      <c r="Q470" s="22">
        <f>IF(testdata4[[#This Row],[%R]]&lt;&gt;Table25[[#This Row],[%R]],testdata4[[#This Row],[%R]]-Table25[[#This Row],[%R]],"")</f>
        <v>-1.4210854715202004E-14</v>
      </c>
      <c r="R470" s="11" t="str">
        <f>IF(OR(Table25[[#This Row],[%R]]&lt;-100,Table25[[#This Row],[%R]]&gt;0),"RANGE_ERR","")</f>
        <v>RANGE_ERR</v>
      </c>
    </row>
    <row r="471" spans="1:18" x14ac:dyDescent="0.35">
      <c r="A471" s="6">
        <v>469</v>
      </c>
      <c r="B471" s="3">
        <v>45589</v>
      </c>
      <c r="C471" s="2">
        <v>133.13999999999999</v>
      </c>
      <c r="D471" s="2">
        <v>133.31</v>
      </c>
      <c r="E471" s="2">
        <v>130.69</v>
      </c>
      <c r="F471" s="2">
        <v>130.69</v>
      </c>
      <c r="G471" s="1">
        <v>1830078</v>
      </c>
      <c r="H471" s="2">
        <f t="shared" si="16"/>
        <v>130.69</v>
      </c>
      <c r="I471" s="2">
        <f t="shared" si="17"/>
        <v>146.66</v>
      </c>
      <c r="J471" s="22">
        <f>100*(testdata4[[#This Row],[close]]-testdata4[[#This Row],[LL]])/(testdata4[[#This Row],[HH]]-testdata4[[#This Row],[LL]])</f>
        <v>0</v>
      </c>
      <c r="K471" s="22">
        <f>testdata4[[#This Row],[K(14)'']]</f>
        <v>0</v>
      </c>
      <c r="L471" s="22">
        <f>testdata4[[#This Row],[%K]]-100</f>
        <v>-100</v>
      </c>
      <c r="N471" s="12">
        <v>469</v>
      </c>
      <c r="O471" s="3">
        <v>45589</v>
      </c>
      <c r="P471" s="23" t="s">
        <v>472</v>
      </c>
      <c r="Q471" s="22">
        <f>IF(testdata4[[#This Row],[%R]]&lt;&gt;Table25[[#This Row],[%R]],testdata4[[#This Row],[%R]]-Table25[[#This Row],[%R]],"")</f>
        <v>-200</v>
      </c>
      <c r="R471" s="11" t="str">
        <f>IF(OR(Table25[[#This Row],[%R]]&lt;-100,Table25[[#This Row],[%R]]&gt;0),"RANGE_ERR","")</f>
        <v>RANGE_ERR</v>
      </c>
    </row>
    <row r="472" spans="1:18" x14ac:dyDescent="0.35">
      <c r="A472" s="6">
        <v>470</v>
      </c>
      <c r="B472" s="3">
        <v>45590</v>
      </c>
      <c r="C472" s="2">
        <v>131.18</v>
      </c>
      <c r="D472" s="2">
        <v>131.71</v>
      </c>
      <c r="E472" s="2">
        <v>129.35</v>
      </c>
      <c r="F472" s="2">
        <v>130.19</v>
      </c>
      <c r="G472" s="1">
        <v>1248591</v>
      </c>
      <c r="H472" s="2">
        <f t="shared" si="16"/>
        <v>129.35</v>
      </c>
      <c r="I472" s="2">
        <f t="shared" si="17"/>
        <v>146.66</v>
      </c>
      <c r="J472" s="22">
        <f>100*(testdata4[[#This Row],[close]]-testdata4[[#This Row],[LL]])/(testdata4[[#This Row],[HH]]-testdata4[[#This Row],[LL]])</f>
        <v>4.8526863084922205</v>
      </c>
      <c r="K472" s="22">
        <f>testdata4[[#This Row],[K(14)'']]</f>
        <v>4.8526863084922205</v>
      </c>
      <c r="L472" s="22">
        <f>testdata4[[#This Row],[%K]]-100</f>
        <v>-95.147313691507776</v>
      </c>
      <c r="N472" s="12">
        <v>470</v>
      </c>
      <c r="O472" s="3">
        <v>45590</v>
      </c>
      <c r="P472" s="23" t="s">
        <v>473</v>
      </c>
      <c r="Q472" s="22">
        <f>IF(testdata4[[#This Row],[%R]]&lt;&gt;Table25[[#This Row],[%R]],testdata4[[#This Row],[%R]]-Table25[[#This Row],[%R]],"")</f>
        <v>-7.1054273576010019E-14</v>
      </c>
      <c r="R472" s="11" t="str">
        <f>IF(OR(Table25[[#This Row],[%R]]&lt;-100,Table25[[#This Row],[%R]]&gt;0),"RANGE_ERR","")</f>
        <v>RANGE_ERR</v>
      </c>
    </row>
    <row r="473" spans="1:18" x14ac:dyDescent="0.35">
      <c r="A473" s="6">
        <v>471</v>
      </c>
      <c r="B473" s="3">
        <v>45593</v>
      </c>
      <c r="C473" s="2">
        <v>131.75</v>
      </c>
      <c r="D473" s="2">
        <v>132.22999999999999</v>
      </c>
      <c r="E473" s="2">
        <v>130.34</v>
      </c>
      <c r="F473" s="2">
        <v>131.54</v>
      </c>
      <c r="G473" s="1">
        <v>1739863</v>
      </c>
      <c r="H473" s="2">
        <f t="shared" si="16"/>
        <v>129.35</v>
      </c>
      <c r="I473" s="2">
        <f t="shared" si="17"/>
        <v>146.66</v>
      </c>
      <c r="J473" s="22">
        <f>100*(testdata4[[#This Row],[close]]-testdata4[[#This Row],[LL]])/(testdata4[[#This Row],[HH]]-testdata4[[#This Row],[LL]])</f>
        <v>12.651646447140367</v>
      </c>
      <c r="K473" s="22">
        <f>testdata4[[#This Row],[K(14)'']]</f>
        <v>12.651646447140367</v>
      </c>
      <c r="L473" s="22">
        <f>testdata4[[#This Row],[%K]]-100</f>
        <v>-87.348353552859635</v>
      </c>
      <c r="N473" s="12">
        <v>471</v>
      </c>
      <c r="O473" s="3">
        <v>45593</v>
      </c>
      <c r="P473" s="23" t="s">
        <v>474</v>
      </c>
      <c r="Q473" s="22">
        <f>IF(testdata4[[#This Row],[%R]]&lt;&gt;Table25[[#This Row],[%R]],testdata4[[#This Row],[%R]]-Table25[[#This Row],[%R]],"")</f>
        <v>-2.8421709430404007E-14</v>
      </c>
      <c r="R473" s="11" t="str">
        <f>IF(OR(Table25[[#This Row],[%R]]&lt;-100,Table25[[#This Row],[%R]]&gt;0),"RANGE_ERR","")</f>
        <v>RANGE_ERR</v>
      </c>
    </row>
    <row r="474" spans="1:18" x14ac:dyDescent="0.35">
      <c r="A474" s="6">
        <v>472</v>
      </c>
      <c r="B474" s="3">
        <v>45594</v>
      </c>
      <c r="C474" s="2">
        <v>131.13999999999999</v>
      </c>
      <c r="D474" s="2">
        <v>132.29</v>
      </c>
      <c r="E474" s="2">
        <v>130.56</v>
      </c>
      <c r="F474" s="2">
        <v>131.22999999999999</v>
      </c>
      <c r="G474" s="1">
        <v>941585</v>
      </c>
      <c r="H474" s="2">
        <f t="shared" si="16"/>
        <v>129.35</v>
      </c>
      <c r="I474" s="2">
        <f t="shared" si="17"/>
        <v>146.66</v>
      </c>
      <c r="J474" s="22">
        <f>100*(testdata4[[#This Row],[close]]-testdata4[[#This Row],[LL]])/(testdata4[[#This Row],[HH]]-testdata4[[#This Row],[LL]])</f>
        <v>10.860774119006328</v>
      </c>
      <c r="K474" s="22">
        <f>testdata4[[#This Row],[K(14)'']]</f>
        <v>10.860774119006328</v>
      </c>
      <c r="L474" s="22">
        <f>testdata4[[#This Row],[%K]]-100</f>
        <v>-89.139225880993678</v>
      </c>
      <c r="N474" s="12">
        <v>472</v>
      </c>
      <c r="O474" s="3">
        <v>45594</v>
      </c>
      <c r="P474" s="23" t="s">
        <v>475</v>
      </c>
      <c r="Q474" s="22">
        <f>IF(testdata4[[#This Row],[%R]]&lt;&gt;Table25[[#This Row],[%R]],testdata4[[#This Row],[%R]]-Table25[[#This Row],[%R]],"")</f>
        <v>-7.1054273576010019E-14</v>
      </c>
      <c r="R474" s="11" t="str">
        <f>IF(OR(Table25[[#This Row],[%R]]&lt;-100,Table25[[#This Row],[%R]]&gt;0),"RANGE_ERR","")</f>
        <v>RANGE_ERR</v>
      </c>
    </row>
    <row r="475" spans="1:18" x14ac:dyDescent="0.35">
      <c r="A475" s="6">
        <v>473</v>
      </c>
      <c r="B475" s="3">
        <v>45595</v>
      </c>
      <c r="C475" s="2">
        <v>131.66</v>
      </c>
      <c r="D475" s="2">
        <v>134.11000000000001</v>
      </c>
      <c r="E475" s="2">
        <v>131.13999999999999</v>
      </c>
      <c r="F475" s="2">
        <v>131.49</v>
      </c>
      <c r="G475" s="1">
        <v>1550574</v>
      </c>
      <c r="H475" s="2">
        <f t="shared" si="16"/>
        <v>129.35</v>
      </c>
      <c r="I475" s="2">
        <f t="shared" si="17"/>
        <v>146.66</v>
      </c>
      <c r="J475" s="22">
        <f>100*(testdata4[[#This Row],[close]]-testdata4[[#This Row],[LL]])/(testdata4[[#This Row],[HH]]-testdata4[[#This Row],[LL]])</f>
        <v>12.362796071634977</v>
      </c>
      <c r="K475" s="22">
        <f>testdata4[[#This Row],[K(14)'']]</f>
        <v>12.362796071634977</v>
      </c>
      <c r="L475" s="22">
        <f>testdata4[[#This Row],[%K]]-100</f>
        <v>-87.637203928365025</v>
      </c>
      <c r="N475" s="12">
        <v>473</v>
      </c>
      <c r="O475" s="3">
        <v>45595</v>
      </c>
      <c r="P475" s="23" t="s">
        <v>476</v>
      </c>
      <c r="Q475" s="22">
        <f>IF(testdata4[[#This Row],[%R]]&lt;&gt;Table25[[#This Row],[%R]],testdata4[[#This Row],[%R]]-Table25[[#This Row],[%R]],"")</f>
        <v>-2.8421709430404007E-14</v>
      </c>
      <c r="R475" s="11" t="str">
        <f>IF(OR(Table25[[#This Row],[%R]]&lt;-100,Table25[[#This Row],[%R]]&gt;0),"RANGE_ERR","")</f>
        <v>RANGE_ERR</v>
      </c>
    </row>
    <row r="476" spans="1:18" x14ac:dyDescent="0.35">
      <c r="A476" s="6">
        <v>474</v>
      </c>
      <c r="B476" s="3">
        <v>45596</v>
      </c>
      <c r="C476" s="2">
        <v>130.66999999999999</v>
      </c>
      <c r="D476" s="2">
        <v>131.44</v>
      </c>
      <c r="E476" s="2">
        <v>129.86000000000001</v>
      </c>
      <c r="F476" s="2">
        <v>130.31</v>
      </c>
      <c r="G476" s="1">
        <v>1596089</v>
      </c>
      <c r="H476" s="2">
        <f t="shared" si="16"/>
        <v>129.35</v>
      </c>
      <c r="I476" s="2">
        <f t="shared" si="17"/>
        <v>146.66</v>
      </c>
      <c r="J476" s="22">
        <f>100*(testdata4[[#This Row],[close]]-testdata4[[#This Row],[LL]])/(testdata4[[#This Row],[HH]]-testdata4[[#This Row],[LL]])</f>
        <v>5.5459272097054182</v>
      </c>
      <c r="K476" s="22">
        <f>testdata4[[#This Row],[K(14)'']]</f>
        <v>5.5459272097054182</v>
      </c>
      <c r="L476" s="22">
        <f>testdata4[[#This Row],[%K]]-100</f>
        <v>-94.454072790294589</v>
      </c>
      <c r="N476" s="12">
        <v>474</v>
      </c>
      <c r="O476" s="3">
        <v>45596</v>
      </c>
      <c r="P476" s="23" t="s">
        <v>477</v>
      </c>
      <c r="Q476" s="22">
        <f>IF(testdata4[[#This Row],[%R]]&lt;&gt;Table25[[#This Row],[%R]],testdata4[[#This Row],[%R]]-Table25[[#This Row],[%R]],"")</f>
        <v>-8.5265128291212022E-14</v>
      </c>
      <c r="R476" s="11" t="str">
        <f>IF(OR(Table25[[#This Row],[%R]]&lt;-100,Table25[[#This Row],[%R]]&gt;0),"RANGE_ERR","")</f>
        <v>RANGE_ERR</v>
      </c>
    </row>
    <row r="477" spans="1:18" x14ac:dyDescent="0.35">
      <c r="A477" s="6">
        <v>475</v>
      </c>
      <c r="B477" s="3">
        <v>45597</v>
      </c>
      <c r="C477" s="2">
        <v>139.13499999999999</v>
      </c>
      <c r="D477" s="2">
        <v>140.97</v>
      </c>
      <c r="E477" s="2">
        <v>135.27000000000001</v>
      </c>
      <c r="F477" s="2">
        <v>136.87</v>
      </c>
      <c r="G477" s="1">
        <v>2077724</v>
      </c>
      <c r="H477" s="2">
        <f t="shared" si="16"/>
        <v>129.35</v>
      </c>
      <c r="I477" s="2">
        <f t="shared" si="17"/>
        <v>146.66</v>
      </c>
      <c r="J477" s="22">
        <f>100*(testdata4[[#This Row],[close]]-testdata4[[#This Row],[LL]])/(testdata4[[#This Row],[HH]]-testdata4[[#This Row],[LL]])</f>
        <v>43.443096476025474</v>
      </c>
      <c r="K477" s="22">
        <f>testdata4[[#This Row],[K(14)'']]</f>
        <v>43.443096476025474</v>
      </c>
      <c r="L477" s="22">
        <f>testdata4[[#This Row],[%K]]-100</f>
        <v>-56.556903523974526</v>
      </c>
      <c r="N477" s="12">
        <v>475</v>
      </c>
      <c r="O477" s="3">
        <v>45597</v>
      </c>
      <c r="P477" s="23" t="s">
        <v>478</v>
      </c>
      <c r="Q477" s="22">
        <f>IF(testdata4[[#This Row],[%R]]&lt;&gt;Table25[[#This Row],[%R]],testdata4[[#This Row],[%R]]-Table25[[#This Row],[%R]],"")</f>
        <v>-2.8421709430404007E-14</v>
      </c>
      <c r="R477" s="11" t="str">
        <f>IF(OR(Table25[[#This Row],[%R]]&lt;-100,Table25[[#This Row],[%R]]&gt;0),"RANGE_ERR","")</f>
        <v>RANGE_ERR</v>
      </c>
    </row>
    <row r="478" spans="1:18" x14ac:dyDescent="0.35">
      <c r="A478" s="6">
        <v>476</v>
      </c>
      <c r="B478" s="3">
        <v>45600</v>
      </c>
      <c r="C478" s="2">
        <v>137.32</v>
      </c>
      <c r="D478" s="2">
        <v>140.63999999999999</v>
      </c>
      <c r="E478" s="2">
        <v>136.905</v>
      </c>
      <c r="F478" s="2">
        <v>139.65</v>
      </c>
      <c r="G478" s="1">
        <v>1795434</v>
      </c>
      <c r="H478" s="2">
        <f t="shared" si="16"/>
        <v>129.35</v>
      </c>
      <c r="I478" s="2">
        <f t="shared" si="17"/>
        <v>142.565</v>
      </c>
      <c r="J478" s="22">
        <f>100*(testdata4[[#This Row],[close]]-testdata4[[#This Row],[LL]])/(testdata4[[#This Row],[HH]]-testdata4[[#This Row],[LL]])</f>
        <v>77.941732879303885</v>
      </c>
      <c r="K478" s="22">
        <f>testdata4[[#This Row],[K(14)'']]</f>
        <v>77.941732879303885</v>
      </c>
      <c r="L478" s="22">
        <f>testdata4[[#This Row],[%K]]-100</f>
        <v>-22.058267120696115</v>
      </c>
      <c r="N478" s="12">
        <v>476</v>
      </c>
      <c r="O478" s="3">
        <v>45600</v>
      </c>
      <c r="P478" s="23" t="s">
        <v>479</v>
      </c>
      <c r="Q478" s="22">
        <f>IF(testdata4[[#This Row],[%R]]&lt;&gt;Table25[[#This Row],[%R]],testdata4[[#This Row],[%R]]-Table25[[#This Row],[%R]],"")</f>
        <v>-1.4210854715202004E-14</v>
      </c>
      <c r="R478" s="11" t="str">
        <f>IF(OR(Table25[[#This Row],[%R]]&lt;-100,Table25[[#This Row],[%R]]&gt;0),"RANGE_ERR","")</f>
        <v>RANGE_ERR</v>
      </c>
    </row>
    <row r="479" spans="1:18" x14ac:dyDescent="0.35">
      <c r="A479" s="6">
        <v>477</v>
      </c>
      <c r="B479" s="3">
        <v>45601</v>
      </c>
      <c r="C479" s="2">
        <v>138.18</v>
      </c>
      <c r="D479" s="2">
        <v>140.79</v>
      </c>
      <c r="E479" s="2">
        <v>137.24100000000001</v>
      </c>
      <c r="F479" s="2">
        <v>140.41</v>
      </c>
      <c r="G479" s="1">
        <v>1240710</v>
      </c>
      <c r="H479" s="2">
        <f t="shared" si="16"/>
        <v>129.35</v>
      </c>
      <c r="I479" s="2">
        <f t="shared" si="17"/>
        <v>142.53</v>
      </c>
      <c r="J479" s="22">
        <f>100*(testdata4[[#This Row],[close]]-testdata4[[#This Row],[LL]])/(testdata4[[#This Row],[HH]]-testdata4[[#This Row],[LL]])</f>
        <v>83.915022761760213</v>
      </c>
      <c r="K479" s="22">
        <f>testdata4[[#This Row],[K(14)'']]</f>
        <v>83.915022761760213</v>
      </c>
      <c r="L479" s="22">
        <f>testdata4[[#This Row],[%K]]-100</f>
        <v>-16.084977238239787</v>
      </c>
      <c r="N479" s="12">
        <v>477</v>
      </c>
      <c r="O479" s="3">
        <v>45601</v>
      </c>
      <c r="P479" s="23" t="s">
        <v>480</v>
      </c>
      <c r="Q479" s="22">
        <f>IF(testdata4[[#This Row],[%R]]&lt;&gt;Table25[[#This Row],[%R]],testdata4[[#This Row],[%R]]-Table25[[#This Row],[%R]],"")</f>
        <v>-8.8817841970012523E-14</v>
      </c>
      <c r="R479" s="11" t="str">
        <f>IF(OR(Table25[[#This Row],[%R]]&lt;-100,Table25[[#This Row],[%R]]&gt;0),"RANGE_ERR","")</f>
        <v>RANGE_ERR</v>
      </c>
    </row>
    <row r="480" spans="1:18" x14ac:dyDescent="0.35">
      <c r="A480" s="6">
        <v>478</v>
      </c>
      <c r="B480" s="3">
        <v>45602</v>
      </c>
      <c r="C480" s="2">
        <v>143</v>
      </c>
      <c r="D480" s="2">
        <v>143.07</v>
      </c>
      <c r="E480" s="2">
        <v>137.04</v>
      </c>
      <c r="F480" s="2">
        <v>137.78</v>
      </c>
      <c r="G480" s="1">
        <v>2528903</v>
      </c>
      <c r="H480" s="2">
        <f t="shared" si="16"/>
        <v>129.35</v>
      </c>
      <c r="I480" s="2">
        <f t="shared" si="17"/>
        <v>143.07</v>
      </c>
      <c r="J480" s="22">
        <f>100*(testdata4[[#This Row],[close]]-testdata4[[#This Row],[LL]])/(testdata4[[#This Row],[HH]]-testdata4[[#This Row],[LL]])</f>
        <v>61.443148688046705</v>
      </c>
      <c r="K480" s="22">
        <f>testdata4[[#This Row],[K(14)'']]</f>
        <v>61.443148688046705</v>
      </c>
      <c r="L480" s="22">
        <f>testdata4[[#This Row],[%K]]-100</f>
        <v>-38.556851311953295</v>
      </c>
      <c r="N480" s="12">
        <v>478</v>
      </c>
      <c r="O480" s="3">
        <v>45602</v>
      </c>
      <c r="P480" s="23" t="s">
        <v>481</v>
      </c>
      <c r="Q480" s="22">
        <f>IF(testdata4[[#This Row],[%R]]&lt;&gt;Table25[[#This Row],[%R]],testdata4[[#This Row],[%R]]-Table25[[#This Row],[%R]],"")</f>
        <v>-9.2370555648813024E-14</v>
      </c>
      <c r="R480" s="11" t="str">
        <f>IF(OR(Table25[[#This Row],[%R]]&lt;-100,Table25[[#This Row],[%R]]&gt;0),"RANGE_ERR","")</f>
        <v>RANGE_ERR</v>
      </c>
    </row>
    <row r="481" spans="1:18" x14ac:dyDescent="0.35">
      <c r="A481" s="6">
        <v>479</v>
      </c>
      <c r="B481" s="3">
        <v>45603</v>
      </c>
      <c r="C481" s="2">
        <v>138.79</v>
      </c>
      <c r="D481" s="2">
        <v>140.07</v>
      </c>
      <c r="E481" s="2">
        <v>137.57</v>
      </c>
      <c r="F481" s="2">
        <v>139.63</v>
      </c>
      <c r="G481" s="1">
        <v>2182801</v>
      </c>
      <c r="H481" s="2">
        <f t="shared" si="16"/>
        <v>129.35</v>
      </c>
      <c r="I481" s="2">
        <f t="shared" si="17"/>
        <v>143.07</v>
      </c>
      <c r="J481" s="22">
        <f>100*(testdata4[[#This Row],[close]]-testdata4[[#This Row],[LL]])/(testdata4[[#This Row],[HH]]-testdata4[[#This Row],[LL]])</f>
        <v>74.927113702623913</v>
      </c>
      <c r="K481" s="22">
        <f>testdata4[[#This Row],[K(14)'']]</f>
        <v>74.927113702623913</v>
      </c>
      <c r="L481" s="22">
        <f>testdata4[[#This Row],[%K]]-100</f>
        <v>-25.072886297376087</v>
      </c>
      <c r="N481" s="12">
        <v>479</v>
      </c>
      <c r="O481" s="3">
        <v>45603</v>
      </c>
      <c r="P481" s="23" t="s">
        <v>482</v>
      </c>
      <c r="Q481" s="22">
        <f>IF(testdata4[[#This Row],[%R]]&lt;&gt;Table25[[#This Row],[%R]],testdata4[[#This Row],[%R]]-Table25[[#This Row],[%R]],"")</f>
        <v>-8.5265128291212022E-14</v>
      </c>
      <c r="R481" s="11" t="str">
        <f>IF(OR(Table25[[#This Row],[%R]]&lt;-100,Table25[[#This Row],[%R]]&gt;0),"RANGE_ERR","")</f>
        <v>RANGE_ERR</v>
      </c>
    </row>
    <row r="482" spans="1:18" x14ac:dyDescent="0.35">
      <c r="A482" s="6">
        <v>480</v>
      </c>
      <c r="B482" s="3">
        <v>45604</v>
      </c>
      <c r="C482" s="2">
        <v>137.66999999999999</v>
      </c>
      <c r="D482" s="2">
        <v>138.66499999999999</v>
      </c>
      <c r="E482" s="2">
        <v>134.94</v>
      </c>
      <c r="F482" s="2">
        <v>136.68</v>
      </c>
      <c r="G482" s="1">
        <v>1918633</v>
      </c>
      <c r="H482" s="2">
        <f t="shared" si="16"/>
        <v>129.35</v>
      </c>
      <c r="I482" s="2">
        <f t="shared" si="17"/>
        <v>143.07</v>
      </c>
      <c r="J482" s="22">
        <f>100*(testdata4[[#This Row],[close]]-testdata4[[#This Row],[LL]])/(testdata4[[#This Row],[HH]]-testdata4[[#This Row],[LL]])</f>
        <v>53.425655976676481</v>
      </c>
      <c r="K482" s="22">
        <f>testdata4[[#This Row],[K(14)'']]</f>
        <v>53.425655976676481</v>
      </c>
      <c r="L482" s="22">
        <f>testdata4[[#This Row],[%K]]-100</f>
        <v>-46.574344023323519</v>
      </c>
      <c r="N482" s="12">
        <v>480</v>
      </c>
      <c r="O482" s="3">
        <v>45604</v>
      </c>
      <c r="P482" s="23" t="s">
        <v>483</v>
      </c>
      <c r="Q482" s="22">
        <f>IF(testdata4[[#This Row],[%R]]&lt;&gt;Table25[[#This Row],[%R]],testdata4[[#This Row],[%R]]-Table25[[#This Row],[%R]],"")</f>
        <v>-2.1316282072803006E-14</v>
      </c>
      <c r="R482" s="11" t="str">
        <f>IF(OR(Table25[[#This Row],[%R]]&lt;-100,Table25[[#This Row],[%R]]&gt;0),"RANGE_ERR","")</f>
        <v>RANGE_ERR</v>
      </c>
    </row>
    <row r="483" spans="1:18" x14ac:dyDescent="0.35">
      <c r="A483" s="6">
        <v>481</v>
      </c>
      <c r="B483" s="3">
        <v>45607</v>
      </c>
      <c r="C483" s="2">
        <v>137.07</v>
      </c>
      <c r="D483" s="2">
        <v>137.46</v>
      </c>
      <c r="E483" s="2">
        <v>133.19999999999999</v>
      </c>
      <c r="F483" s="2">
        <v>133.86000000000001</v>
      </c>
      <c r="G483" s="1">
        <v>5405489</v>
      </c>
      <c r="H483" s="2">
        <f t="shared" si="16"/>
        <v>129.35</v>
      </c>
      <c r="I483" s="2">
        <f t="shared" si="17"/>
        <v>143.07</v>
      </c>
      <c r="J483" s="22">
        <f>100*(testdata4[[#This Row],[close]]-testdata4[[#This Row],[LL]])/(testdata4[[#This Row],[HH]]-testdata4[[#This Row],[LL]])</f>
        <v>32.871720116618221</v>
      </c>
      <c r="K483" s="22">
        <f>testdata4[[#This Row],[K(14)'']]</f>
        <v>32.871720116618221</v>
      </c>
      <c r="L483" s="22">
        <f>testdata4[[#This Row],[%K]]-100</f>
        <v>-67.128279883381779</v>
      </c>
      <c r="N483" s="12">
        <v>481</v>
      </c>
      <c r="O483" s="3">
        <v>45607</v>
      </c>
      <c r="P483" s="23" t="s">
        <v>484</v>
      </c>
      <c r="Q483" s="22">
        <f>IF(testdata4[[#This Row],[%R]]&lt;&gt;Table25[[#This Row],[%R]],testdata4[[#This Row],[%R]]-Table25[[#This Row],[%R]],"")</f>
        <v>-8.5265128291212022E-14</v>
      </c>
      <c r="R483" s="11" t="str">
        <f>IF(OR(Table25[[#This Row],[%R]]&lt;-100,Table25[[#This Row],[%R]]&gt;0),"RANGE_ERR","")</f>
        <v>RANGE_ERR</v>
      </c>
    </row>
    <row r="484" spans="1:18" x14ac:dyDescent="0.35">
      <c r="A484" s="6">
        <v>482</v>
      </c>
      <c r="B484" s="3">
        <v>45608</v>
      </c>
      <c r="C484" s="2">
        <v>133.86000000000001</v>
      </c>
      <c r="D484" s="2">
        <v>136.04</v>
      </c>
      <c r="E484" s="2">
        <v>133.63999999999999</v>
      </c>
      <c r="F484" s="2">
        <v>133.66999999999999</v>
      </c>
      <c r="G484" s="1">
        <v>1490800</v>
      </c>
      <c r="H484" s="2">
        <f t="shared" si="16"/>
        <v>129.35</v>
      </c>
      <c r="I484" s="2">
        <f t="shared" si="17"/>
        <v>143.07</v>
      </c>
      <c r="J484" s="22">
        <f>100*(testdata4[[#This Row],[close]]-testdata4[[#This Row],[LL]])/(testdata4[[#This Row],[HH]]-testdata4[[#This Row],[LL]])</f>
        <v>31.486880466472257</v>
      </c>
      <c r="K484" s="22">
        <f>testdata4[[#This Row],[K(14)'']]</f>
        <v>31.486880466472257</v>
      </c>
      <c r="L484" s="22">
        <f>testdata4[[#This Row],[%K]]-100</f>
        <v>-68.513119533527743</v>
      </c>
      <c r="N484" s="12">
        <v>482</v>
      </c>
      <c r="O484" s="3">
        <v>45608</v>
      </c>
      <c r="P484" s="23" t="s">
        <v>485</v>
      </c>
      <c r="Q484" s="22">
        <f>IF(testdata4[[#This Row],[%R]]&lt;&gt;Table25[[#This Row],[%R]],testdata4[[#This Row],[%R]]-Table25[[#This Row],[%R]],"")</f>
        <v>-4.2632564145606011E-14</v>
      </c>
      <c r="R484" s="11" t="str">
        <f>IF(OR(Table25[[#This Row],[%R]]&lt;-100,Table25[[#This Row],[%R]]&gt;0),"RANGE_ERR","")</f>
        <v>RANGE_ERR</v>
      </c>
    </row>
    <row r="485" spans="1:18" x14ac:dyDescent="0.35">
      <c r="A485" s="6">
        <v>483</v>
      </c>
      <c r="B485" s="3">
        <v>45609</v>
      </c>
      <c r="C485" s="2">
        <v>133.26</v>
      </c>
      <c r="D485" s="2">
        <v>134.87</v>
      </c>
      <c r="E485" s="2">
        <v>132.19</v>
      </c>
      <c r="F485" s="2">
        <v>134.28</v>
      </c>
      <c r="G485" s="1">
        <v>1103090</v>
      </c>
      <c r="H485" s="2">
        <f t="shared" si="16"/>
        <v>129.35</v>
      </c>
      <c r="I485" s="2">
        <f t="shared" si="17"/>
        <v>143.07</v>
      </c>
      <c r="J485" s="22">
        <f>100*(testdata4[[#This Row],[close]]-testdata4[[#This Row],[LL]])/(testdata4[[#This Row],[HH]]-testdata4[[#This Row],[LL]])</f>
        <v>35.932944606414047</v>
      </c>
      <c r="K485" s="22">
        <f>testdata4[[#This Row],[K(14)'']]</f>
        <v>35.932944606414047</v>
      </c>
      <c r="L485" s="22">
        <f>testdata4[[#This Row],[%K]]-100</f>
        <v>-64.067055393585946</v>
      </c>
      <c r="N485" s="12">
        <v>483</v>
      </c>
      <c r="O485" s="3">
        <v>45609</v>
      </c>
      <c r="P485" s="23" t="s">
        <v>486</v>
      </c>
      <c r="Q485" s="22">
        <f>IF(testdata4[[#This Row],[%R]]&lt;&gt;Table25[[#This Row],[%R]],testdata4[[#This Row],[%R]]-Table25[[#This Row],[%R]],"")</f>
        <v>-4.2632564145606011E-14</v>
      </c>
      <c r="R485" s="11" t="str">
        <f>IF(OR(Table25[[#This Row],[%R]]&lt;-100,Table25[[#This Row],[%R]]&gt;0),"RANGE_ERR","")</f>
        <v>RANGE_ERR</v>
      </c>
    </row>
    <row r="486" spans="1:18" x14ac:dyDescent="0.35">
      <c r="A486" s="6">
        <v>484</v>
      </c>
      <c r="B486" s="3">
        <v>45610</v>
      </c>
      <c r="C486" s="2">
        <v>133.69</v>
      </c>
      <c r="D486" s="2">
        <v>134.35</v>
      </c>
      <c r="E486" s="2">
        <v>130.16</v>
      </c>
      <c r="F486" s="2">
        <v>130.22</v>
      </c>
      <c r="G486" s="1">
        <v>1971103</v>
      </c>
      <c r="H486" s="2">
        <f t="shared" si="16"/>
        <v>129.86000000000001</v>
      </c>
      <c r="I486" s="2">
        <f t="shared" si="17"/>
        <v>143.07</v>
      </c>
      <c r="J486" s="22">
        <f>100*(testdata4[[#This Row],[close]]-testdata4[[#This Row],[LL]])/(testdata4[[#This Row],[HH]]-testdata4[[#This Row],[LL]])</f>
        <v>2.7252081756244193</v>
      </c>
      <c r="K486" s="22">
        <f>testdata4[[#This Row],[K(14)'']]</f>
        <v>2.7252081756244193</v>
      </c>
      <c r="L486" s="22">
        <f>testdata4[[#This Row],[%K]]-100</f>
        <v>-97.274791824375583</v>
      </c>
      <c r="N486" s="12">
        <v>484</v>
      </c>
      <c r="O486" s="3">
        <v>45610</v>
      </c>
      <c r="P486" s="23" t="s">
        <v>487</v>
      </c>
      <c r="Q486" s="22">
        <f>IF(testdata4[[#This Row],[%R]]&lt;&gt;Table25[[#This Row],[%R]],testdata4[[#This Row],[%R]]-Table25[[#This Row],[%R]],"")</f>
        <v>-8.5265128291212022E-14</v>
      </c>
      <c r="R486" s="11" t="str">
        <f>IF(OR(Table25[[#This Row],[%R]]&lt;-100,Table25[[#This Row],[%R]]&gt;0),"RANGE_ERR","")</f>
        <v>RANGE_ERR</v>
      </c>
    </row>
    <row r="487" spans="1:18" x14ac:dyDescent="0.35">
      <c r="A487" s="6">
        <v>485</v>
      </c>
      <c r="B487" s="3">
        <v>45611</v>
      </c>
      <c r="C487" s="2">
        <v>129.47</v>
      </c>
      <c r="D487" s="2">
        <v>129.71</v>
      </c>
      <c r="E487" s="2">
        <v>125.82</v>
      </c>
      <c r="F487" s="2">
        <v>127.07</v>
      </c>
      <c r="G487" s="1">
        <v>2631136</v>
      </c>
      <c r="H487" s="2">
        <f t="shared" si="16"/>
        <v>125.82</v>
      </c>
      <c r="I487" s="2">
        <f t="shared" si="17"/>
        <v>143.07</v>
      </c>
      <c r="J487" s="22">
        <f>100*(testdata4[[#This Row],[close]]-testdata4[[#This Row],[LL]])/(testdata4[[#This Row],[HH]]-testdata4[[#This Row],[LL]])</f>
        <v>7.2463768115942031</v>
      </c>
      <c r="K487" s="22">
        <f>testdata4[[#This Row],[K(14)'']]</f>
        <v>7.2463768115942031</v>
      </c>
      <c r="L487" s="22">
        <f>testdata4[[#This Row],[%K]]-100</f>
        <v>-92.753623188405797</v>
      </c>
      <c r="N487" s="12">
        <v>485</v>
      </c>
      <c r="O487" s="3">
        <v>45611</v>
      </c>
      <c r="P487" s="23" t="s">
        <v>488</v>
      </c>
      <c r="Q487" s="22">
        <f>IF(testdata4[[#This Row],[%R]]&lt;&gt;Table25[[#This Row],[%R]],testdata4[[#This Row],[%R]]-Table25[[#This Row],[%R]],"")</f>
        <v>-9.9475983006414026E-14</v>
      </c>
      <c r="R487" s="11" t="str">
        <f>IF(OR(Table25[[#This Row],[%R]]&lt;-100,Table25[[#This Row],[%R]]&gt;0),"RANGE_ERR","")</f>
        <v>RANGE_ERR</v>
      </c>
    </row>
    <row r="488" spans="1:18" x14ac:dyDescent="0.35">
      <c r="A488" s="6">
        <v>486</v>
      </c>
      <c r="B488" s="3">
        <v>45614</v>
      </c>
      <c r="C488" s="2">
        <v>126.92</v>
      </c>
      <c r="D488" s="2">
        <v>128.09</v>
      </c>
      <c r="E488" s="2">
        <v>126.01</v>
      </c>
      <c r="F488" s="2">
        <v>126.92</v>
      </c>
      <c r="G488" s="1">
        <v>1444996</v>
      </c>
      <c r="H488" s="2">
        <f t="shared" si="16"/>
        <v>125.82</v>
      </c>
      <c r="I488" s="2">
        <f t="shared" si="17"/>
        <v>143.07</v>
      </c>
      <c r="J488" s="22">
        <f>100*(testdata4[[#This Row],[close]]-testdata4[[#This Row],[LL]])/(testdata4[[#This Row],[HH]]-testdata4[[#This Row],[LL]])</f>
        <v>6.3768115942029482</v>
      </c>
      <c r="K488" s="22">
        <f>testdata4[[#This Row],[K(14)'']]</f>
        <v>6.3768115942029482</v>
      </c>
      <c r="L488" s="22">
        <f>testdata4[[#This Row],[%K]]-100</f>
        <v>-93.623188405797052</v>
      </c>
      <c r="N488" s="12">
        <v>486</v>
      </c>
      <c r="O488" s="3">
        <v>45614</v>
      </c>
      <c r="P488" s="23" t="s">
        <v>489</v>
      </c>
      <c r="Q488" s="22">
        <f>IF(testdata4[[#This Row],[%R]]&lt;&gt;Table25[[#This Row],[%R]],testdata4[[#This Row],[%R]]-Table25[[#This Row],[%R]],"")</f>
        <v>-5.6843418860808015E-14</v>
      </c>
      <c r="R488" s="11" t="str">
        <f>IF(OR(Table25[[#This Row],[%R]]&lt;-100,Table25[[#This Row],[%R]]&gt;0),"RANGE_ERR","")</f>
        <v>RANGE_ERR</v>
      </c>
    </row>
    <row r="489" spans="1:18" x14ac:dyDescent="0.35">
      <c r="A489" s="6">
        <v>487</v>
      </c>
      <c r="B489" s="3">
        <v>45615</v>
      </c>
      <c r="C489" s="2">
        <v>125.78</v>
      </c>
      <c r="D489" s="2">
        <v>127.12</v>
      </c>
      <c r="E489" s="2">
        <v>125.12</v>
      </c>
      <c r="F489" s="2">
        <v>125.69</v>
      </c>
      <c r="G489" s="1">
        <v>1838200</v>
      </c>
      <c r="H489" s="2">
        <f t="shared" si="16"/>
        <v>125.12</v>
      </c>
      <c r="I489" s="2">
        <f t="shared" si="17"/>
        <v>143.07</v>
      </c>
      <c r="J489" s="22">
        <f>100*(testdata4[[#This Row],[close]]-testdata4[[#This Row],[LL]])/(testdata4[[#This Row],[HH]]-testdata4[[#This Row],[LL]])</f>
        <v>3.1754874651810225</v>
      </c>
      <c r="K489" s="22">
        <f>testdata4[[#This Row],[K(14)'']]</f>
        <v>3.1754874651810225</v>
      </c>
      <c r="L489" s="22">
        <f>testdata4[[#This Row],[%K]]-100</f>
        <v>-96.824512534818979</v>
      </c>
      <c r="N489" s="12">
        <v>487</v>
      </c>
      <c r="O489" s="3">
        <v>45615</v>
      </c>
      <c r="P489" s="23" t="s">
        <v>490</v>
      </c>
      <c r="Q489" s="22">
        <f>IF(testdata4[[#This Row],[%R]]&lt;&gt;Table25[[#This Row],[%R]],testdata4[[#This Row],[%R]]-Table25[[#This Row],[%R]],"")</f>
        <v>-8.5265128291212022E-14</v>
      </c>
      <c r="R489" s="11" t="str">
        <f>IF(OR(Table25[[#This Row],[%R]]&lt;-100,Table25[[#This Row],[%R]]&gt;0),"RANGE_ERR","")</f>
        <v>RANGE_ERR</v>
      </c>
    </row>
    <row r="490" spans="1:18" x14ac:dyDescent="0.35">
      <c r="A490" s="6">
        <v>488</v>
      </c>
      <c r="B490" s="3">
        <v>45616</v>
      </c>
      <c r="C490" s="2">
        <v>125.32</v>
      </c>
      <c r="D490" s="2">
        <v>128.71</v>
      </c>
      <c r="E490" s="2">
        <v>124.89</v>
      </c>
      <c r="F490" s="2">
        <v>128.57</v>
      </c>
      <c r="G490" s="1">
        <v>1696093</v>
      </c>
      <c r="H490" s="2">
        <f t="shared" si="16"/>
        <v>124.89</v>
      </c>
      <c r="I490" s="2">
        <f t="shared" si="17"/>
        <v>143.07</v>
      </c>
      <c r="J490" s="22">
        <f>100*(testdata4[[#This Row],[close]]-testdata4[[#This Row],[LL]])/(testdata4[[#This Row],[HH]]-testdata4[[#This Row],[LL]])</f>
        <v>20.242024202420211</v>
      </c>
      <c r="K490" s="22">
        <f>testdata4[[#This Row],[K(14)'']]</f>
        <v>20.242024202420211</v>
      </c>
      <c r="L490" s="22">
        <f>testdata4[[#This Row],[%K]]-100</f>
        <v>-79.757975797579789</v>
      </c>
      <c r="N490" s="12">
        <v>488</v>
      </c>
      <c r="O490" s="3">
        <v>45616</v>
      </c>
      <c r="P490" s="23" t="s">
        <v>491</v>
      </c>
      <c r="Q490" s="22">
        <f>IF(testdata4[[#This Row],[%R]]&lt;&gt;Table25[[#This Row],[%R]],testdata4[[#This Row],[%R]]-Table25[[#This Row],[%R]],"")</f>
        <v>-8.5265128291212022E-14</v>
      </c>
      <c r="R490" s="11" t="str">
        <f>IF(OR(Table25[[#This Row],[%R]]&lt;-100,Table25[[#This Row],[%R]]&gt;0),"RANGE_ERR","")</f>
        <v>RANGE_ERR</v>
      </c>
    </row>
    <row r="491" spans="1:18" x14ac:dyDescent="0.35">
      <c r="A491" s="6">
        <v>489</v>
      </c>
      <c r="B491" s="3">
        <v>45617</v>
      </c>
      <c r="C491" s="2">
        <v>129.71</v>
      </c>
      <c r="D491" s="2">
        <v>132.19</v>
      </c>
      <c r="E491" s="2">
        <v>129.06</v>
      </c>
      <c r="F491" s="2">
        <v>132.06</v>
      </c>
      <c r="G491" s="1">
        <v>2882187</v>
      </c>
      <c r="H491" s="2">
        <f t="shared" si="16"/>
        <v>124.89</v>
      </c>
      <c r="I491" s="2">
        <f t="shared" si="17"/>
        <v>143.07</v>
      </c>
      <c r="J491" s="22">
        <f>100*(testdata4[[#This Row],[close]]-testdata4[[#This Row],[LL]])/(testdata4[[#This Row],[HH]]-testdata4[[#This Row],[LL]])</f>
        <v>39.438943894389467</v>
      </c>
      <c r="K491" s="22">
        <f>testdata4[[#This Row],[K(14)'']]</f>
        <v>39.438943894389467</v>
      </c>
      <c r="L491" s="22">
        <f>testdata4[[#This Row],[%K]]-100</f>
        <v>-60.561056105610533</v>
      </c>
      <c r="N491" s="12">
        <v>489</v>
      </c>
      <c r="O491" s="3">
        <v>45617</v>
      </c>
      <c r="P491" s="23" t="s">
        <v>492</v>
      </c>
      <c r="Q491" s="22">
        <f>IF(testdata4[[#This Row],[%R]]&lt;&gt;Table25[[#This Row],[%R]],testdata4[[#This Row],[%R]]-Table25[[#This Row],[%R]],"")</f>
        <v>-3.5527136788005009E-14</v>
      </c>
      <c r="R491" s="11" t="str">
        <f>IF(OR(Table25[[#This Row],[%R]]&lt;-100,Table25[[#This Row],[%R]]&gt;0),"RANGE_ERR","")</f>
        <v>RANGE_ERR</v>
      </c>
    </row>
    <row r="492" spans="1:18" x14ac:dyDescent="0.35">
      <c r="A492" s="6">
        <v>490</v>
      </c>
      <c r="B492" s="3">
        <v>45618</v>
      </c>
      <c r="C492" s="2">
        <v>132.1</v>
      </c>
      <c r="D492" s="2">
        <v>134.32</v>
      </c>
      <c r="E492" s="2">
        <v>131.5</v>
      </c>
      <c r="F492" s="2">
        <v>133.84</v>
      </c>
      <c r="G492" s="1">
        <v>2067844</v>
      </c>
      <c r="H492" s="2">
        <f t="shared" si="16"/>
        <v>124.89</v>
      </c>
      <c r="I492" s="2">
        <f t="shared" si="17"/>
        <v>143.07</v>
      </c>
      <c r="J492" s="22">
        <f>100*(testdata4[[#This Row],[close]]-testdata4[[#This Row],[LL]])/(testdata4[[#This Row],[HH]]-testdata4[[#This Row],[LL]])</f>
        <v>49.229922992299265</v>
      </c>
      <c r="K492" s="22">
        <f>testdata4[[#This Row],[K(14)'']]</f>
        <v>49.229922992299265</v>
      </c>
      <c r="L492" s="22">
        <f>testdata4[[#This Row],[%K]]-100</f>
        <v>-50.770077007700735</v>
      </c>
      <c r="N492" s="12">
        <v>490</v>
      </c>
      <c r="O492" s="3">
        <v>45618</v>
      </c>
      <c r="P492" s="23" t="s">
        <v>493</v>
      </c>
      <c r="Q492" s="22">
        <f>IF(testdata4[[#This Row],[%R]]&lt;&gt;Table25[[#This Row],[%R]],testdata4[[#This Row],[%R]]-Table25[[#This Row],[%R]],"")</f>
        <v>-3.5527136788005009E-14</v>
      </c>
      <c r="R492" s="11" t="str">
        <f>IF(OR(Table25[[#This Row],[%R]]&lt;-100,Table25[[#This Row],[%R]]&gt;0),"RANGE_ERR","")</f>
        <v>RANGE_ERR</v>
      </c>
    </row>
    <row r="493" spans="1:18" x14ac:dyDescent="0.35">
      <c r="A493" s="6">
        <v>491</v>
      </c>
      <c r="B493" s="3">
        <v>45621</v>
      </c>
      <c r="C493" s="2">
        <v>134.53</v>
      </c>
      <c r="D493" s="2">
        <v>135.61000000000001</v>
      </c>
      <c r="E493" s="2">
        <v>133.76</v>
      </c>
      <c r="F493" s="2">
        <v>134.49</v>
      </c>
      <c r="G493" s="1">
        <v>3355400</v>
      </c>
      <c r="H493" s="2">
        <f t="shared" si="16"/>
        <v>124.89</v>
      </c>
      <c r="I493" s="2">
        <f t="shared" si="17"/>
        <v>143.07</v>
      </c>
      <c r="J493" s="22">
        <f>100*(testdata4[[#This Row],[close]]-testdata4[[#This Row],[LL]])/(testdata4[[#This Row],[HH]]-testdata4[[#This Row],[LL]])</f>
        <v>52.805280528052876</v>
      </c>
      <c r="K493" s="22">
        <f>testdata4[[#This Row],[K(14)'']]</f>
        <v>52.805280528052876</v>
      </c>
      <c r="L493" s="22">
        <f>testdata4[[#This Row],[%K]]-100</f>
        <v>-47.194719471947124</v>
      </c>
      <c r="N493" s="12">
        <v>491</v>
      </c>
      <c r="O493" s="3">
        <v>45621</v>
      </c>
      <c r="P493" s="23" t="s">
        <v>494</v>
      </c>
      <c r="Q493" s="22">
        <f>IF(testdata4[[#This Row],[%R]]&lt;&gt;Table25[[#This Row],[%R]],testdata4[[#This Row],[%R]]-Table25[[#This Row],[%R]],"")</f>
        <v>-2.1316282072803006E-14</v>
      </c>
      <c r="R493" s="11" t="str">
        <f>IF(OR(Table25[[#This Row],[%R]]&lt;-100,Table25[[#This Row],[%R]]&gt;0),"RANGE_ERR","")</f>
        <v>RANGE_ERR</v>
      </c>
    </row>
    <row r="494" spans="1:18" x14ac:dyDescent="0.35">
      <c r="A494" s="6">
        <v>492</v>
      </c>
      <c r="B494" s="3">
        <v>45622</v>
      </c>
      <c r="C494" s="2">
        <v>127.02</v>
      </c>
      <c r="D494" s="2">
        <v>134.81</v>
      </c>
      <c r="E494" s="2">
        <v>126.17</v>
      </c>
      <c r="F494" s="2">
        <v>134.37</v>
      </c>
      <c r="G494" s="1">
        <v>3444150</v>
      </c>
      <c r="H494" s="2">
        <f t="shared" si="16"/>
        <v>124.89</v>
      </c>
      <c r="I494" s="2">
        <f t="shared" si="17"/>
        <v>140.07</v>
      </c>
      <c r="J494" s="22">
        <f>100*(testdata4[[#This Row],[close]]-testdata4[[#This Row],[LL]])/(testdata4[[#This Row],[HH]]-testdata4[[#This Row],[LL]])</f>
        <v>62.450592885375556</v>
      </c>
      <c r="K494" s="22">
        <f>testdata4[[#This Row],[K(14)'']]</f>
        <v>62.450592885375556</v>
      </c>
      <c r="L494" s="22">
        <f>testdata4[[#This Row],[%K]]-100</f>
        <v>-37.549407114624444</v>
      </c>
      <c r="N494" s="12">
        <v>492</v>
      </c>
      <c r="O494" s="3">
        <v>45622</v>
      </c>
      <c r="P494" s="23" t="s">
        <v>495</v>
      </c>
      <c r="Q494" s="22">
        <f>IF(testdata4[[#This Row],[%R]]&lt;&gt;Table25[[#This Row],[%R]],testdata4[[#This Row],[%R]]-Table25[[#This Row],[%R]],"")</f>
        <v>-4.2632564145606011E-14</v>
      </c>
      <c r="R494" s="11" t="str">
        <f>IF(OR(Table25[[#This Row],[%R]]&lt;-100,Table25[[#This Row],[%R]]&gt;0),"RANGE_ERR","")</f>
        <v>RANGE_ERR</v>
      </c>
    </row>
    <row r="495" spans="1:18" x14ac:dyDescent="0.35">
      <c r="A495" s="6">
        <v>493</v>
      </c>
      <c r="B495" s="3">
        <v>45623</v>
      </c>
      <c r="C495" s="2">
        <v>134.69</v>
      </c>
      <c r="D495" s="2">
        <v>139</v>
      </c>
      <c r="E495" s="2">
        <v>134.23500000000001</v>
      </c>
      <c r="F495" s="2">
        <v>138.13999999999999</v>
      </c>
      <c r="G495" s="1">
        <v>2336938</v>
      </c>
      <c r="H495" s="2">
        <f t="shared" si="16"/>
        <v>124.89</v>
      </c>
      <c r="I495" s="2">
        <f t="shared" si="17"/>
        <v>139</v>
      </c>
      <c r="J495" s="22">
        <f>100*(testdata4[[#This Row],[close]]-testdata4[[#This Row],[LL]])/(testdata4[[#This Row],[HH]]-testdata4[[#This Row],[LL]])</f>
        <v>93.905031892274891</v>
      </c>
      <c r="K495" s="22">
        <f>testdata4[[#This Row],[K(14)'']]</f>
        <v>93.905031892274891</v>
      </c>
      <c r="L495" s="22">
        <f>testdata4[[#This Row],[%K]]-100</f>
        <v>-6.0949681077251086</v>
      </c>
      <c r="N495" s="12">
        <v>493</v>
      </c>
      <c r="O495" s="3">
        <v>45623</v>
      </c>
      <c r="P495" s="23" t="s">
        <v>496</v>
      </c>
      <c r="Q495" s="22">
        <f>IF(testdata4[[#This Row],[%R]]&lt;&gt;Table25[[#This Row],[%R]],testdata4[[#This Row],[%R]]-Table25[[#This Row],[%R]],"")</f>
        <v>-8.8817841970012523E-15</v>
      </c>
      <c r="R495" s="11" t="str">
        <f>IF(OR(Table25[[#This Row],[%R]]&lt;-100,Table25[[#This Row],[%R]]&gt;0),"RANGE_ERR","")</f>
        <v>RANGE_ERR</v>
      </c>
    </row>
    <row r="496" spans="1:18" x14ac:dyDescent="0.35">
      <c r="A496" s="6">
        <v>494</v>
      </c>
      <c r="B496" s="3">
        <v>45625</v>
      </c>
      <c r="C496" s="2">
        <v>137.27000000000001</v>
      </c>
      <c r="D496" s="2">
        <v>139.095</v>
      </c>
      <c r="E496" s="2">
        <v>137.084</v>
      </c>
      <c r="F496" s="2">
        <v>137.97</v>
      </c>
      <c r="G496" s="1">
        <v>1183296</v>
      </c>
      <c r="H496" s="2">
        <f t="shared" si="16"/>
        <v>124.89</v>
      </c>
      <c r="I496" s="2">
        <f t="shared" si="17"/>
        <v>139.095</v>
      </c>
      <c r="J496" s="22">
        <f>100*(testdata4[[#This Row],[close]]-testdata4[[#This Row],[LL]])/(testdata4[[#This Row],[HH]]-testdata4[[#This Row],[LL]])</f>
        <v>92.080253431890171</v>
      </c>
      <c r="K496" s="22">
        <f>testdata4[[#This Row],[K(14)'']]</f>
        <v>92.080253431890171</v>
      </c>
      <c r="L496" s="22">
        <f>testdata4[[#This Row],[%K]]-100</f>
        <v>-7.9197465681098294</v>
      </c>
      <c r="N496" s="12">
        <v>494</v>
      </c>
      <c r="O496" s="3">
        <v>45625</v>
      </c>
      <c r="P496" s="23" t="s">
        <v>497</v>
      </c>
      <c r="Q496" s="22">
        <f>IF(testdata4[[#This Row],[%R]]&lt;&gt;Table25[[#This Row],[%R]],testdata4[[#This Row],[%R]]-Table25[[#This Row],[%R]],"")</f>
        <v>-9.7699626167013776E-15</v>
      </c>
      <c r="R496" s="11" t="str">
        <f>IF(OR(Table25[[#This Row],[%R]]&lt;-100,Table25[[#This Row],[%R]]&gt;0),"RANGE_ERR","")</f>
        <v>RANGE_ERR</v>
      </c>
    </row>
    <row r="497" spans="1:18" x14ac:dyDescent="0.35">
      <c r="A497" s="6">
        <v>495</v>
      </c>
      <c r="B497" s="3">
        <v>45628</v>
      </c>
      <c r="C497" s="2">
        <v>137.83000000000001</v>
      </c>
      <c r="D497" s="2">
        <v>140.02000000000001</v>
      </c>
      <c r="E497" s="2">
        <v>137.10499999999999</v>
      </c>
      <c r="F497" s="2">
        <v>139.58000000000001</v>
      </c>
      <c r="G497" s="1">
        <v>1702239</v>
      </c>
      <c r="H497" s="2">
        <f t="shared" si="16"/>
        <v>124.89</v>
      </c>
      <c r="I497" s="2">
        <f t="shared" si="17"/>
        <v>140.02000000000001</v>
      </c>
      <c r="J497" s="22">
        <f>100*(testdata4[[#This Row],[close]]-testdata4[[#This Row],[LL]])/(testdata4[[#This Row],[HH]]-testdata4[[#This Row],[LL]])</f>
        <v>97.091870456047602</v>
      </c>
      <c r="K497" s="22">
        <f>testdata4[[#This Row],[K(14)'']]</f>
        <v>97.091870456047602</v>
      </c>
      <c r="L497" s="22">
        <f>testdata4[[#This Row],[%K]]-100</f>
        <v>-2.9081295439523984</v>
      </c>
      <c r="N497" s="12">
        <v>495</v>
      </c>
      <c r="O497" s="3">
        <v>45628</v>
      </c>
      <c r="P497" s="23" t="s">
        <v>498</v>
      </c>
      <c r="Q497" s="22">
        <f>IF(testdata4[[#This Row],[%R]]&lt;&gt;Table25[[#This Row],[%R]],testdata4[[#This Row],[%R]]-Table25[[#This Row],[%R]],"")</f>
        <v>-8.4376949871511897E-15</v>
      </c>
      <c r="R497" s="11" t="str">
        <f>IF(OR(Table25[[#This Row],[%R]]&lt;-100,Table25[[#This Row],[%R]]&gt;0),"RANGE_ERR","")</f>
        <v>RANGE_ERR</v>
      </c>
    </row>
    <row r="498" spans="1:18" x14ac:dyDescent="0.35">
      <c r="A498" s="6">
        <v>496</v>
      </c>
      <c r="B498" s="3">
        <v>45629</v>
      </c>
      <c r="C498" s="2">
        <v>138.81</v>
      </c>
      <c r="D498" s="2">
        <v>139.595</v>
      </c>
      <c r="E498" s="2">
        <v>136.69999999999999</v>
      </c>
      <c r="F498" s="2">
        <v>139.28</v>
      </c>
      <c r="G498" s="1">
        <v>1715048</v>
      </c>
      <c r="H498" s="2">
        <f t="shared" si="16"/>
        <v>124.89</v>
      </c>
      <c r="I498" s="2">
        <f t="shared" si="17"/>
        <v>140.02000000000001</v>
      </c>
      <c r="J498" s="22">
        <f>100*(testdata4[[#This Row],[close]]-testdata4[[#This Row],[LL]])/(testdata4[[#This Row],[HH]]-testdata4[[#This Row],[LL]])</f>
        <v>95.109054857898158</v>
      </c>
      <c r="K498" s="22">
        <f>testdata4[[#This Row],[K(14)'']]</f>
        <v>95.109054857898158</v>
      </c>
      <c r="L498" s="22">
        <f>testdata4[[#This Row],[%K]]-100</f>
        <v>-4.8909451421018417</v>
      </c>
      <c r="N498" s="12">
        <v>496</v>
      </c>
      <c r="O498" s="3">
        <v>45629</v>
      </c>
      <c r="P498" s="23" t="s">
        <v>499</v>
      </c>
      <c r="Q498" s="22">
        <f>IF(testdata4[[#This Row],[%R]]&lt;&gt;Table25[[#This Row],[%R]],testdata4[[#This Row],[%R]]-Table25[[#This Row],[%R]],"")</f>
        <v>-1.7763568394002505E-15</v>
      </c>
      <c r="R498" s="11" t="str">
        <f>IF(OR(Table25[[#This Row],[%R]]&lt;-100,Table25[[#This Row],[%R]]&gt;0),"RANGE_ERR","")</f>
        <v>RANGE_ERR</v>
      </c>
    </row>
    <row r="499" spans="1:18" x14ac:dyDescent="0.35">
      <c r="A499" s="6">
        <v>497</v>
      </c>
      <c r="B499" s="3">
        <v>45630</v>
      </c>
      <c r="C499" s="2">
        <v>139.19999999999999</v>
      </c>
      <c r="D499" s="2">
        <v>142.41</v>
      </c>
      <c r="E499" s="2">
        <v>137.69</v>
      </c>
      <c r="F499" s="2">
        <v>140.19999999999999</v>
      </c>
      <c r="G499" s="1">
        <v>1948899</v>
      </c>
      <c r="H499" s="2">
        <f t="shared" si="16"/>
        <v>124.89</v>
      </c>
      <c r="I499" s="2">
        <f t="shared" si="17"/>
        <v>142.41</v>
      </c>
      <c r="J499" s="22">
        <f>100*(testdata4[[#This Row],[close]]-testdata4[[#This Row],[LL]])/(testdata4[[#This Row],[HH]]-testdata4[[#This Row],[LL]])</f>
        <v>87.385844748858403</v>
      </c>
      <c r="K499" s="22">
        <f>testdata4[[#This Row],[K(14)'']]</f>
        <v>87.385844748858403</v>
      </c>
      <c r="L499" s="22">
        <f>testdata4[[#This Row],[%K]]-100</f>
        <v>-12.614155251141597</v>
      </c>
      <c r="N499" s="12">
        <v>497</v>
      </c>
      <c r="O499" s="3">
        <v>45630</v>
      </c>
      <c r="P499" s="23" t="s">
        <v>500</v>
      </c>
      <c r="Q499" s="22">
        <f>IF(testdata4[[#This Row],[%R]]&lt;&gt;Table25[[#This Row],[%R]],testdata4[[#This Row],[%R]]-Table25[[#This Row],[%R]],"")</f>
        <v>-9.5923269327613525E-14</v>
      </c>
      <c r="R499" s="11" t="str">
        <f>IF(OR(Table25[[#This Row],[%R]]&lt;-100,Table25[[#This Row],[%R]]&gt;0),"RANGE_ERR","")</f>
        <v>RANGE_ERR</v>
      </c>
    </row>
    <row r="500" spans="1:18" x14ac:dyDescent="0.35">
      <c r="A500" s="6">
        <v>498</v>
      </c>
      <c r="B500" s="3">
        <v>45631</v>
      </c>
      <c r="C500" s="2">
        <v>139</v>
      </c>
      <c r="D500" s="2">
        <v>140.57</v>
      </c>
      <c r="E500" s="2">
        <v>137.56</v>
      </c>
      <c r="F500" s="2">
        <v>137.87</v>
      </c>
      <c r="G500" s="1">
        <v>1994522</v>
      </c>
      <c r="H500" s="2">
        <f t="shared" si="16"/>
        <v>124.89</v>
      </c>
      <c r="I500" s="2">
        <f t="shared" si="17"/>
        <v>142.41</v>
      </c>
      <c r="J500" s="22">
        <f>100*(testdata4[[#This Row],[close]]-testdata4[[#This Row],[LL]])/(testdata4[[#This Row],[HH]]-testdata4[[#This Row],[LL]])</f>
        <v>74.086757990867625</v>
      </c>
      <c r="K500" s="22">
        <f>testdata4[[#This Row],[K(14)'']]</f>
        <v>74.086757990867625</v>
      </c>
      <c r="L500" s="22">
        <f>testdata4[[#This Row],[%K]]-100</f>
        <v>-25.913242009132375</v>
      </c>
      <c r="N500" s="12">
        <v>498</v>
      </c>
      <c r="O500" s="3">
        <v>45631</v>
      </c>
      <c r="P500" s="23" t="s">
        <v>501</v>
      </c>
      <c r="Q500" s="22">
        <f>IF(testdata4[[#This Row],[%R]]&lt;&gt;Table25[[#This Row],[%R]],testdata4[[#This Row],[%R]]-Table25[[#This Row],[%R]],"")</f>
        <v>-7.460698725481052E-14</v>
      </c>
      <c r="R500" s="11" t="str">
        <f>IF(OR(Table25[[#This Row],[%R]]&lt;-100,Table25[[#This Row],[%R]]&gt;0),"RANGE_ERR","")</f>
        <v>RANGE_ERR</v>
      </c>
    </row>
    <row r="501" spans="1:18" x14ac:dyDescent="0.35">
      <c r="A501" s="6">
        <v>499</v>
      </c>
      <c r="B501" s="3">
        <v>45632</v>
      </c>
      <c r="C501" s="2">
        <v>139.47</v>
      </c>
      <c r="D501" s="2">
        <v>141.79</v>
      </c>
      <c r="E501" s="2">
        <v>138.96</v>
      </c>
      <c r="F501" s="2">
        <v>140.58000000000001</v>
      </c>
      <c r="G501" s="1">
        <v>1298025</v>
      </c>
      <c r="H501" s="2">
        <f t="shared" si="16"/>
        <v>124.89</v>
      </c>
      <c r="I501" s="2">
        <f t="shared" si="17"/>
        <v>142.41</v>
      </c>
      <c r="J501" s="22">
        <f>100*(testdata4[[#This Row],[close]]-testdata4[[#This Row],[LL]])/(testdata4[[#This Row],[HH]]-testdata4[[#This Row],[LL]])</f>
        <v>89.554794520548029</v>
      </c>
      <c r="K501" s="22">
        <f>testdata4[[#This Row],[K(14)'']]</f>
        <v>89.554794520548029</v>
      </c>
      <c r="L501" s="22">
        <f>testdata4[[#This Row],[%K]]-100</f>
        <v>-10.445205479451971</v>
      </c>
      <c r="N501" s="12">
        <v>499</v>
      </c>
      <c r="O501" s="3">
        <v>45632</v>
      </c>
      <c r="P501" s="23" t="s">
        <v>502</v>
      </c>
      <c r="Q501" s="22">
        <f>IF(testdata4[[#This Row],[%R]]&lt;&gt;Table25[[#This Row],[%R]],testdata4[[#This Row],[%R]]-Table25[[#This Row],[%R]],"")</f>
        <v>-7.1054273576010019E-14</v>
      </c>
      <c r="R501" s="11" t="str">
        <f>IF(OR(Table25[[#This Row],[%R]]&lt;-100,Table25[[#This Row],[%R]]&gt;0),"RANGE_ERR","")</f>
        <v>RANGE_ERR</v>
      </c>
    </row>
    <row r="502" spans="1:18" x14ac:dyDescent="0.35">
      <c r="A502" s="6">
        <v>500</v>
      </c>
      <c r="B502" s="3">
        <v>45635</v>
      </c>
      <c r="C502" s="2">
        <v>140.81</v>
      </c>
      <c r="D502" s="2">
        <v>144.57</v>
      </c>
      <c r="E502" s="2">
        <v>140.44</v>
      </c>
      <c r="F502" s="2">
        <v>144</v>
      </c>
      <c r="G502" s="1">
        <v>1547275</v>
      </c>
      <c r="H502" s="2">
        <f t="shared" si="16"/>
        <v>124.89</v>
      </c>
      <c r="I502" s="2">
        <f t="shared" si="17"/>
        <v>144.57</v>
      </c>
      <c r="J502" s="22">
        <f>100*(testdata4[[#This Row],[close]]-testdata4[[#This Row],[LL]])/(testdata4[[#This Row],[HH]]-testdata4[[#This Row],[LL]])</f>
        <v>97.103658536585399</v>
      </c>
      <c r="K502" s="22">
        <f>testdata4[[#This Row],[K(14)'']]</f>
        <v>97.103658536585399</v>
      </c>
      <c r="L502" s="22">
        <f>testdata4[[#This Row],[%K]]-100</f>
        <v>-2.8963414634146005</v>
      </c>
      <c r="N502" s="12">
        <v>500</v>
      </c>
      <c r="O502" s="3">
        <v>45635</v>
      </c>
      <c r="P502" s="23" t="s">
        <v>503</v>
      </c>
      <c r="Q502" s="22">
        <f>IF(testdata4[[#This Row],[%R]]&lt;&gt;Table25[[#This Row],[%R]],testdata4[[#This Row],[%R]]-Table25[[#This Row],[%R]],"")</f>
        <v>-4.4408920985006262E-16</v>
      </c>
      <c r="R502" s="11" t="str">
        <f>IF(OR(Table25[[#This Row],[%R]]&lt;-100,Table25[[#This Row],[%R]]&gt;0),"RANGE_ERR","")</f>
        <v>RANGE_ERR</v>
      </c>
    </row>
    <row r="503" spans="1:18" x14ac:dyDescent="0.35">
      <c r="A503" s="6">
        <v>501</v>
      </c>
      <c r="B503" s="3">
        <v>45636</v>
      </c>
      <c r="C503" s="2">
        <v>144.25</v>
      </c>
      <c r="D503" s="2">
        <v>144.9</v>
      </c>
      <c r="E503" s="2">
        <v>141.7252</v>
      </c>
      <c r="F503" s="2">
        <v>141.93</v>
      </c>
      <c r="G503" s="1">
        <v>1261264</v>
      </c>
      <c r="H503" s="2">
        <f t="shared" si="16"/>
        <v>124.89</v>
      </c>
      <c r="I503" s="2">
        <f t="shared" si="17"/>
        <v>144.9</v>
      </c>
      <c r="J503" s="22">
        <f>100*(testdata4[[#This Row],[close]]-testdata4[[#This Row],[LL]])/(testdata4[[#This Row],[HH]]-testdata4[[#This Row],[LL]])</f>
        <v>85.157421289355341</v>
      </c>
      <c r="K503" s="22">
        <f>testdata4[[#This Row],[K(14)'']]</f>
        <v>85.157421289355341</v>
      </c>
      <c r="L503" s="22">
        <f>testdata4[[#This Row],[%K]]-100</f>
        <v>-14.842578710644659</v>
      </c>
      <c r="N503" s="12">
        <v>501</v>
      </c>
      <c r="O503" s="3">
        <v>45636</v>
      </c>
      <c r="P503" s="23" t="s">
        <v>504</v>
      </c>
      <c r="Q503" s="22">
        <f>IF(testdata4[[#This Row],[%R]]&lt;&gt;Table25[[#This Row],[%R]],testdata4[[#This Row],[%R]]-Table25[[#This Row],[%R]],"")</f>
        <v>-5.8619775700208265E-14</v>
      </c>
      <c r="R503" s="11" t="str">
        <f>IF(OR(Table25[[#This Row],[%R]]&lt;-100,Table25[[#This Row],[%R]]&gt;0),"RANGE_ERR","")</f>
        <v>RANGE_ERR</v>
      </c>
    </row>
    <row r="504" spans="1:18" x14ac:dyDescent="0.35">
      <c r="A504" s="6">
        <v>502</v>
      </c>
      <c r="B504" s="3">
        <v>45637</v>
      </c>
      <c r="C504" s="2">
        <v>142.86000000000001</v>
      </c>
      <c r="D504" s="2">
        <v>143.59</v>
      </c>
      <c r="E504" s="2">
        <v>141.16999999999999</v>
      </c>
      <c r="F504" s="2">
        <v>141.19</v>
      </c>
      <c r="G504" s="1">
        <v>1848678</v>
      </c>
      <c r="H504" s="2">
        <f t="shared" ref="H504:H509" si="18">MIN(E491:E504)</f>
        <v>126.17</v>
      </c>
      <c r="I504" s="2">
        <f t="shared" ref="I504:I509" si="19">MAX(D491:D504)</f>
        <v>144.9</v>
      </c>
      <c r="J504" s="22">
        <f>100*(testdata4[[#This Row],[close]]-testdata4[[#This Row],[LL]])/(testdata4[[#This Row],[HH]]-testdata4[[#This Row],[LL]])</f>
        <v>80.192205018686565</v>
      </c>
      <c r="K504" s="22">
        <f>testdata4[[#This Row],[K(14)'']]</f>
        <v>80.192205018686565</v>
      </c>
      <c r="L504" s="22">
        <f>testdata4[[#This Row],[%K]]-100</f>
        <v>-19.807794981313435</v>
      </c>
      <c r="N504" s="12">
        <v>502</v>
      </c>
      <c r="O504" s="13">
        <v>45637</v>
      </c>
      <c r="P504" s="23" t="s">
        <v>505</v>
      </c>
      <c r="Q504" s="22">
        <f>IF(testdata4[[#This Row],[%R]]&lt;&gt;Table25[[#This Row],[%R]],testdata4[[#This Row],[%R]]-Table25[[#This Row],[%R]],"")</f>
        <v>-3.5527136788005009E-14</v>
      </c>
      <c r="R504" s="11" t="str">
        <f>IF(OR(Table25[[#This Row],[%R]]&lt;-100,Table25[[#This Row],[%R]]&gt;0),"RANGE_ERR","")</f>
        <v>RANGE_ERR</v>
      </c>
    </row>
    <row r="505" spans="1:18" x14ac:dyDescent="0.35">
      <c r="A505" s="6">
        <v>503</v>
      </c>
      <c r="B505" s="3">
        <v>45638</v>
      </c>
      <c r="C505" s="2">
        <v>140.5</v>
      </c>
      <c r="D505" s="2">
        <v>141.715</v>
      </c>
      <c r="E505" s="2">
        <v>139.88</v>
      </c>
      <c r="F505" s="2">
        <v>140.91</v>
      </c>
      <c r="G505" s="1">
        <v>976363</v>
      </c>
      <c r="H505" s="2">
        <f t="shared" si="18"/>
        <v>126.17</v>
      </c>
      <c r="I505" s="2">
        <f t="shared" si="19"/>
        <v>144.9</v>
      </c>
      <c r="J505" s="22">
        <f>100*(testdata4[[#This Row],[close]]-testdata4[[#This Row],[LL]])/(testdata4[[#This Row],[HH]]-testdata4[[#This Row],[LL]])</f>
        <v>78.697277095568566</v>
      </c>
      <c r="K505" s="22">
        <f>testdata4[[#This Row],[K(14)'']]</f>
        <v>78.697277095568566</v>
      </c>
      <c r="L505" s="22">
        <f>testdata4[[#This Row],[%K]]-100</f>
        <v>-21.302722904431434</v>
      </c>
      <c r="N505" s="12">
        <v>503</v>
      </c>
      <c r="O505" s="13">
        <v>45638</v>
      </c>
      <c r="P505" s="23" t="s">
        <v>506</v>
      </c>
      <c r="Q505" s="22">
        <f>IF(testdata4[[#This Row],[%R]]&lt;&gt;Table25[[#This Row],[%R]],testdata4[[#This Row],[%R]]-Table25[[#This Row],[%R]],"")</f>
        <v>-3.5527136788005009E-14</v>
      </c>
      <c r="R505" s="11" t="str">
        <f>IF(OR(Table25[[#This Row],[%R]]&lt;-100,Table25[[#This Row],[%R]]&gt;0),"RANGE_ERR","")</f>
        <v>RANGE_ERR</v>
      </c>
    </row>
    <row r="506" spans="1:18" x14ac:dyDescent="0.35">
      <c r="A506" s="6">
        <v>504</v>
      </c>
      <c r="B506" s="3">
        <v>45639</v>
      </c>
      <c r="C506" s="2">
        <v>140.36000000000001</v>
      </c>
      <c r="D506" s="2">
        <v>140.465</v>
      </c>
      <c r="E506" s="2">
        <v>137.29</v>
      </c>
      <c r="F506" s="2">
        <v>139</v>
      </c>
      <c r="G506" s="1">
        <v>1474294</v>
      </c>
      <c r="H506" s="2">
        <f t="shared" si="18"/>
        <v>126.17</v>
      </c>
      <c r="I506" s="2">
        <f t="shared" si="19"/>
        <v>144.9</v>
      </c>
      <c r="J506" s="22">
        <f>100*(testdata4[[#This Row],[close]]-testdata4[[#This Row],[LL]])/(testdata4[[#This Row],[HH]]-testdata4[[#This Row],[LL]])</f>
        <v>68.499733048585128</v>
      </c>
      <c r="K506" s="22">
        <f>testdata4[[#This Row],[K(14)'']]</f>
        <v>68.499733048585128</v>
      </c>
      <c r="L506" s="22">
        <f>testdata4[[#This Row],[%K]]-100</f>
        <v>-31.500266951414872</v>
      </c>
      <c r="N506" s="12">
        <v>504</v>
      </c>
      <c r="O506" s="13">
        <v>45639</v>
      </c>
      <c r="P506" s="23" t="s">
        <v>507</v>
      </c>
      <c r="Q506" s="22">
        <f>IF(testdata4[[#This Row],[%R]]&lt;&gt;Table25[[#This Row],[%R]],testdata4[[#This Row],[%R]]-Table25[[#This Row],[%R]],"")</f>
        <v>-7.1054273576010019E-14</v>
      </c>
      <c r="R506" s="11" t="str">
        <f>IF(OR(Table25[[#This Row],[%R]]&lt;-100,Table25[[#This Row],[%R]]&gt;0),"RANGE_ERR","")</f>
        <v>RANGE_ERR</v>
      </c>
    </row>
    <row r="507" spans="1:18" x14ac:dyDescent="0.35">
      <c r="A507" s="6">
        <v>505</v>
      </c>
      <c r="B507" s="3">
        <v>45642</v>
      </c>
      <c r="C507" s="2">
        <v>138.63</v>
      </c>
      <c r="D507" s="2">
        <v>139.93799999999999</v>
      </c>
      <c r="E507" s="2">
        <v>137</v>
      </c>
      <c r="F507" s="2">
        <v>137.66999999999999</v>
      </c>
      <c r="G507" s="1">
        <v>1580702</v>
      </c>
      <c r="H507" s="2">
        <f t="shared" si="18"/>
        <v>126.17</v>
      </c>
      <c r="I507" s="2">
        <f t="shared" si="19"/>
        <v>144.9</v>
      </c>
      <c r="J507" s="22">
        <f>100*(testdata4[[#This Row],[close]]-testdata4[[#This Row],[LL]])/(testdata4[[#This Row],[HH]]-testdata4[[#This Row],[LL]])</f>
        <v>61.39882541377461</v>
      </c>
      <c r="K507" s="22">
        <f>testdata4[[#This Row],[K(14)'']]</f>
        <v>61.39882541377461</v>
      </c>
      <c r="L507" s="22">
        <f>testdata4[[#This Row],[%K]]-100</f>
        <v>-38.60117458622539</v>
      </c>
      <c r="N507" s="12">
        <v>505</v>
      </c>
      <c r="O507" s="13">
        <v>45642</v>
      </c>
      <c r="P507" s="23" t="s">
        <v>508</v>
      </c>
      <c r="Q507" s="22">
        <f>IF(testdata4[[#This Row],[%R]]&lt;&gt;Table25[[#This Row],[%R]],testdata4[[#This Row],[%R]]-Table25[[#This Row],[%R]],"")</f>
        <v>-9.2370555648813024E-14</v>
      </c>
      <c r="R507" s="11" t="str">
        <f>IF(OR(Table25[[#This Row],[%R]]&lt;-100,Table25[[#This Row],[%R]]&gt;0),"RANGE_ERR","")</f>
        <v>RANGE_ERR</v>
      </c>
    </row>
    <row r="508" spans="1:18" x14ac:dyDescent="0.35">
      <c r="A508" s="6">
        <v>506</v>
      </c>
      <c r="B508" s="3">
        <v>45643</v>
      </c>
      <c r="C508" s="2">
        <v>137.58000000000001</v>
      </c>
      <c r="D508" s="2">
        <v>139.34</v>
      </c>
      <c r="E508" s="2">
        <v>136.19999999999999</v>
      </c>
      <c r="F508" s="2">
        <v>136.46</v>
      </c>
      <c r="G508" s="1">
        <v>2430649</v>
      </c>
      <c r="H508" s="2">
        <f t="shared" si="18"/>
        <v>134.23500000000001</v>
      </c>
      <c r="I508" s="2">
        <f t="shared" si="19"/>
        <v>144.9</v>
      </c>
      <c r="J508" s="22">
        <f>100*(testdata4[[#This Row],[close]]-testdata4[[#This Row],[LL]])/(testdata4[[#This Row],[HH]]-testdata4[[#This Row],[LL]])</f>
        <v>20.862634786685383</v>
      </c>
      <c r="K508" s="22">
        <f>testdata4[[#This Row],[K(14)'']]</f>
        <v>20.862634786685383</v>
      </c>
      <c r="L508" s="22">
        <f>testdata4[[#This Row],[%K]]-100</f>
        <v>-79.137365213314609</v>
      </c>
      <c r="N508" s="12">
        <v>506</v>
      </c>
      <c r="O508" s="13">
        <v>45643</v>
      </c>
      <c r="P508" s="23" t="s">
        <v>509</v>
      </c>
      <c r="Q508" s="22">
        <f>IF(testdata4[[#This Row],[%R]]&lt;&gt;Table25[[#This Row],[%R]],testdata4[[#This Row],[%R]]-Table25[[#This Row],[%R]],"")</f>
        <v>-1.4210854715202004E-14</v>
      </c>
      <c r="R508" s="11" t="str">
        <f>IF(OR(Table25[[#This Row],[%R]]&lt;-100,Table25[[#This Row],[%R]]&gt;0),"RANGE_ERR","")</f>
        <v>RANGE_ERR</v>
      </c>
    </row>
    <row r="509" spans="1:18" x14ac:dyDescent="0.35">
      <c r="A509" s="6">
        <v>507</v>
      </c>
      <c r="B509" s="3">
        <v>45644</v>
      </c>
      <c r="C509" s="2">
        <v>136.94999999999999</v>
      </c>
      <c r="D509" s="2">
        <v>137.57</v>
      </c>
      <c r="E509" s="2">
        <v>132.91</v>
      </c>
      <c r="F509" s="2">
        <v>133.01</v>
      </c>
      <c r="G509" s="1">
        <v>1746949</v>
      </c>
      <c r="H509" s="2">
        <f t="shared" si="18"/>
        <v>132.91</v>
      </c>
      <c r="I509" s="2">
        <f t="shared" si="19"/>
        <v>144.9</v>
      </c>
      <c r="J509" s="22">
        <f>100*(testdata4[[#This Row],[close]]-testdata4[[#This Row],[LL]])/(testdata4[[#This Row],[HH]]-testdata4[[#This Row],[LL]])</f>
        <v>0.83402835696408872</v>
      </c>
      <c r="K509" s="22">
        <f>testdata4[[#This Row],[K(14)'']]</f>
        <v>0.83402835696408872</v>
      </c>
      <c r="L509" s="22">
        <f>testdata4[[#This Row],[%K]]-100</f>
        <v>-99.165971643035917</v>
      </c>
      <c r="N509" s="12">
        <v>507</v>
      </c>
      <c r="O509" s="13">
        <v>45644</v>
      </c>
      <c r="P509" s="23" t="s">
        <v>510</v>
      </c>
      <c r="Q509" s="22">
        <f>IF(testdata4[[#This Row],[%R]]&lt;&gt;Table25[[#This Row],[%R]],testdata4[[#This Row],[%R]]-Table25[[#This Row],[%R]],"")</f>
        <v>-1.4210854715202004E-14</v>
      </c>
      <c r="R509" s="11" t="str">
        <f>IF(OR(Table25[[#This Row],[%R]]&lt;-100,Table25[[#This Row],[%R]]&gt;0),"RANGE_ERR","")</f>
        <v>RANGE_ERR</v>
      </c>
    </row>
    <row r="510" spans="1:18" x14ac:dyDescent="0.35">
      <c r="A510" s="6">
        <v>508</v>
      </c>
      <c r="B510" s="3">
        <v>45645</v>
      </c>
      <c r="C510" s="2">
        <v>133.13999999999999</v>
      </c>
      <c r="D510" s="2">
        <v>134.27000000000001</v>
      </c>
      <c r="E510" s="2">
        <v>131.62</v>
      </c>
      <c r="F510" s="2">
        <v>133.19</v>
      </c>
      <c r="G510" s="1">
        <v>2166908</v>
      </c>
      <c r="H510" s="2">
        <f t="shared" ref="H510:H573" si="20">MIN(E497:E510)</f>
        <v>131.62</v>
      </c>
      <c r="I510" s="2">
        <f t="shared" ref="I510:I573" si="21">MAX(D497:D510)</f>
        <v>144.9</v>
      </c>
      <c r="J510" s="22">
        <f>100*(testdata4[[#This Row],[close]]-testdata4[[#This Row],[LL]])/(testdata4[[#This Row],[HH]]-testdata4[[#This Row],[LL]])</f>
        <v>11.822289156626454</v>
      </c>
      <c r="K510" s="22">
        <f>testdata4[[#This Row],[K(14)'']]</f>
        <v>11.822289156626454</v>
      </c>
      <c r="L510" s="22">
        <f>testdata4[[#This Row],[%K]]-100</f>
        <v>-88.177710843373546</v>
      </c>
      <c r="N510" s="12">
        <v>508</v>
      </c>
      <c r="O510" s="13">
        <v>45645</v>
      </c>
      <c r="P510" s="23" t="s">
        <v>511</v>
      </c>
      <c r="Q510" s="22">
        <f>IF(testdata4[[#This Row],[%R]]&lt;&gt;Table25[[#This Row],[%R]],testdata4[[#This Row],[%R]]-Table25[[#This Row],[%R]],"")</f>
        <v>-4.2632564145606011E-14</v>
      </c>
      <c r="R510" s="11" t="str">
        <f>IF(OR(Table25[[#This Row],[%R]]&lt;-100,Table25[[#This Row],[%R]]&gt;0),"RANGE_ERR","")</f>
        <v>RANGE_ERR</v>
      </c>
    </row>
    <row r="511" spans="1:18" x14ac:dyDescent="0.35">
      <c r="A511" s="6">
        <v>509</v>
      </c>
      <c r="B511" s="3">
        <v>45646</v>
      </c>
      <c r="C511" s="2">
        <v>133.22999999999999</v>
      </c>
      <c r="D511" s="2">
        <v>135.53</v>
      </c>
      <c r="E511" s="2">
        <v>133.22999999999999</v>
      </c>
      <c r="F511" s="2">
        <v>134.51</v>
      </c>
      <c r="G511" s="1">
        <v>4363950</v>
      </c>
      <c r="H511" s="2">
        <f t="shared" si="20"/>
        <v>131.62</v>
      </c>
      <c r="I511" s="2">
        <f t="shared" si="21"/>
        <v>144.9</v>
      </c>
      <c r="J511" s="22">
        <f>100*(testdata4[[#This Row],[close]]-testdata4[[#This Row],[LL]])/(testdata4[[#This Row],[HH]]-testdata4[[#This Row],[LL]])</f>
        <v>21.76204819277098</v>
      </c>
      <c r="K511" s="22">
        <f>testdata4[[#This Row],[K(14)'']]</f>
        <v>21.76204819277098</v>
      </c>
      <c r="L511" s="22">
        <f>testdata4[[#This Row],[%K]]-100</f>
        <v>-78.237951807229024</v>
      </c>
      <c r="N511" s="12">
        <v>509</v>
      </c>
      <c r="O511" s="13">
        <v>45646</v>
      </c>
      <c r="P511" s="23" t="s">
        <v>512</v>
      </c>
      <c r="Q511" s="22">
        <f>IF(testdata4[[#This Row],[%R]]&lt;&gt;Table25[[#This Row],[%R]],testdata4[[#This Row],[%R]]-Table25[[#This Row],[%R]],"")</f>
        <v>-2.8421709430404007E-14</v>
      </c>
      <c r="R511" s="11" t="str">
        <f>IF(OR(Table25[[#This Row],[%R]]&lt;-100,Table25[[#This Row],[%R]]&gt;0),"RANGE_ERR","")</f>
        <v>RANGE_ERR</v>
      </c>
    </row>
    <row r="512" spans="1:18" x14ac:dyDescent="0.35">
      <c r="A512" s="6">
        <v>510</v>
      </c>
      <c r="B512" s="3">
        <v>45649</v>
      </c>
      <c r="C512" s="2">
        <v>134.16</v>
      </c>
      <c r="D512" s="2">
        <v>134.69</v>
      </c>
      <c r="E512" s="2">
        <v>133.16999999999999</v>
      </c>
      <c r="F512" s="2">
        <v>134.6</v>
      </c>
      <c r="G512" s="1">
        <v>1194949</v>
      </c>
      <c r="H512" s="2">
        <f t="shared" si="20"/>
        <v>131.62</v>
      </c>
      <c r="I512" s="2">
        <f t="shared" si="21"/>
        <v>144.9</v>
      </c>
      <c r="J512" s="22">
        <f>100*(testdata4[[#This Row],[close]]-testdata4[[#This Row],[LL]])/(testdata4[[#This Row],[HH]]-testdata4[[#This Row],[LL]])</f>
        <v>22.439759036144498</v>
      </c>
      <c r="K512" s="22">
        <f>testdata4[[#This Row],[K(14)'']]</f>
        <v>22.439759036144498</v>
      </c>
      <c r="L512" s="22">
        <f>testdata4[[#This Row],[%K]]-100</f>
        <v>-77.560240963855506</v>
      </c>
      <c r="N512" s="12">
        <v>510</v>
      </c>
      <c r="O512" s="13">
        <v>45649</v>
      </c>
      <c r="P512" s="23" t="s">
        <v>513</v>
      </c>
      <c r="Q512" s="22">
        <f>IF(testdata4[[#This Row],[%R]]&lt;&gt;Table25[[#This Row],[%R]],testdata4[[#This Row],[%R]]-Table25[[#This Row],[%R]],"")</f>
        <v>0</v>
      </c>
      <c r="R512" s="11" t="str">
        <f>IF(OR(Table25[[#This Row],[%R]]&lt;-100,Table25[[#This Row],[%R]]&gt;0),"RANGE_ERR","")</f>
        <v>RANGE_ERR</v>
      </c>
    </row>
    <row r="513" spans="1:18" x14ac:dyDescent="0.35">
      <c r="A513" s="6">
        <v>511</v>
      </c>
      <c r="B513" s="3">
        <v>45650</v>
      </c>
      <c r="C513" s="2">
        <v>134.6</v>
      </c>
      <c r="D513" s="2">
        <v>136.1</v>
      </c>
      <c r="E513" s="2">
        <v>134.15</v>
      </c>
      <c r="F513" s="2">
        <v>136.1</v>
      </c>
      <c r="G513" s="1">
        <v>370216</v>
      </c>
      <c r="H513" s="2">
        <f t="shared" si="20"/>
        <v>131.62</v>
      </c>
      <c r="I513" s="2">
        <f t="shared" si="21"/>
        <v>144.9</v>
      </c>
      <c r="J513" s="22">
        <f>100*(testdata4[[#This Row],[close]]-testdata4[[#This Row],[LL]])/(testdata4[[#This Row],[HH]]-testdata4[[#This Row],[LL]])</f>
        <v>33.734939759036067</v>
      </c>
      <c r="K513" s="22">
        <f>testdata4[[#This Row],[K(14)'']]</f>
        <v>33.734939759036067</v>
      </c>
      <c r="L513" s="22">
        <f>testdata4[[#This Row],[%K]]-100</f>
        <v>-66.265060240963933</v>
      </c>
      <c r="N513" s="12">
        <v>511</v>
      </c>
      <c r="O513" s="13">
        <v>45650</v>
      </c>
      <c r="P513" s="23" t="s">
        <v>514</v>
      </c>
      <c r="Q513" s="22">
        <f>IF(testdata4[[#This Row],[%R]]&lt;&gt;Table25[[#This Row],[%R]],testdata4[[#This Row],[%R]]-Table25[[#This Row],[%R]],"")</f>
        <v>-2.8421709430404007E-14</v>
      </c>
      <c r="R513" s="11" t="str">
        <f>IF(OR(Table25[[#This Row],[%R]]&lt;-100,Table25[[#This Row],[%R]]&gt;0),"RANGE_ERR","")</f>
        <v>RANGE_ERR</v>
      </c>
    </row>
    <row r="514" spans="1:18" x14ac:dyDescent="0.35">
      <c r="A514" s="6">
        <v>512</v>
      </c>
      <c r="B514" s="3">
        <v>45652</v>
      </c>
      <c r="C514" s="2">
        <v>135.01</v>
      </c>
      <c r="D514" s="2">
        <v>135.97999999999999</v>
      </c>
      <c r="E514" s="2">
        <v>134.97</v>
      </c>
      <c r="F514" s="2">
        <v>135.83000000000001</v>
      </c>
      <c r="G514" s="1">
        <v>556576</v>
      </c>
      <c r="H514" s="2">
        <f t="shared" si="20"/>
        <v>131.62</v>
      </c>
      <c r="I514" s="2">
        <f t="shared" si="21"/>
        <v>144.9</v>
      </c>
      <c r="J514" s="22">
        <f>100*(testdata4[[#This Row],[close]]-testdata4[[#This Row],[LL]])/(testdata4[[#This Row],[HH]]-testdata4[[#This Row],[LL]])</f>
        <v>31.701807228915719</v>
      </c>
      <c r="K514" s="22">
        <f>testdata4[[#This Row],[K(14)'']]</f>
        <v>31.701807228915719</v>
      </c>
      <c r="L514" s="22">
        <f>testdata4[[#This Row],[%K]]-100</f>
        <v>-68.298192771084274</v>
      </c>
      <c r="N514" s="12">
        <v>512</v>
      </c>
      <c r="O514" s="13">
        <v>45652</v>
      </c>
      <c r="P514" s="23" t="s">
        <v>515</v>
      </c>
      <c r="Q514" s="22">
        <f>IF(testdata4[[#This Row],[%R]]&lt;&gt;Table25[[#This Row],[%R]],testdata4[[#This Row],[%R]]-Table25[[#This Row],[%R]],"")</f>
        <v>-7.1054273576010019E-14</v>
      </c>
      <c r="R514" s="11" t="str">
        <f>IF(OR(Table25[[#This Row],[%R]]&lt;-100,Table25[[#This Row],[%R]]&gt;0),"RANGE_ERR","")</f>
        <v>RANGE_ERR</v>
      </c>
    </row>
    <row r="515" spans="1:18" x14ac:dyDescent="0.35">
      <c r="A515" s="6">
        <v>513</v>
      </c>
      <c r="B515" s="3">
        <v>45653</v>
      </c>
      <c r="C515" s="2">
        <v>134.62</v>
      </c>
      <c r="D515" s="2">
        <v>136.22210000000001</v>
      </c>
      <c r="E515" s="2">
        <v>134.59</v>
      </c>
      <c r="F515" s="2">
        <v>135.54</v>
      </c>
      <c r="G515" s="1">
        <v>631818</v>
      </c>
      <c r="H515" s="2">
        <f t="shared" si="20"/>
        <v>131.62</v>
      </c>
      <c r="I515" s="2">
        <f t="shared" si="21"/>
        <v>144.9</v>
      </c>
      <c r="J515" s="22">
        <f>100*(testdata4[[#This Row],[close]]-testdata4[[#This Row],[LL]])/(testdata4[[#This Row],[HH]]-testdata4[[#This Row],[LL]])</f>
        <v>29.518072289156528</v>
      </c>
      <c r="K515" s="22">
        <f>testdata4[[#This Row],[K(14)'']]</f>
        <v>29.518072289156528</v>
      </c>
      <c r="L515" s="22">
        <f>testdata4[[#This Row],[%K]]-100</f>
        <v>-70.481927710843479</v>
      </c>
      <c r="N515" s="12">
        <v>513</v>
      </c>
      <c r="O515" s="13">
        <v>45653</v>
      </c>
      <c r="P515" s="23" t="s">
        <v>516</v>
      </c>
      <c r="Q515" s="22">
        <f>IF(testdata4[[#This Row],[%R]]&lt;&gt;Table25[[#This Row],[%R]],testdata4[[#This Row],[%R]]-Table25[[#This Row],[%R]],"")</f>
        <v>-8.5265128291212022E-14</v>
      </c>
      <c r="R515" s="11" t="str">
        <f>IF(OR(Table25[[#This Row],[%R]]&lt;-100,Table25[[#This Row],[%R]]&gt;0),"RANGE_ERR","")</f>
        <v>RANGE_ERR</v>
      </c>
    </row>
    <row r="516" spans="1:18" x14ac:dyDescent="0.35">
      <c r="A516" s="6">
        <v>514</v>
      </c>
      <c r="B516" s="3">
        <v>45656</v>
      </c>
      <c r="C516" s="2">
        <v>134.4</v>
      </c>
      <c r="D516" s="2">
        <v>135.59</v>
      </c>
      <c r="E516" s="2">
        <v>133.24</v>
      </c>
      <c r="F516" s="2">
        <v>134.41999999999999</v>
      </c>
      <c r="G516" s="1">
        <v>993643</v>
      </c>
      <c r="H516" s="2">
        <f t="shared" si="20"/>
        <v>131.62</v>
      </c>
      <c r="I516" s="2">
        <f t="shared" si="21"/>
        <v>144.9</v>
      </c>
      <c r="J516" s="22">
        <f>100*(testdata4[[#This Row],[close]]-testdata4[[#This Row],[LL]])/(testdata4[[#This Row],[HH]]-testdata4[[#This Row],[LL]])</f>
        <v>21.084337349397462</v>
      </c>
      <c r="K516" s="22">
        <f>testdata4[[#This Row],[K(14)'']]</f>
        <v>21.084337349397462</v>
      </c>
      <c r="L516" s="22">
        <f>testdata4[[#This Row],[%K]]-100</f>
        <v>-78.915662650602542</v>
      </c>
      <c r="N516" s="12">
        <v>514</v>
      </c>
      <c r="O516" s="13">
        <v>45656</v>
      </c>
      <c r="P516" s="23" t="s">
        <v>517</v>
      </c>
      <c r="Q516" s="22">
        <f>IF(testdata4[[#This Row],[%R]]&lt;&gt;Table25[[#This Row],[%R]],testdata4[[#This Row],[%R]]-Table25[[#This Row],[%R]],"")</f>
        <v>-4.2632564145606011E-14</v>
      </c>
      <c r="R516" s="11" t="str">
        <f>IF(OR(Table25[[#This Row],[%R]]&lt;-100,Table25[[#This Row],[%R]]&gt;0),"RANGE_ERR","")</f>
        <v>RANGE_ERR</v>
      </c>
    </row>
    <row r="517" spans="1:18" x14ac:dyDescent="0.35">
      <c r="A517" s="6">
        <v>515</v>
      </c>
      <c r="B517" s="3">
        <v>45657</v>
      </c>
      <c r="C517" s="2">
        <v>134.81</v>
      </c>
      <c r="D517" s="2">
        <v>135.91</v>
      </c>
      <c r="E517" s="2">
        <v>134.03</v>
      </c>
      <c r="F517" s="2">
        <v>134.34</v>
      </c>
      <c r="G517" s="1">
        <v>719606</v>
      </c>
      <c r="H517" s="2">
        <f t="shared" si="20"/>
        <v>131.62</v>
      </c>
      <c r="I517" s="2">
        <f t="shared" si="21"/>
        <v>143.59</v>
      </c>
      <c r="J517" s="22">
        <f>100*(testdata4[[#This Row],[close]]-testdata4[[#This Row],[LL]])/(testdata4[[#This Row],[HH]]-testdata4[[#This Row],[LL]])</f>
        <v>22.723475355054294</v>
      </c>
      <c r="K517" s="22">
        <f>testdata4[[#This Row],[K(14)'']]</f>
        <v>22.723475355054294</v>
      </c>
      <c r="L517" s="22">
        <f>testdata4[[#This Row],[%K]]-100</f>
        <v>-77.276524644945709</v>
      </c>
      <c r="N517" s="12">
        <v>515</v>
      </c>
      <c r="O517" s="13">
        <v>45657</v>
      </c>
      <c r="P517" s="23" t="s">
        <v>518</v>
      </c>
      <c r="Q517" s="22">
        <f>IF(testdata4[[#This Row],[%R]]&lt;&gt;Table25[[#This Row],[%R]],testdata4[[#This Row],[%R]]-Table25[[#This Row],[%R]],"")</f>
        <v>-1.4210854715202004E-14</v>
      </c>
      <c r="R517" s="11" t="str">
        <f>IF(OR(Table25[[#This Row],[%R]]&lt;-100,Table25[[#This Row],[%R]]&gt;0),"RANGE_ERR","")</f>
        <v>RANGE_ERR</v>
      </c>
    </row>
    <row r="518" spans="1:18" x14ac:dyDescent="0.35">
      <c r="A518" s="6">
        <v>516</v>
      </c>
      <c r="B518" s="3">
        <v>45659</v>
      </c>
      <c r="C518" s="2">
        <v>135.21</v>
      </c>
      <c r="D518" s="2">
        <v>135.72999999999999</v>
      </c>
      <c r="E518" s="2">
        <v>132.87</v>
      </c>
      <c r="F518" s="2">
        <v>133.43</v>
      </c>
      <c r="G518" s="1">
        <v>953587</v>
      </c>
      <c r="H518" s="2">
        <f t="shared" si="20"/>
        <v>131.62</v>
      </c>
      <c r="I518" s="2">
        <f t="shared" si="21"/>
        <v>141.715</v>
      </c>
      <c r="J518" s="22">
        <f>100*(testdata4[[#This Row],[close]]-testdata4[[#This Row],[LL]])/(testdata4[[#This Row],[HH]]-testdata4[[#This Row],[LL]])</f>
        <v>17.929668152550793</v>
      </c>
      <c r="K518" s="22">
        <f>testdata4[[#This Row],[K(14)'']]</f>
        <v>17.929668152550793</v>
      </c>
      <c r="L518" s="22">
        <f>testdata4[[#This Row],[%K]]-100</f>
        <v>-82.070331847449211</v>
      </c>
      <c r="N518" s="12">
        <v>516</v>
      </c>
      <c r="O518" s="13">
        <v>45659</v>
      </c>
      <c r="P518" s="23" t="s">
        <v>519</v>
      </c>
      <c r="Q518" s="22">
        <f>IF(testdata4[[#This Row],[%R]]&lt;&gt;Table25[[#This Row],[%R]],testdata4[[#This Row],[%R]]-Table25[[#This Row],[%R]],"")</f>
        <v>-1.4210854715202004E-14</v>
      </c>
      <c r="R518" s="11" t="str">
        <f>IF(OR(Table25[[#This Row],[%R]]&lt;-100,Table25[[#This Row],[%R]]&gt;0),"RANGE_ERR","")</f>
        <v>RANGE_ERR</v>
      </c>
    </row>
    <row r="519" spans="1:18" x14ac:dyDescent="0.35">
      <c r="A519" s="6">
        <v>517</v>
      </c>
      <c r="B519" s="3">
        <v>45660</v>
      </c>
      <c r="C519" s="2">
        <v>133.44999999999999</v>
      </c>
      <c r="D519" s="2">
        <v>136.05000000000001</v>
      </c>
      <c r="E519" s="2">
        <v>132.755</v>
      </c>
      <c r="F519" s="2">
        <v>135.69</v>
      </c>
      <c r="G519" s="1">
        <v>1246919</v>
      </c>
      <c r="H519" s="2">
        <f t="shared" si="20"/>
        <v>131.62</v>
      </c>
      <c r="I519" s="2">
        <f t="shared" si="21"/>
        <v>140.465</v>
      </c>
      <c r="J519" s="22">
        <f>100*(testdata4[[#This Row],[close]]-testdata4[[#This Row],[LL]])/(testdata4[[#This Row],[HH]]-testdata4[[#This Row],[LL]])</f>
        <v>46.014697569248092</v>
      </c>
      <c r="K519" s="22">
        <f>testdata4[[#This Row],[K(14)'']]</f>
        <v>46.014697569248092</v>
      </c>
      <c r="L519" s="22">
        <f>testdata4[[#This Row],[%K]]-100</f>
        <v>-53.985302430751908</v>
      </c>
      <c r="N519" s="12">
        <v>517</v>
      </c>
      <c r="O519" s="13">
        <v>45660</v>
      </c>
      <c r="P519" s="23" t="s">
        <v>520</v>
      </c>
      <c r="Q519" s="22">
        <f>IF(testdata4[[#This Row],[%R]]&lt;&gt;Table25[[#This Row],[%R]],testdata4[[#This Row],[%R]]-Table25[[#This Row],[%R]],"")</f>
        <v>-7.1054273576010019E-15</v>
      </c>
      <c r="R519" s="11" t="str">
        <f>IF(OR(Table25[[#This Row],[%R]]&lt;-100,Table25[[#This Row],[%R]]&gt;0),"RANGE_ERR","")</f>
        <v>RANGE_ERR</v>
      </c>
    </row>
    <row r="520" spans="1:18" x14ac:dyDescent="0.35">
      <c r="A520" s="6">
        <v>518</v>
      </c>
      <c r="B520" s="3">
        <v>45663</v>
      </c>
      <c r="C520" s="2">
        <v>135.6</v>
      </c>
      <c r="D520" s="2">
        <v>138.34</v>
      </c>
      <c r="E520" s="2">
        <v>135.34</v>
      </c>
      <c r="F520" s="2">
        <v>136.43</v>
      </c>
      <c r="G520" s="1">
        <v>1047034</v>
      </c>
      <c r="H520" s="2">
        <f t="shared" si="20"/>
        <v>131.62</v>
      </c>
      <c r="I520" s="2">
        <f t="shared" si="21"/>
        <v>139.93799999999999</v>
      </c>
      <c r="J520" s="22">
        <f>100*(testdata4[[#This Row],[close]]-testdata4[[#This Row],[LL]])/(testdata4[[#This Row],[HH]]-testdata4[[#This Row],[LL]])</f>
        <v>57.826400577061932</v>
      </c>
      <c r="K520" s="22">
        <f>testdata4[[#This Row],[K(14)'']]</f>
        <v>57.826400577061932</v>
      </c>
      <c r="L520" s="22">
        <f>testdata4[[#This Row],[%K]]-100</f>
        <v>-42.173599422938068</v>
      </c>
      <c r="N520" s="12">
        <v>518</v>
      </c>
      <c r="O520" s="13">
        <v>45663</v>
      </c>
      <c r="P520" s="23" t="s">
        <v>521</v>
      </c>
      <c r="Q520" s="22">
        <f>IF(testdata4[[#This Row],[%R]]&lt;&gt;Table25[[#This Row],[%R]],testdata4[[#This Row],[%R]]-Table25[[#This Row],[%R]],"")</f>
        <v>-7.1054273576010019E-14</v>
      </c>
      <c r="R520" s="11" t="str">
        <f>IF(OR(Table25[[#This Row],[%R]]&lt;-100,Table25[[#This Row],[%R]]&gt;0),"RANGE_ERR","")</f>
        <v>RANGE_ERR</v>
      </c>
    </row>
    <row r="521" spans="1:18" x14ac:dyDescent="0.35">
      <c r="A521" s="6">
        <v>519</v>
      </c>
      <c r="B521" s="3">
        <v>45664</v>
      </c>
      <c r="C521" s="2">
        <v>136.83000000000001</v>
      </c>
      <c r="D521" s="2">
        <v>140.28</v>
      </c>
      <c r="E521" s="2">
        <v>135.97999999999999</v>
      </c>
      <c r="F521" s="2">
        <v>137.41</v>
      </c>
      <c r="G521" s="1">
        <v>1056693</v>
      </c>
      <c r="H521" s="2">
        <f t="shared" si="20"/>
        <v>131.62</v>
      </c>
      <c r="I521" s="2">
        <f t="shared" si="21"/>
        <v>140.28</v>
      </c>
      <c r="J521" s="22">
        <f>100*(testdata4[[#This Row],[close]]-testdata4[[#This Row],[LL]])/(testdata4[[#This Row],[HH]]-testdata4[[#This Row],[LL]])</f>
        <v>66.859122401847515</v>
      </c>
      <c r="K521" s="22">
        <f>testdata4[[#This Row],[K(14)'']]</f>
        <v>66.859122401847515</v>
      </c>
      <c r="L521" s="22">
        <f>testdata4[[#This Row],[%K]]-100</f>
        <v>-33.140877598152485</v>
      </c>
      <c r="N521" s="12">
        <v>519</v>
      </c>
      <c r="O521" s="13">
        <v>45664</v>
      </c>
      <c r="P521" s="23" t="s">
        <v>522</v>
      </c>
      <c r="Q521" s="22">
        <f>IF(testdata4[[#This Row],[%R]]&lt;&gt;Table25[[#This Row],[%R]],testdata4[[#This Row],[%R]]-Table25[[#This Row],[%R]],"")</f>
        <v>-8.5265128291212022E-14</v>
      </c>
      <c r="R521" s="11" t="str">
        <f>IF(OR(Table25[[#This Row],[%R]]&lt;-100,Table25[[#This Row],[%R]]&gt;0),"RANGE_ERR","")</f>
        <v>RANGE_ERR</v>
      </c>
    </row>
    <row r="522" spans="1:18" x14ac:dyDescent="0.35">
      <c r="A522" s="6">
        <v>520</v>
      </c>
      <c r="B522" s="3">
        <v>45665</v>
      </c>
      <c r="C522" s="2">
        <v>137.68</v>
      </c>
      <c r="D522" s="2">
        <v>137.68</v>
      </c>
      <c r="E522" s="2">
        <v>135.63</v>
      </c>
      <c r="F522" s="2">
        <v>137</v>
      </c>
      <c r="G522" s="1">
        <v>1684573</v>
      </c>
      <c r="H522" s="2">
        <f t="shared" si="20"/>
        <v>131.62</v>
      </c>
      <c r="I522" s="2">
        <f t="shared" si="21"/>
        <v>140.28</v>
      </c>
      <c r="J522" s="22">
        <f>100*(testdata4[[#This Row],[close]]-testdata4[[#This Row],[LL]])/(testdata4[[#This Row],[HH]]-testdata4[[#This Row],[LL]])</f>
        <v>62.124711316397203</v>
      </c>
      <c r="K522" s="22">
        <f>testdata4[[#This Row],[K(14)'']]</f>
        <v>62.124711316397203</v>
      </c>
      <c r="L522" s="22">
        <f>testdata4[[#This Row],[%K]]-100</f>
        <v>-37.875288683602797</v>
      </c>
      <c r="N522" s="12">
        <v>520</v>
      </c>
      <c r="O522" s="13">
        <v>45665</v>
      </c>
      <c r="P522" s="23" t="s">
        <v>523</v>
      </c>
      <c r="Q522" s="22">
        <f>IF(testdata4[[#This Row],[%R]]&lt;&gt;Table25[[#This Row],[%R]],testdata4[[#This Row],[%R]]-Table25[[#This Row],[%R]],"")</f>
        <v>-9.9475983006414026E-14</v>
      </c>
      <c r="R522" s="11" t="str">
        <f>IF(OR(Table25[[#This Row],[%R]]&lt;-100,Table25[[#This Row],[%R]]&gt;0),"RANGE_ERR","")</f>
        <v>RANGE_ERR</v>
      </c>
    </row>
    <row r="523" spans="1:18" x14ac:dyDescent="0.35">
      <c r="A523" s="6">
        <v>521</v>
      </c>
      <c r="B523" s="3">
        <v>45667</v>
      </c>
      <c r="C523" s="2">
        <v>134.75</v>
      </c>
      <c r="D523" s="2">
        <v>140.13999999999999</v>
      </c>
      <c r="E523" s="2">
        <v>134.709</v>
      </c>
      <c r="F523" s="2">
        <v>137.47</v>
      </c>
      <c r="G523" s="1">
        <v>1369875</v>
      </c>
      <c r="H523" s="2">
        <f t="shared" si="20"/>
        <v>131.62</v>
      </c>
      <c r="I523" s="2">
        <f t="shared" si="21"/>
        <v>140.28</v>
      </c>
      <c r="J523" s="22">
        <f>100*(testdata4[[#This Row],[close]]-testdata4[[#This Row],[LL]])/(testdata4[[#This Row],[HH]]-testdata4[[#This Row],[LL]])</f>
        <v>67.551963048498806</v>
      </c>
      <c r="K523" s="22">
        <f>testdata4[[#This Row],[K(14)'']]</f>
        <v>67.551963048498806</v>
      </c>
      <c r="L523" s="22">
        <f>testdata4[[#This Row],[%K]]-100</f>
        <v>-32.448036951501194</v>
      </c>
      <c r="N523" s="12">
        <v>521</v>
      </c>
      <c r="O523" s="13">
        <v>45667</v>
      </c>
      <c r="P523" s="23" t="s">
        <v>524</v>
      </c>
      <c r="Q523" s="22">
        <f>IF(testdata4[[#This Row],[%R]]&lt;&gt;Table25[[#This Row],[%R]],testdata4[[#This Row],[%R]]-Table25[[#This Row],[%R]],"")</f>
        <v>-9.2370555648813024E-14</v>
      </c>
      <c r="R523" s="11" t="str">
        <f>IF(OR(Table25[[#This Row],[%R]]&lt;-100,Table25[[#This Row],[%R]]&gt;0),"RANGE_ERR","")</f>
        <v>RANGE_ERR</v>
      </c>
    </row>
    <row r="524" spans="1:18" x14ac:dyDescent="0.35">
      <c r="A524" s="6">
        <v>522</v>
      </c>
      <c r="B524" s="3">
        <v>45670</v>
      </c>
      <c r="C524" s="2">
        <v>137.22</v>
      </c>
      <c r="D524" s="2">
        <v>142.82</v>
      </c>
      <c r="E524" s="2">
        <v>137</v>
      </c>
      <c r="F524" s="2">
        <v>141.94999999999999</v>
      </c>
      <c r="G524" s="1">
        <v>1561959</v>
      </c>
      <c r="H524" s="2">
        <f t="shared" si="20"/>
        <v>132.755</v>
      </c>
      <c r="I524" s="2">
        <f t="shared" si="21"/>
        <v>142.82</v>
      </c>
      <c r="J524" s="22">
        <f>100*(testdata4[[#This Row],[close]]-testdata4[[#This Row],[LL]])/(testdata4[[#This Row],[HH]]-testdata4[[#This Row],[LL]])</f>
        <v>91.356184798807703</v>
      </c>
      <c r="K524" s="22">
        <f>testdata4[[#This Row],[K(14)'']]</f>
        <v>91.356184798807703</v>
      </c>
      <c r="L524" s="22">
        <f>testdata4[[#This Row],[%K]]-100</f>
        <v>-8.6438152011922966</v>
      </c>
      <c r="N524" s="12">
        <v>522</v>
      </c>
      <c r="O524" s="13">
        <v>45670</v>
      </c>
      <c r="P524" s="23" t="s">
        <v>525</v>
      </c>
      <c r="Q524" s="22">
        <f>IF(testdata4[[#This Row],[%R]]&lt;&gt;Table25[[#This Row],[%R]],testdata4[[#This Row],[%R]]-Table25[[#This Row],[%R]],"")</f>
        <v>-7.1054273576010019E-15</v>
      </c>
      <c r="R524" s="11" t="str">
        <f>IF(OR(Table25[[#This Row],[%R]]&lt;-100,Table25[[#This Row],[%R]]&gt;0),"RANGE_ERR","")</f>
        <v>RANGE_ERR</v>
      </c>
    </row>
    <row r="525" spans="1:18" x14ac:dyDescent="0.35">
      <c r="A525" s="6">
        <v>523</v>
      </c>
      <c r="B525" s="3">
        <v>45671</v>
      </c>
      <c r="C525" s="2">
        <v>142</v>
      </c>
      <c r="D525" s="2">
        <v>145.38</v>
      </c>
      <c r="E525" s="2">
        <v>140.15</v>
      </c>
      <c r="F525" s="2">
        <v>143.43</v>
      </c>
      <c r="G525" s="1">
        <v>2445434</v>
      </c>
      <c r="H525" s="2">
        <f t="shared" si="20"/>
        <v>132.755</v>
      </c>
      <c r="I525" s="2">
        <f t="shared" si="21"/>
        <v>145.38</v>
      </c>
      <c r="J525" s="22">
        <f>100*(testdata4[[#This Row],[close]]-testdata4[[#This Row],[LL]])/(testdata4[[#This Row],[HH]]-testdata4[[#This Row],[LL]])</f>
        <v>84.554455445544647</v>
      </c>
      <c r="K525" s="22">
        <f>testdata4[[#This Row],[K(14)'']]</f>
        <v>84.554455445544647</v>
      </c>
      <c r="L525" s="22">
        <f>testdata4[[#This Row],[%K]]-100</f>
        <v>-15.445544554455353</v>
      </c>
      <c r="N525" s="12">
        <v>523</v>
      </c>
      <c r="O525" s="13">
        <v>45671</v>
      </c>
      <c r="P525" s="23" t="s">
        <v>526</v>
      </c>
      <c r="Q525" s="22">
        <f>IF(testdata4[[#This Row],[%R]]&lt;&gt;Table25[[#This Row],[%R]],testdata4[[#This Row],[%R]]-Table25[[#This Row],[%R]],"")</f>
        <v>-5.3290705182007514E-14</v>
      </c>
      <c r="R525" s="11" t="str">
        <f>IF(OR(Table25[[#This Row],[%R]]&lt;-100,Table25[[#This Row],[%R]]&gt;0),"RANGE_ERR","")</f>
        <v>RANGE_ERR</v>
      </c>
    </row>
    <row r="526" spans="1:18" x14ac:dyDescent="0.35">
      <c r="A526" s="6">
        <v>524</v>
      </c>
      <c r="B526" s="3">
        <v>45672</v>
      </c>
      <c r="C526" s="2">
        <v>144.13999999999999</v>
      </c>
      <c r="D526" s="2">
        <v>146.5</v>
      </c>
      <c r="E526" s="2">
        <v>138.68</v>
      </c>
      <c r="F526" s="2">
        <v>142.22999999999999</v>
      </c>
      <c r="G526" s="1">
        <v>2328643</v>
      </c>
      <c r="H526" s="2">
        <f t="shared" si="20"/>
        <v>132.755</v>
      </c>
      <c r="I526" s="2">
        <f t="shared" si="21"/>
        <v>146.5</v>
      </c>
      <c r="J526" s="22">
        <f>100*(testdata4[[#This Row],[close]]-testdata4[[#This Row],[LL]])/(testdata4[[#This Row],[HH]]-testdata4[[#This Row],[LL]])</f>
        <v>68.934157875591055</v>
      </c>
      <c r="K526" s="22">
        <f>testdata4[[#This Row],[K(14)'']]</f>
        <v>68.934157875591055</v>
      </c>
      <c r="L526" s="22">
        <f>testdata4[[#This Row],[%K]]-100</f>
        <v>-31.065842124408945</v>
      </c>
      <c r="N526" s="12">
        <v>524</v>
      </c>
      <c r="O526" s="13">
        <v>45672</v>
      </c>
      <c r="P526" s="23" t="s">
        <v>527</v>
      </c>
      <c r="Q526" s="22">
        <f>IF(testdata4[[#This Row],[%R]]&lt;&gt;Table25[[#This Row],[%R]],testdata4[[#This Row],[%R]]-Table25[[#This Row],[%R]],"")</f>
        <v>-4.6185277824406512E-14</v>
      </c>
      <c r="R526" s="11" t="str">
        <f>IF(OR(Table25[[#This Row],[%R]]&lt;-100,Table25[[#This Row],[%R]]&gt;0),"RANGE_ERR","")</f>
        <v>RANGE_ERR</v>
      </c>
    </row>
    <row r="527" spans="1:18" x14ac:dyDescent="0.35">
      <c r="A527" s="6">
        <v>525</v>
      </c>
      <c r="B527" s="3">
        <v>45673</v>
      </c>
      <c r="C527" s="2">
        <v>142.78</v>
      </c>
      <c r="D527" s="2">
        <v>145.11000000000001</v>
      </c>
      <c r="E527" s="2">
        <v>140.43</v>
      </c>
      <c r="F527" s="2">
        <v>144.72</v>
      </c>
      <c r="G527" s="1">
        <v>1661474</v>
      </c>
      <c r="H527" s="2">
        <f t="shared" si="20"/>
        <v>132.755</v>
      </c>
      <c r="I527" s="2">
        <f t="shared" si="21"/>
        <v>146.5</v>
      </c>
      <c r="J527" s="22">
        <f>100*(testdata4[[#This Row],[close]]-testdata4[[#This Row],[LL]])/(testdata4[[#This Row],[HH]]-testdata4[[#This Row],[LL]])</f>
        <v>87.049836304110585</v>
      </c>
      <c r="K527" s="22">
        <f>testdata4[[#This Row],[K(14)'']]</f>
        <v>87.049836304110585</v>
      </c>
      <c r="L527" s="22">
        <f>testdata4[[#This Row],[%K]]-100</f>
        <v>-12.950163695889415</v>
      </c>
      <c r="N527" s="12">
        <v>525</v>
      </c>
      <c r="O527" s="13">
        <v>45673</v>
      </c>
      <c r="P527" s="23" t="s">
        <v>528</v>
      </c>
      <c r="Q527" s="22">
        <f>IF(testdata4[[#This Row],[%R]]&lt;&gt;Table25[[#This Row],[%R]],testdata4[[#This Row],[%R]]-Table25[[#This Row],[%R]],"")</f>
        <v>-1.5987211554602254E-14</v>
      </c>
      <c r="R527" s="11" t="str">
        <f>IF(OR(Table25[[#This Row],[%R]]&lt;-100,Table25[[#This Row],[%R]]&gt;0),"RANGE_ERR","")</f>
        <v>RANGE_ERR</v>
      </c>
    </row>
    <row r="528" spans="1:18" x14ac:dyDescent="0.35">
      <c r="A528" s="6">
        <v>526</v>
      </c>
      <c r="B528" s="3">
        <v>45674</v>
      </c>
      <c r="C528" s="2">
        <v>145.88</v>
      </c>
      <c r="D528" s="2">
        <v>148.46</v>
      </c>
      <c r="E528" s="2">
        <v>145.19499999999999</v>
      </c>
      <c r="F528" s="2">
        <v>147.36000000000001</v>
      </c>
      <c r="G528" s="1">
        <v>3210310</v>
      </c>
      <c r="H528" s="2">
        <f t="shared" si="20"/>
        <v>132.755</v>
      </c>
      <c r="I528" s="2">
        <f t="shared" si="21"/>
        <v>148.46</v>
      </c>
      <c r="J528" s="22">
        <f>100*(testdata4[[#This Row],[close]]-testdata4[[#This Row],[LL]])/(testdata4[[#This Row],[HH]]-testdata4[[#This Row],[LL]])</f>
        <v>92.995861190703636</v>
      </c>
      <c r="K528" s="22">
        <f>testdata4[[#This Row],[K(14)'']]</f>
        <v>92.995861190703636</v>
      </c>
      <c r="L528" s="22">
        <f>testdata4[[#This Row],[%K]]-100</f>
        <v>-7.0041388092963643</v>
      </c>
      <c r="N528" s="12">
        <v>526</v>
      </c>
      <c r="O528" s="13">
        <v>45674</v>
      </c>
      <c r="P528" s="23" t="s">
        <v>529</v>
      </c>
      <c r="Q528" s="22">
        <f>IF(testdata4[[#This Row],[%R]]&lt;&gt;Table25[[#This Row],[%R]],testdata4[[#This Row],[%R]]-Table25[[#This Row],[%R]],"")</f>
        <v>-4.4408920985006262E-15</v>
      </c>
      <c r="R528" s="11" t="str">
        <f>IF(OR(Table25[[#This Row],[%R]]&lt;-100,Table25[[#This Row],[%R]]&gt;0),"RANGE_ERR","")</f>
        <v>RANGE_ERR</v>
      </c>
    </row>
    <row r="529" spans="1:18" x14ac:dyDescent="0.35">
      <c r="A529" s="6">
        <v>527</v>
      </c>
      <c r="B529" s="3">
        <v>45678</v>
      </c>
      <c r="C529" s="2">
        <v>148.66999999999999</v>
      </c>
      <c r="D529" s="2">
        <v>153.18</v>
      </c>
      <c r="E529" s="2">
        <v>148.01</v>
      </c>
      <c r="F529" s="2">
        <v>152.57</v>
      </c>
      <c r="G529" s="1">
        <v>2759636</v>
      </c>
      <c r="H529" s="2">
        <f t="shared" si="20"/>
        <v>132.755</v>
      </c>
      <c r="I529" s="2">
        <f t="shared" si="21"/>
        <v>153.18</v>
      </c>
      <c r="J529" s="22">
        <f>100*(testdata4[[#This Row],[close]]-testdata4[[#This Row],[LL]])/(testdata4[[#This Row],[HH]]-testdata4[[#This Row],[LL]])</f>
        <v>97.013463892288797</v>
      </c>
      <c r="K529" s="22">
        <f>testdata4[[#This Row],[K(14)'']]</f>
        <v>97.013463892288797</v>
      </c>
      <c r="L529" s="22">
        <f>testdata4[[#This Row],[%K]]-100</f>
        <v>-2.9865361077112027</v>
      </c>
      <c r="N529" s="12">
        <v>527</v>
      </c>
      <c r="O529" s="13">
        <v>45678</v>
      </c>
      <c r="P529" s="23" t="s">
        <v>530</v>
      </c>
      <c r="Q529" s="22">
        <f>IF(testdata4[[#This Row],[%R]]&lt;&gt;Table25[[#This Row],[%R]],testdata4[[#This Row],[%R]]-Table25[[#This Row],[%R]],"")</f>
        <v>-2.6645352591003757E-15</v>
      </c>
      <c r="R529" s="11" t="str">
        <f>IF(OR(Table25[[#This Row],[%R]]&lt;-100,Table25[[#This Row],[%R]]&gt;0),"RANGE_ERR","")</f>
        <v>RANGE_ERR</v>
      </c>
    </row>
    <row r="530" spans="1:18" x14ac:dyDescent="0.35">
      <c r="A530" s="6">
        <v>528</v>
      </c>
      <c r="B530" s="3">
        <v>45679</v>
      </c>
      <c r="C530" s="2">
        <v>152.83000000000001</v>
      </c>
      <c r="D530" s="2">
        <v>153.76</v>
      </c>
      <c r="E530" s="2">
        <v>151.72</v>
      </c>
      <c r="F530" s="2">
        <v>152.6</v>
      </c>
      <c r="G530" s="1">
        <v>1730996</v>
      </c>
      <c r="H530" s="2">
        <f t="shared" si="20"/>
        <v>132.755</v>
      </c>
      <c r="I530" s="2">
        <f t="shared" si="21"/>
        <v>153.76</v>
      </c>
      <c r="J530" s="22">
        <f>100*(testdata4[[#This Row],[close]]-testdata4[[#This Row],[LL]])/(testdata4[[#This Row],[HH]]-testdata4[[#This Row],[LL]])</f>
        <v>94.477505355867677</v>
      </c>
      <c r="K530" s="22">
        <f>testdata4[[#This Row],[K(14)'']]</f>
        <v>94.477505355867677</v>
      </c>
      <c r="L530" s="22">
        <f>testdata4[[#This Row],[%K]]-100</f>
        <v>-5.5224946441323226</v>
      </c>
      <c r="N530" s="12">
        <v>528</v>
      </c>
      <c r="O530" s="13">
        <v>45679</v>
      </c>
      <c r="P530" s="23" t="s">
        <v>531</v>
      </c>
      <c r="Q530" s="22">
        <f>IF(testdata4[[#This Row],[%R]]&lt;&gt;Table25[[#This Row],[%R]],testdata4[[#This Row],[%R]]-Table25[[#This Row],[%R]],"")</f>
        <v>-2.6645352591003757E-15</v>
      </c>
      <c r="R530" s="11" t="str">
        <f>IF(OR(Table25[[#This Row],[%R]]&lt;-100,Table25[[#This Row],[%R]]&gt;0),"RANGE_ERR","")</f>
        <v>RANGE_ERR</v>
      </c>
    </row>
    <row r="531" spans="1:18" x14ac:dyDescent="0.35">
      <c r="A531" s="6">
        <v>529</v>
      </c>
      <c r="B531" s="3">
        <v>45680</v>
      </c>
      <c r="C531" s="2">
        <v>152.83000000000001</v>
      </c>
      <c r="D531" s="2">
        <v>152.95500000000001</v>
      </c>
      <c r="E531" s="2">
        <v>148.18</v>
      </c>
      <c r="F531" s="2">
        <v>152.44999999999999</v>
      </c>
      <c r="G531" s="1">
        <v>1332235</v>
      </c>
      <c r="H531" s="2">
        <f t="shared" si="20"/>
        <v>132.755</v>
      </c>
      <c r="I531" s="2">
        <f t="shared" si="21"/>
        <v>153.76</v>
      </c>
      <c r="J531" s="22">
        <f>100*(testdata4[[#This Row],[close]]-testdata4[[#This Row],[LL]])/(testdata4[[#This Row],[HH]]-testdata4[[#This Row],[LL]])</f>
        <v>93.763389669126383</v>
      </c>
      <c r="K531" s="22">
        <f>testdata4[[#This Row],[K(14)'']]</f>
        <v>93.763389669126383</v>
      </c>
      <c r="L531" s="22">
        <f>testdata4[[#This Row],[%K]]-100</f>
        <v>-6.2366103308736172</v>
      </c>
      <c r="N531" s="12">
        <v>529</v>
      </c>
      <c r="O531" s="13">
        <v>45680</v>
      </c>
      <c r="P531" s="23" t="s">
        <v>532</v>
      </c>
      <c r="Q531" s="22">
        <f>IF(testdata4[[#This Row],[%R]]&lt;&gt;Table25[[#This Row],[%R]],testdata4[[#This Row],[%R]]-Table25[[#This Row],[%R]],"")</f>
        <v>-7.1054273576010019E-15</v>
      </c>
      <c r="R531" s="11" t="str">
        <f>IF(OR(Table25[[#This Row],[%R]]&lt;-100,Table25[[#This Row],[%R]]&gt;0),"RANGE_ERR","")</f>
        <v>RANGE_ERR</v>
      </c>
    </row>
    <row r="532" spans="1:18" x14ac:dyDescent="0.35">
      <c r="A532" s="6">
        <v>530</v>
      </c>
      <c r="B532" s="3">
        <v>45681</v>
      </c>
      <c r="C532" s="2">
        <v>152.1</v>
      </c>
      <c r="D532" s="2">
        <v>152.77000000000001</v>
      </c>
      <c r="E532" s="2">
        <v>150.78</v>
      </c>
      <c r="F532" s="2">
        <v>151.44</v>
      </c>
      <c r="G532" s="1">
        <v>1844887</v>
      </c>
      <c r="H532" s="2">
        <f t="shared" si="20"/>
        <v>132.755</v>
      </c>
      <c r="I532" s="2">
        <f t="shared" si="21"/>
        <v>153.76</v>
      </c>
      <c r="J532" s="22">
        <f>100*(testdata4[[#This Row],[close]]-testdata4[[#This Row],[LL]])/(testdata4[[#This Row],[HH]]-testdata4[[#This Row],[LL]])</f>
        <v>88.955010711735326</v>
      </c>
      <c r="K532" s="22">
        <f>testdata4[[#This Row],[K(14)'']]</f>
        <v>88.955010711735326</v>
      </c>
      <c r="L532" s="22">
        <f>testdata4[[#This Row],[%K]]-100</f>
        <v>-11.044989288264674</v>
      </c>
      <c r="N532" s="12">
        <v>530</v>
      </c>
      <c r="O532" s="13">
        <v>45681</v>
      </c>
      <c r="P532" s="23" t="s">
        <v>533</v>
      </c>
      <c r="Q532" s="22">
        <f>IF(testdata4[[#This Row],[%R]]&lt;&gt;Table25[[#This Row],[%R]],testdata4[[#This Row],[%R]]-Table25[[#This Row],[%R]],"")</f>
        <v>-7.2830630415410269E-14</v>
      </c>
      <c r="R532" s="11" t="str">
        <f>IF(OR(Table25[[#This Row],[%R]]&lt;-100,Table25[[#This Row],[%R]]&gt;0),"RANGE_ERR","")</f>
        <v>RANGE_ERR</v>
      </c>
    </row>
    <row r="533" spans="1:18" x14ac:dyDescent="0.35">
      <c r="A533" s="6">
        <v>531</v>
      </c>
      <c r="B533" s="3">
        <v>45684</v>
      </c>
      <c r="C533" s="2">
        <v>151.56</v>
      </c>
      <c r="D533" s="2">
        <v>152.22</v>
      </c>
      <c r="E533" s="2">
        <v>148.73009999999999</v>
      </c>
      <c r="F533" s="2">
        <v>150.96</v>
      </c>
      <c r="G533" s="1">
        <v>2229590</v>
      </c>
      <c r="H533" s="2">
        <f t="shared" si="20"/>
        <v>134.709</v>
      </c>
      <c r="I533" s="2">
        <f t="shared" si="21"/>
        <v>153.76</v>
      </c>
      <c r="J533" s="22">
        <f>100*(testdata4[[#This Row],[close]]-testdata4[[#This Row],[LL]])/(testdata4[[#This Row],[HH]]-testdata4[[#This Row],[LL]])</f>
        <v>85.302608786940397</v>
      </c>
      <c r="K533" s="22">
        <f>testdata4[[#This Row],[K(14)'']]</f>
        <v>85.302608786940397</v>
      </c>
      <c r="L533" s="22">
        <f>testdata4[[#This Row],[%K]]-100</f>
        <v>-14.697391213059603</v>
      </c>
      <c r="N533" s="12">
        <v>531</v>
      </c>
      <c r="O533" s="13">
        <v>45684</v>
      </c>
      <c r="P533" s="23" t="s">
        <v>534</v>
      </c>
      <c r="Q533" s="22">
        <f>IF(testdata4[[#This Row],[%R]]&lt;&gt;Table25[[#This Row],[%R]],testdata4[[#This Row],[%R]]-Table25[[#This Row],[%R]],"")</f>
        <v>-3.5527136788005009E-15</v>
      </c>
      <c r="R533" s="11" t="str">
        <f>IF(OR(Table25[[#This Row],[%R]]&lt;-100,Table25[[#This Row],[%R]]&gt;0),"RANGE_ERR","")</f>
        <v>RANGE_ERR</v>
      </c>
    </row>
    <row r="534" spans="1:18" x14ac:dyDescent="0.35">
      <c r="A534" s="6">
        <v>532</v>
      </c>
      <c r="B534" s="3">
        <v>45685</v>
      </c>
      <c r="C534" s="2">
        <v>152.61000000000001</v>
      </c>
      <c r="D534" s="2">
        <v>153.24</v>
      </c>
      <c r="E534" s="2">
        <v>150.21</v>
      </c>
      <c r="F534" s="2">
        <v>150.34</v>
      </c>
      <c r="G534" s="1">
        <v>1791623</v>
      </c>
      <c r="H534" s="2">
        <f t="shared" si="20"/>
        <v>134.709</v>
      </c>
      <c r="I534" s="2">
        <f t="shared" si="21"/>
        <v>153.76</v>
      </c>
      <c r="J534" s="22">
        <f>100*(testdata4[[#This Row],[close]]-testdata4[[#This Row],[LL]])/(testdata4[[#This Row],[HH]]-testdata4[[#This Row],[LL]])</f>
        <v>82.048186446905717</v>
      </c>
      <c r="K534" s="22">
        <f>testdata4[[#This Row],[K(14)'']]</f>
        <v>82.048186446905717</v>
      </c>
      <c r="L534" s="22">
        <f>testdata4[[#This Row],[%K]]-100</f>
        <v>-17.951813553094283</v>
      </c>
      <c r="N534" s="12">
        <v>532</v>
      </c>
      <c r="O534" s="13">
        <v>45685</v>
      </c>
      <c r="P534" s="23" t="s">
        <v>535</v>
      </c>
      <c r="Q534" s="22">
        <f>IF(testdata4[[#This Row],[%R]]&lt;&gt;Table25[[#This Row],[%R]],testdata4[[#This Row],[%R]]-Table25[[#This Row],[%R]],"")</f>
        <v>-8.1712414612411521E-14</v>
      </c>
      <c r="R534" s="11" t="str">
        <f>IF(OR(Table25[[#This Row],[%R]]&lt;-100,Table25[[#This Row],[%R]]&gt;0),"RANGE_ERR","")</f>
        <v>RANGE_ERR</v>
      </c>
    </row>
    <row r="535" spans="1:18" x14ac:dyDescent="0.35">
      <c r="A535" s="6">
        <v>533</v>
      </c>
      <c r="B535" s="3">
        <v>45686</v>
      </c>
      <c r="C535" s="2">
        <v>148.99</v>
      </c>
      <c r="D535" s="2">
        <v>149.9</v>
      </c>
      <c r="E535" s="2">
        <v>146.55000000000001</v>
      </c>
      <c r="F535" s="2">
        <v>147.09</v>
      </c>
      <c r="G535" s="1">
        <v>1583243</v>
      </c>
      <c r="H535" s="2">
        <f t="shared" si="20"/>
        <v>134.709</v>
      </c>
      <c r="I535" s="2">
        <f t="shared" si="21"/>
        <v>153.76</v>
      </c>
      <c r="J535" s="22">
        <f>100*(testdata4[[#This Row],[close]]-testdata4[[#This Row],[LL]])/(testdata4[[#This Row],[HH]]-testdata4[[#This Row],[LL]])</f>
        <v>64.988714503175729</v>
      </c>
      <c r="K535" s="22">
        <f>testdata4[[#This Row],[K(14)'']]</f>
        <v>64.988714503175729</v>
      </c>
      <c r="L535" s="22">
        <f>testdata4[[#This Row],[%K]]-100</f>
        <v>-35.011285496824271</v>
      </c>
      <c r="N535" s="12">
        <v>533</v>
      </c>
      <c r="O535" s="13">
        <v>45686</v>
      </c>
      <c r="P535" s="23" t="s">
        <v>536</v>
      </c>
      <c r="Q535" s="22">
        <f>IF(testdata4[[#This Row],[%R]]&lt;&gt;Table25[[#This Row],[%R]],testdata4[[#This Row],[%R]]-Table25[[#This Row],[%R]],"")</f>
        <v>-7.1054273576010019E-14</v>
      </c>
      <c r="R535" s="11" t="str">
        <f>IF(OR(Table25[[#This Row],[%R]]&lt;-100,Table25[[#This Row],[%R]]&gt;0),"RANGE_ERR","")</f>
        <v>RANGE_ERR</v>
      </c>
    </row>
    <row r="536" spans="1:18" x14ac:dyDescent="0.35">
      <c r="A536" s="6">
        <v>534</v>
      </c>
      <c r="B536" s="3">
        <v>45687</v>
      </c>
      <c r="C536" s="2">
        <v>148.94999999999999</v>
      </c>
      <c r="D536" s="2">
        <v>152.47999999999999</v>
      </c>
      <c r="E536" s="2">
        <v>147.65</v>
      </c>
      <c r="F536" s="2">
        <v>151.38</v>
      </c>
      <c r="G536" s="1">
        <v>1496057</v>
      </c>
      <c r="H536" s="2">
        <f t="shared" si="20"/>
        <v>134.709</v>
      </c>
      <c r="I536" s="2">
        <f t="shared" si="21"/>
        <v>153.76</v>
      </c>
      <c r="J536" s="22">
        <f>100*(testdata4[[#This Row],[close]]-testdata4[[#This Row],[LL]])/(testdata4[[#This Row],[HH]]-testdata4[[#This Row],[LL]])</f>
        <v>87.507217468899285</v>
      </c>
      <c r="K536" s="22">
        <f>testdata4[[#This Row],[K(14)'']]</f>
        <v>87.507217468899285</v>
      </c>
      <c r="L536" s="22">
        <f>testdata4[[#This Row],[%K]]-100</f>
        <v>-12.492782531100715</v>
      </c>
      <c r="N536" s="12">
        <v>534</v>
      </c>
      <c r="O536" s="13">
        <v>45687</v>
      </c>
      <c r="P536" s="23" t="s">
        <v>537</v>
      </c>
      <c r="Q536" s="22">
        <f>IF(testdata4[[#This Row],[%R]]&lt;&gt;Table25[[#This Row],[%R]],testdata4[[#This Row],[%R]]-Table25[[#This Row],[%R]],"")</f>
        <v>-1.5987211554602254E-14</v>
      </c>
      <c r="R536" s="11" t="str">
        <f>IF(OR(Table25[[#This Row],[%R]]&lt;-100,Table25[[#This Row],[%R]]&gt;0),"RANGE_ERR","")</f>
        <v>RANGE_ERR</v>
      </c>
    </row>
    <row r="537" spans="1:18" x14ac:dyDescent="0.35">
      <c r="A537" s="6">
        <v>535</v>
      </c>
      <c r="B537" s="3">
        <v>45688</v>
      </c>
      <c r="C537" s="2">
        <v>150.96</v>
      </c>
      <c r="D537" s="2">
        <v>153.84</v>
      </c>
      <c r="E537" s="2">
        <v>150.5</v>
      </c>
      <c r="F537" s="2">
        <v>151.52000000000001</v>
      </c>
      <c r="G537" s="1">
        <v>1886605</v>
      </c>
      <c r="H537" s="2">
        <f t="shared" si="20"/>
        <v>137</v>
      </c>
      <c r="I537" s="2">
        <f t="shared" si="21"/>
        <v>153.84</v>
      </c>
      <c r="J537" s="22">
        <f>100*(testdata4[[#This Row],[close]]-testdata4[[#This Row],[LL]])/(testdata4[[#This Row],[HH]]-testdata4[[#This Row],[LL]])</f>
        <v>86.223277909738755</v>
      </c>
      <c r="K537" s="22">
        <f>testdata4[[#This Row],[K(14)'']]</f>
        <v>86.223277909738755</v>
      </c>
      <c r="L537" s="22">
        <f>testdata4[[#This Row],[%K]]-100</f>
        <v>-13.776722090261245</v>
      </c>
      <c r="N537" s="12">
        <v>535</v>
      </c>
      <c r="O537" s="13">
        <v>45688</v>
      </c>
      <c r="P537" s="23" t="s">
        <v>538</v>
      </c>
      <c r="Q537" s="22">
        <f>IF(testdata4[[#This Row],[%R]]&lt;&gt;Table25[[#This Row],[%R]],testdata4[[#This Row],[%R]]-Table25[[#This Row],[%R]],"")</f>
        <v>-4.4408920985006262E-14</v>
      </c>
      <c r="R537" s="11" t="str">
        <f>IF(OR(Table25[[#This Row],[%R]]&lt;-100,Table25[[#This Row],[%R]]&gt;0),"RANGE_ERR","")</f>
        <v>RANGE_ERR</v>
      </c>
    </row>
    <row r="538" spans="1:18" x14ac:dyDescent="0.35">
      <c r="A538" s="6">
        <v>536</v>
      </c>
      <c r="B538" s="3">
        <v>45691</v>
      </c>
      <c r="C538" s="2">
        <v>149.76</v>
      </c>
      <c r="D538" s="2">
        <v>150.315</v>
      </c>
      <c r="E538" s="2">
        <v>147.88</v>
      </c>
      <c r="F538" s="2">
        <v>148.63</v>
      </c>
      <c r="G538" s="1">
        <v>1633279</v>
      </c>
      <c r="H538" s="2">
        <f t="shared" si="20"/>
        <v>138.68</v>
      </c>
      <c r="I538" s="2">
        <f t="shared" si="21"/>
        <v>153.84</v>
      </c>
      <c r="J538" s="22">
        <f>100*(testdata4[[#This Row],[close]]-testdata4[[#This Row],[LL]])/(testdata4[[#This Row],[HH]]-testdata4[[#This Row],[LL]])</f>
        <v>65.633245382585699</v>
      </c>
      <c r="K538" s="22">
        <f>testdata4[[#This Row],[K(14)'']]</f>
        <v>65.633245382585699</v>
      </c>
      <c r="L538" s="22">
        <f>testdata4[[#This Row],[%K]]-100</f>
        <v>-34.366754617414301</v>
      </c>
      <c r="N538" s="12">
        <v>536</v>
      </c>
      <c r="O538" s="13">
        <v>45691</v>
      </c>
      <c r="P538" s="23" t="s">
        <v>539</v>
      </c>
      <c r="Q538" s="22">
        <f>IF(testdata4[[#This Row],[%R]]&lt;&gt;Table25[[#This Row],[%R]],testdata4[[#This Row],[%R]]-Table25[[#This Row],[%R]],"")</f>
        <v>0</v>
      </c>
      <c r="R538" s="11" t="str">
        <f>IF(OR(Table25[[#This Row],[%R]]&lt;-100,Table25[[#This Row],[%R]]&gt;0),"RANGE_ERR","")</f>
        <v>RANGE_ERR</v>
      </c>
    </row>
    <row r="539" spans="1:18" x14ac:dyDescent="0.35">
      <c r="A539" s="6">
        <v>537</v>
      </c>
      <c r="B539" s="3">
        <v>45692</v>
      </c>
      <c r="C539" s="2">
        <v>148.02000000000001</v>
      </c>
      <c r="D539" s="2">
        <v>148.65</v>
      </c>
      <c r="E539" s="2">
        <v>146.27000000000001</v>
      </c>
      <c r="F539" s="2">
        <v>147.04</v>
      </c>
      <c r="G539" s="1">
        <v>1287477</v>
      </c>
      <c r="H539" s="2">
        <f t="shared" si="20"/>
        <v>138.68</v>
      </c>
      <c r="I539" s="2">
        <f t="shared" si="21"/>
        <v>153.84</v>
      </c>
      <c r="J539" s="22">
        <f>100*(testdata4[[#This Row],[close]]-testdata4[[#This Row],[LL]])/(testdata4[[#This Row],[HH]]-testdata4[[#This Row],[LL]])</f>
        <v>55.14511873350915</v>
      </c>
      <c r="K539" s="22">
        <f>testdata4[[#This Row],[K(14)'']]</f>
        <v>55.14511873350915</v>
      </c>
      <c r="L539" s="22">
        <f>testdata4[[#This Row],[%K]]-100</f>
        <v>-44.85488126649085</v>
      </c>
      <c r="N539" s="12">
        <v>537</v>
      </c>
      <c r="O539" s="13">
        <v>45692</v>
      </c>
      <c r="P539" s="23" t="s">
        <v>540</v>
      </c>
      <c r="Q539" s="22">
        <f>IF(testdata4[[#This Row],[%R]]&lt;&gt;Table25[[#This Row],[%R]],testdata4[[#This Row],[%R]]-Table25[[#This Row],[%R]],"")</f>
        <v>-4.9737991503207013E-14</v>
      </c>
      <c r="R539" s="11" t="str">
        <f>IF(OR(Table25[[#This Row],[%R]]&lt;-100,Table25[[#This Row],[%R]]&gt;0),"RANGE_ERR","")</f>
        <v>RANGE_ERR</v>
      </c>
    </row>
    <row r="540" spans="1:18" x14ac:dyDescent="0.35">
      <c r="A540" s="6">
        <v>538</v>
      </c>
      <c r="B540" s="3">
        <v>45693</v>
      </c>
      <c r="C540" s="2">
        <v>147.88999999999999</v>
      </c>
      <c r="D540" s="2">
        <v>148.71</v>
      </c>
      <c r="E540" s="2">
        <v>146.31</v>
      </c>
      <c r="F540" s="2">
        <v>147.99</v>
      </c>
      <c r="G540" s="1">
        <v>1348074</v>
      </c>
      <c r="H540" s="2">
        <f t="shared" si="20"/>
        <v>140.43</v>
      </c>
      <c r="I540" s="2">
        <f t="shared" si="21"/>
        <v>153.84</v>
      </c>
      <c r="J540" s="22">
        <f>100*(testdata4[[#This Row],[close]]-testdata4[[#This Row],[LL]])/(testdata4[[#This Row],[HH]]-testdata4[[#This Row],[LL]])</f>
        <v>56.375838926174531</v>
      </c>
      <c r="K540" s="22">
        <f>testdata4[[#This Row],[K(14)'']]</f>
        <v>56.375838926174531</v>
      </c>
      <c r="L540" s="22">
        <f>testdata4[[#This Row],[%K]]-100</f>
        <v>-43.624161073825469</v>
      </c>
      <c r="N540" s="12">
        <v>538</v>
      </c>
      <c r="O540" s="13">
        <v>45693</v>
      </c>
      <c r="P540" s="23" t="s">
        <v>541</v>
      </c>
      <c r="Q540" s="22">
        <f>IF(testdata4[[#This Row],[%R]]&lt;&gt;Table25[[#This Row],[%R]],testdata4[[#This Row],[%R]]-Table25[[#This Row],[%R]],"")</f>
        <v>-7.1054273576010019E-14</v>
      </c>
      <c r="R540" s="11" t="str">
        <f>IF(OR(Table25[[#This Row],[%R]]&lt;-100,Table25[[#This Row],[%R]]&gt;0),"RANGE_ERR","")</f>
        <v>RANGE_ERR</v>
      </c>
    </row>
    <row r="541" spans="1:18" x14ac:dyDescent="0.35">
      <c r="A541" s="6">
        <v>539</v>
      </c>
      <c r="B541" s="3">
        <v>45694</v>
      </c>
      <c r="C541" s="2">
        <v>147.02000000000001</v>
      </c>
      <c r="D541" s="2">
        <v>148.61000000000001</v>
      </c>
      <c r="E541" s="2">
        <v>146.19999999999999</v>
      </c>
      <c r="F541" s="2">
        <v>147.63999999999999</v>
      </c>
      <c r="G541" s="1">
        <v>1142978</v>
      </c>
      <c r="H541" s="2">
        <f t="shared" si="20"/>
        <v>145.19499999999999</v>
      </c>
      <c r="I541" s="2">
        <f t="shared" si="21"/>
        <v>153.84</v>
      </c>
      <c r="J541" s="22">
        <f>100*(testdata4[[#This Row],[close]]-testdata4[[#This Row],[LL]])/(testdata4[[#This Row],[HH]]-testdata4[[#This Row],[LL]])</f>
        <v>28.282244071717642</v>
      </c>
      <c r="K541" s="22">
        <f>testdata4[[#This Row],[K(14)'']]</f>
        <v>28.282244071717642</v>
      </c>
      <c r="L541" s="22">
        <f>testdata4[[#This Row],[%K]]-100</f>
        <v>-71.717755928282358</v>
      </c>
      <c r="N541" s="12">
        <v>539</v>
      </c>
      <c r="O541" s="13">
        <v>45694</v>
      </c>
      <c r="P541" s="23" t="s">
        <v>542</v>
      </c>
      <c r="Q541" s="22">
        <f>IF(testdata4[[#This Row],[%R]]&lt;&gt;Table25[[#This Row],[%R]],testdata4[[#This Row],[%R]]-Table25[[#This Row],[%R]],"")</f>
        <v>-5.6843418860808015E-14</v>
      </c>
      <c r="R541" s="11" t="str">
        <f>IF(OR(Table25[[#This Row],[%R]]&lt;-100,Table25[[#This Row],[%R]]&gt;0),"RANGE_ERR","")</f>
        <v>RANGE_ERR</v>
      </c>
    </row>
    <row r="542" spans="1:18" x14ac:dyDescent="0.35">
      <c r="A542" s="6">
        <v>540</v>
      </c>
      <c r="B542" s="3">
        <v>45695</v>
      </c>
      <c r="C542" s="2">
        <v>148.21</v>
      </c>
      <c r="D542" s="2">
        <v>149.38749999999999</v>
      </c>
      <c r="E542" s="2">
        <v>144.41</v>
      </c>
      <c r="F542" s="2">
        <v>145.21</v>
      </c>
      <c r="G542" s="1">
        <v>1551330</v>
      </c>
      <c r="H542" s="2">
        <f t="shared" si="20"/>
        <v>144.41</v>
      </c>
      <c r="I542" s="2">
        <f t="shared" si="21"/>
        <v>153.84</v>
      </c>
      <c r="J542" s="22">
        <f>100*(testdata4[[#This Row],[close]]-testdata4[[#This Row],[LL]])/(testdata4[[#This Row],[HH]]-testdata4[[#This Row],[LL]])</f>
        <v>8.4835630965006441</v>
      </c>
      <c r="K542" s="22">
        <f>testdata4[[#This Row],[K(14)'']]</f>
        <v>8.4835630965006441</v>
      </c>
      <c r="L542" s="22">
        <f>testdata4[[#This Row],[%K]]-100</f>
        <v>-91.516436903499354</v>
      </c>
      <c r="N542" s="12">
        <v>540</v>
      </c>
      <c r="O542" s="13">
        <v>45695</v>
      </c>
      <c r="P542" s="23" t="s">
        <v>543</v>
      </c>
      <c r="Q542" s="22">
        <f>IF(testdata4[[#This Row],[%R]]&lt;&gt;Table25[[#This Row],[%R]],testdata4[[#This Row],[%R]]-Table25[[#This Row],[%R]],"")</f>
        <v>-5.6843418860808015E-14</v>
      </c>
      <c r="R542" s="11" t="str">
        <f>IF(OR(Table25[[#This Row],[%R]]&lt;-100,Table25[[#This Row],[%R]]&gt;0),"RANGE_ERR","")</f>
        <v>RANGE_ERR</v>
      </c>
    </row>
    <row r="543" spans="1:18" x14ac:dyDescent="0.35">
      <c r="A543" s="6">
        <v>541</v>
      </c>
      <c r="B543" s="3">
        <v>45698</v>
      </c>
      <c r="C543" s="2">
        <v>145.58000000000001</v>
      </c>
      <c r="D543" s="2">
        <v>145.85380000000001</v>
      </c>
      <c r="E543" s="2">
        <v>141.83000000000001</v>
      </c>
      <c r="F543" s="2">
        <v>143.69</v>
      </c>
      <c r="G543" s="1">
        <v>1763970</v>
      </c>
      <c r="H543" s="2">
        <f t="shared" si="20"/>
        <v>141.83000000000001</v>
      </c>
      <c r="I543" s="2">
        <f t="shared" si="21"/>
        <v>153.84</v>
      </c>
      <c r="J543" s="22">
        <f>100*(testdata4[[#This Row],[close]]-testdata4[[#This Row],[LL]])/(testdata4[[#This Row],[HH]]-testdata4[[#This Row],[LL]])</f>
        <v>15.487094088259672</v>
      </c>
      <c r="K543" s="22">
        <f>testdata4[[#This Row],[K(14)'']]</f>
        <v>15.487094088259672</v>
      </c>
      <c r="L543" s="22">
        <f>testdata4[[#This Row],[%K]]-100</f>
        <v>-84.512905911740333</v>
      </c>
      <c r="N543" s="12">
        <v>541</v>
      </c>
      <c r="O543" s="13">
        <v>45698</v>
      </c>
      <c r="P543" s="23" t="s">
        <v>544</v>
      </c>
      <c r="Q543" s="22">
        <f>IF(testdata4[[#This Row],[%R]]&lt;&gt;Table25[[#This Row],[%R]],testdata4[[#This Row],[%R]]-Table25[[#This Row],[%R]],"")</f>
        <v>-2.8421709430404007E-14</v>
      </c>
      <c r="R543" s="11" t="str">
        <f>IF(OR(Table25[[#This Row],[%R]]&lt;-100,Table25[[#This Row],[%R]]&gt;0),"RANGE_ERR","")</f>
        <v>RANGE_ERR</v>
      </c>
    </row>
    <row r="544" spans="1:18" x14ac:dyDescent="0.35">
      <c r="A544" s="6">
        <v>542</v>
      </c>
      <c r="B544" s="3">
        <v>45699</v>
      </c>
      <c r="C544" s="2">
        <v>142.22999999999999</v>
      </c>
      <c r="D544" s="2">
        <v>144.19999999999999</v>
      </c>
      <c r="E544" s="2">
        <v>141.3175</v>
      </c>
      <c r="F544" s="2">
        <v>141.75</v>
      </c>
      <c r="G544" s="1">
        <v>1134256</v>
      </c>
      <c r="H544" s="2">
        <f t="shared" si="20"/>
        <v>141.3175</v>
      </c>
      <c r="I544" s="2">
        <f t="shared" si="21"/>
        <v>153.84</v>
      </c>
      <c r="J544" s="22">
        <f>100*(testdata4[[#This Row],[close]]-testdata4[[#This Row],[LL]])/(testdata4[[#This Row],[HH]]-testdata4[[#This Row],[LL]])</f>
        <v>3.4537831902575706</v>
      </c>
      <c r="K544" s="22">
        <f>testdata4[[#This Row],[K(14)'']]</f>
        <v>3.4537831902575706</v>
      </c>
      <c r="L544" s="22">
        <f>testdata4[[#This Row],[%K]]-100</f>
        <v>-96.546216809742432</v>
      </c>
      <c r="N544" s="12">
        <v>542</v>
      </c>
      <c r="O544" s="13">
        <v>45699</v>
      </c>
      <c r="P544" s="23" t="s">
        <v>545</v>
      </c>
      <c r="Q544" s="22">
        <f>IF(testdata4[[#This Row],[%R]]&lt;&gt;Table25[[#This Row],[%R]],testdata4[[#This Row],[%R]]-Table25[[#This Row],[%R]],"")</f>
        <v>-2.8421709430404007E-14</v>
      </c>
      <c r="R544" s="11" t="str">
        <f>IF(OR(Table25[[#This Row],[%R]]&lt;-100,Table25[[#This Row],[%R]]&gt;0),"RANGE_ERR","")</f>
        <v>RANGE_ERR</v>
      </c>
    </row>
    <row r="545" spans="1:18" x14ac:dyDescent="0.35">
      <c r="A545" s="6">
        <v>543</v>
      </c>
      <c r="B545" s="3">
        <v>45700</v>
      </c>
      <c r="C545" s="2">
        <v>138.78</v>
      </c>
      <c r="D545" s="2">
        <v>139.80000000000001</v>
      </c>
      <c r="E545" s="2">
        <v>136.4</v>
      </c>
      <c r="F545" s="2">
        <v>138.08000000000001</v>
      </c>
      <c r="G545" s="1">
        <v>2103555</v>
      </c>
      <c r="H545" s="2">
        <f t="shared" si="20"/>
        <v>136.4</v>
      </c>
      <c r="I545" s="2">
        <f t="shared" si="21"/>
        <v>153.84</v>
      </c>
      <c r="J545" s="22">
        <f>100*(testdata4[[#This Row],[close]]-testdata4[[#This Row],[LL]])/(testdata4[[#This Row],[HH]]-testdata4[[#This Row],[LL]])</f>
        <v>9.6330275229358193</v>
      </c>
      <c r="K545" s="22">
        <f>testdata4[[#This Row],[K(14)'']]</f>
        <v>9.6330275229358193</v>
      </c>
      <c r="L545" s="22">
        <f>testdata4[[#This Row],[%K]]-100</f>
        <v>-90.366972477064181</v>
      </c>
      <c r="N545" s="12">
        <v>543</v>
      </c>
      <c r="O545" s="13">
        <v>45700</v>
      </c>
      <c r="P545" s="23" t="s">
        <v>546</v>
      </c>
      <c r="Q545" s="22">
        <f>IF(testdata4[[#This Row],[%R]]&lt;&gt;Table25[[#This Row],[%R]],testdata4[[#This Row],[%R]]-Table25[[#This Row],[%R]],"")</f>
        <v>-8.5265128291212022E-14</v>
      </c>
      <c r="R545" s="11" t="str">
        <f>IF(OR(Table25[[#This Row],[%R]]&lt;-100,Table25[[#This Row],[%R]]&gt;0),"RANGE_ERR","")</f>
        <v>RANGE_ERR</v>
      </c>
    </row>
    <row r="546" spans="1:18" x14ac:dyDescent="0.35">
      <c r="A546" s="6">
        <v>544</v>
      </c>
      <c r="B546" s="3">
        <v>45701</v>
      </c>
      <c r="C546" s="2">
        <v>138.27000000000001</v>
      </c>
      <c r="D546" s="2">
        <v>138.34540000000001</v>
      </c>
      <c r="E546" s="2">
        <v>136.06</v>
      </c>
      <c r="F546" s="2">
        <v>136.44999999999999</v>
      </c>
      <c r="G546" s="1">
        <v>1395435</v>
      </c>
      <c r="H546" s="2">
        <f t="shared" si="20"/>
        <v>136.06</v>
      </c>
      <c r="I546" s="2">
        <f t="shared" si="21"/>
        <v>153.84</v>
      </c>
      <c r="J546" s="22">
        <f>100*(testdata4[[#This Row],[close]]-testdata4[[#This Row],[LL]])/(testdata4[[#This Row],[HH]]-testdata4[[#This Row],[LL]])</f>
        <v>2.1934758155229828</v>
      </c>
      <c r="K546" s="22">
        <f>testdata4[[#This Row],[K(14)'']]</f>
        <v>2.1934758155229828</v>
      </c>
      <c r="L546" s="22">
        <f>testdata4[[#This Row],[%K]]-100</f>
        <v>-97.806524184477013</v>
      </c>
      <c r="N546" s="12">
        <v>544</v>
      </c>
      <c r="O546" s="13">
        <v>45701</v>
      </c>
      <c r="P546" s="23" t="s">
        <v>547</v>
      </c>
      <c r="Q546" s="22">
        <f>IF(testdata4[[#This Row],[%R]]&lt;&gt;Table25[[#This Row],[%R]],testdata4[[#This Row],[%R]]-Table25[[#This Row],[%R]],"")</f>
        <v>-1.4210854715202004E-14</v>
      </c>
      <c r="R546" s="11" t="str">
        <f>IF(OR(Table25[[#This Row],[%R]]&lt;-100,Table25[[#This Row],[%R]]&gt;0),"RANGE_ERR","")</f>
        <v>RANGE_ERR</v>
      </c>
    </row>
    <row r="547" spans="1:18" x14ac:dyDescent="0.35">
      <c r="A547" s="6">
        <v>545</v>
      </c>
      <c r="B547" s="3">
        <v>45702</v>
      </c>
      <c r="C547" s="2">
        <v>136.99</v>
      </c>
      <c r="D547" s="2">
        <v>137.16</v>
      </c>
      <c r="E547" s="2">
        <v>134.31</v>
      </c>
      <c r="F547" s="2">
        <v>134.66999999999999</v>
      </c>
      <c r="G547" s="1">
        <v>1358730</v>
      </c>
      <c r="H547" s="2">
        <f t="shared" si="20"/>
        <v>134.31</v>
      </c>
      <c r="I547" s="2">
        <f t="shared" si="21"/>
        <v>153.84</v>
      </c>
      <c r="J547" s="22">
        <f>100*(testdata4[[#This Row],[close]]-testdata4[[#This Row],[LL]])/(testdata4[[#This Row],[HH]]-testdata4[[#This Row],[LL]])</f>
        <v>1.8433179723501547</v>
      </c>
      <c r="K547" s="22">
        <f>testdata4[[#This Row],[K(14)'']]</f>
        <v>1.8433179723501547</v>
      </c>
      <c r="L547" s="22">
        <f>testdata4[[#This Row],[%K]]-100</f>
        <v>-98.15668202764985</v>
      </c>
      <c r="N547" s="12">
        <v>545</v>
      </c>
      <c r="O547" s="13">
        <v>45702</v>
      </c>
      <c r="P547" s="23" t="s">
        <v>548</v>
      </c>
      <c r="Q547" s="22">
        <f>IF(testdata4[[#This Row],[%R]]&lt;&gt;Table25[[#This Row],[%R]],testdata4[[#This Row],[%R]]-Table25[[#This Row],[%R]],"")</f>
        <v>-5.6843418860808015E-14</v>
      </c>
      <c r="R547" s="11" t="str">
        <f>IF(OR(Table25[[#This Row],[%R]]&lt;-100,Table25[[#This Row],[%R]]&gt;0),"RANGE_ERR","")</f>
        <v>RANGE_ERR</v>
      </c>
    </row>
    <row r="548" spans="1:18" x14ac:dyDescent="0.35">
      <c r="A548" s="6">
        <v>546</v>
      </c>
      <c r="B548" s="3">
        <v>45706</v>
      </c>
      <c r="C548" s="2">
        <v>134.51</v>
      </c>
      <c r="D548" s="2">
        <v>136.185</v>
      </c>
      <c r="E548" s="2">
        <v>133.94</v>
      </c>
      <c r="F548" s="2">
        <v>135.19999999999999</v>
      </c>
      <c r="G548" s="1">
        <v>2121049</v>
      </c>
      <c r="H548" s="2">
        <f t="shared" si="20"/>
        <v>133.94</v>
      </c>
      <c r="I548" s="2">
        <f t="shared" si="21"/>
        <v>153.84</v>
      </c>
      <c r="J548" s="22">
        <f>100*(testdata4[[#This Row],[close]]-testdata4[[#This Row],[LL]])/(testdata4[[#This Row],[HH]]-testdata4[[#This Row],[LL]])</f>
        <v>6.3316582914572388</v>
      </c>
      <c r="K548" s="22">
        <f>testdata4[[#This Row],[K(14)'']]</f>
        <v>6.3316582914572388</v>
      </c>
      <c r="L548" s="22">
        <f>testdata4[[#This Row],[%K]]-100</f>
        <v>-93.668341708542755</v>
      </c>
      <c r="N548" s="12">
        <v>546</v>
      </c>
      <c r="O548" s="13">
        <v>45706</v>
      </c>
      <c r="P548" s="23" t="s">
        <v>549</v>
      </c>
      <c r="Q548" s="22">
        <f>IF(testdata4[[#This Row],[%R]]&lt;&gt;Table25[[#This Row],[%R]],testdata4[[#This Row],[%R]]-Table25[[#This Row],[%R]],"")</f>
        <v>-5.6843418860808015E-14</v>
      </c>
      <c r="R548" s="11" t="str">
        <f>IF(OR(Table25[[#This Row],[%R]]&lt;-100,Table25[[#This Row],[%R]]&gt;0),"RANGE_ERR","")</f>
        <v>RANGE_ERR</v>
      </c>
    </row>
    <row r="549" spans="1:18" x14ac:dyDescent="0.35">
      <c r="A549" s="6">
        <v>547</v>
      </c>
      <c r="B549" s="3">
        <v>45707</v>
      </c>
      <c r="C549" s="2">
        <v>134.59</v>
      </c>
      <c r="D549" s="2">
        <v>137.49</v>
      </c>
      <c r="E549" s="2">
        <v>134.05000000000001</v>
      </c>
      <c r="F549" s="2">
        <v>137.15</v>
      </c>
      <c r="G549" s="1">
        <v>1737732</v>
      </c>
      <c r="H549" s="2">
        <f t="shared" si="20"/>
        <v>133.94</v>
      </c>
      <c r="I549" s="2">
        <f t="shared" si="21"/>
        <v>153.84</v>
      </c>
      <c r="J549" s="22">
        <f>100*(testdata4[[#This Row],[close]]-testdata4[[#This Row],[LL]])/(testdata4[[#This Row],[HH]]-testdata4[[#This Row],[LL]])</f>
        <v>16.130653266331695</v>
      </c>
      <c r="K549" s="22">
        <f>testdata4[[#This Row],[K(14)'']]</f>
        <v>16.130653266331695</v>
      </c>
      <c r="L549" s="22">
        <f>testdata4[[#This Row],[%K]]-100</f>
        <v>-83.869346733668309</v>
      </c>
      <c r="N549" s="12">
        <v>547</v>
      </c>
      <c r="O549" s="13">
        <v>45707</v>
      </c>
      <c r="P549" s="23" t="s">
        <v>550</v>
      </c>
      <c r="Q549" s="22">
        <f>IF(testdata4[[#This Row],[%R]]&lt;&gt;Table25[[#This Row],[%R]],testdata4[[#This Row],[%R]]-Table25[[#This Row],[%R]],"")</f>
        <v>-1.4210854715202004E-14</v>
      </c>
      <c r="R549" s="11" t="str">
        <f>IF(OR(Table25[[#This Row],[%R]]&lt;-100,Table25[[#This Row],[%R]]&gt;0),"RANGE_ERR","")</f>
        <v>RANGE_ERR</v>
      </c>
    </row>
    <row r="550" spans="1:18" x14ac:dyDescent="0.35">
      <c r="A550" s="6">
        <v>548</v>
      </c>
      <c r="B550" s="3">
        <v>45708</v>
      </c>
      <c r="C550" s="2">
        <v>137.66</v>
      </c>
      <c r="D550" s="2">
        <v>138.58000000000001</v>
      </c>
      <c r="E550" s="2">
        <v>136.1</v>
      </c>
      <c r="F550" s="2">
        <v>136.79</v>
      </c>
      <c r="G550" s="1">
        <v>872747</v>
      </c>
      <c r="H550" s="2">
        <f t="shared" si="20"/>
        <v>133.94</v>
      </c>
      <c r="I550" s="2">
        <f t="shared" si="21"/>
        <v>153.84</v>
      </c>
      <c r="J550" s="22">
        <f>100*(testdata4[[#This Row],[close]]-testdata4[[#This Row],[LL]])/(testdata4[[#This Row],[HH]]-testdata4[[#This Row],[LL]])</f>
        <v>14.321608040200973</v>
      </c>
      <c r="K550" s="22">
        <f>testdata4[[#This Row],[K(14)'']]</f>
        <v>14.321608040200973</v>
      </c>
      <c r="L550" s="22">
        <f>testdata4[[#This Row],[%K]]-100</f>
        <v>-85.678391959799029</v>
      </c>
      <c r="N550" s="12">
        <v>548</v>
      </c>
      <c r="O550" s="13">
        <v>45708</v>
      </c>
      <c r="P550" s="23" t="s">
        <v>551</v>
      </c>
      <c r="Q550" s="22">
        <f>IF(testdata4[[#This Row],[%R]]&lt;&gt;Table25[[#This Row],[%R]],testdata4[[#This Row],[%R]]-Table25[[#This Row],[%R]],"")</f>
        <v>-2.8421709430404007E-14</v>
      </c>
      <c r="R550" s="11" t="str">
        <f>IF(OR(Table25[[#This Row],[%R]]&lt;-100,Table25[[#This Row],[%R]]&gt;0),"RANGE_ERR","")</f>
        <v>RANGE_ERR</v>
      </c>
    </row>
    <row r="551" spans="1:18" x14ac:dyDescent="0.35">
      <c r="A551" s="6">
        <v>549</v>
      </c>
      <c r="B551" s="3">
        <v>45709</v>
      </c>
      <c r="C551" s="2">
        <v>136.86000000000001</v>
      </c>
      <c r="D551" s="2">
        <v>137.52500000000001</v>
      </c>
      <c r="E551" s="2">
        <v>135.15</v>
      </c>
      <c r="F551" s="2">
        <v>135.37</v>
      </c>
      <c r="G551" s="1">
        <v>1112247</v>
      </c>
      <c r="H551" s="2">
        <f t="shared" si="20"/>
        <v>133.94</v>
      </c>
      <c r="I551" s="2">
        <f t="shared" si="21"/>
        <v>150.315</v>
      </c>
      <c r="J551" s="22">
        <f>100*(testdata4[[#This Row],[close]]-testdata4[[#This Row],[LL]])/(testdata4[[#This Row],[HH]]-testdata4[[#This Row],[LL]])</f>
        <v>8.7328244274809581</v>
      </c>
      <c r="K551" s="22">
        <f>testdata4[[#This Row],[K(14)'']]</f>
        <v>8.7328244274809581</v>
      </c>
      <c r="L551" s="22">
        <f>testdata4[[#This Row],[%K]]-100</f>
        <v>-91.267175572519037</v>
      </c>
      <c r="N551" s="12">
        <v>549</v>
      </c>
      <c r="O551" s="13">
        <v>45709</v>
      </c>
      <c r="P551" s="23" t="s">
        <v>552</v>
      </c>
      <c r="Q551" s="22">
        <f>IF(testdata4[[#This Row],[%R]]&lt;&gt;Table25[[#This Row],[%R]],testdata4[[#This Row],[%R]]-Table25[[#This Row],[%R]],"")</f>
        <v>-4.2632564145606011E-14</v>
      </c>
      <c r="R551" s="11" t="str">
        <f>IF(OR(Table25[[#This Row],[%R]]&lt;-100,Table25[[#This Row],[%R]]&gt;0),"RANGE_ERR","")</f>
        <v>RANGE_ERR</v>
      </c>
    </row>
    <row r="552" spans="1:18" x14ac:dyDescent="0.35">
      <c r="A552" s="6">
        <v>550</v>
      </c>
      <c r="B552" s="3">
        <v>45712</v>
      </c>
      <c r="C552" s="2">
        <v>135.5</v>
      </c>
      <c r="D552" s="2">
        <v>136.94</v>
      </c>
      <c r="E552" s="2">
        <v>134.77000000000001</v>
      </c>
      <c r="F552" s="2">
        <v>135.28</v>
      </c>
      <c r="G552" s="1">
        <v>2037577</v>
      </c>
      <c r="H552" s="2">
        <f t="shared" si="20"/>
        <v>133.94</v>
      </c>
      <c r="I552" s="2">
        <f t="shared" si="21"/>
        <v>149.38749999999999</v>
      </c>
      <c r="J552" s="22">
        <f>100*(testdata4[[#This Row],[close]]-testdata4[[#This Row],[LL]])/(testdata4[[#This Row],[HH]]-testdata4[[#This Row],[LL]])</f>
        <v>8.6745428062793604</v>
      </c>
      <c r="K552" s="22">
        <f>testdata4[[#This Row],[K(14)'']]</f>
        <v>8.6745428062793604</v>
      </c>
      <c r="L552" s="22">
        <f>testdata4[[#This Row],[%K]]-100</f>
        <v>-91.325457193720638</v>
      </c>
      <c r="N552" s="12">
        <v>550</v>
      </c>
      <c r="O552" s="13">
        <v>45712</v>
      </c>
      <c r="P552" s="23" t="s">
        <v>553</v>
      </c>
      <c r="Q552" s="22">
        <f>IF(testdata4[[#This Row],[%R]]&lt;&gt;Table25[[#This Row],[%R]],testdata4[[#This Row],[%R]]-Table25[[#This Row],[%R]],"")</f>
        <v>-4.2632564145606011E-14</v>
      </c>
      <c r="R552" s="11" t="str">
        <f>IF(OR(Table25[[#This Row],[%R]]&lt;-100,Table25[[#This Row],[%R]]&gt;0),"RANGE_ERR","")</f>
        <v>RANGE_ERR</v>
      </c>
    </row>
    <row r="553" spans="1:18" x14ac:dyDescent="0.35">
      <c r="A553" s="6">
        <v>551</v>
      </c>
      <c r="B553" s="3">
        <v>45713</v>
      </c>
      <c r="C553" s="2">
        <v>135.15</v>
      </c>
      <c r="D553" s="2">
        <v>136.28</v>
      </c>
      <c r="E553" s="2">
        <v>133.19999999999999</v>
      </c>
      <c r="F553" s="2">
        <v>134.18</v>
      </c>
      <c r="G553" s="1">
        <v>2606955</v>
      </c>
      <c r="H553" s="2">
        <f t="shared" si="20"/>
        <v>133.19999999999999</v>
      </c>
      <c r="I553" s="2">
        <f t="shared" si="21"/>
        <v>149.38749999999999</v>
      </c>
      <c r="J553" s="22">
        <f>100*(testdata4[[#This Row],[close]]-testdata4[[#This Row],[LL]])/(testdata4[[#This Row],[HH]]-testdata4[[#This Row],[LL]])</f>
        <v>6.0540540540541663</v>
      </c>
      <c r="K553" s="22">
        <f>testdata4[[#This Row],[K(14)'']]</f>
        <v>6.0540540540541663</v>
      </c>
      <c r="L553" s="22">
        <f>testdata4[[#This Row],[%K]]-100</f>
        <v>-93.945945945945837</v>
      </c>
      <c r="N553" s="12">
        <v>551</v>
      </c>
      <c r="O553" s="13">
        <v>45713</v>
      </c>
      <c r="P553" s="23" t="s">
        <v>554</v>
      </c>
      <c r="Q553" s="22">
        <f>IF(testdata4[[#This Row],[%R]]&lt;&gt;Table25[[#This Row],[%R]],testdata4[[#This Row],[%R]]-Table25[[#This Row],[%R]],"")</f>
        <v>-4.2632564145606011E-14</v>
      </c>
      <c r="R553" s="11" t="str">
        <f>IF(OR(Table25[[#This Row],[%R]]&lt;-100,Table25[[#This Row],[%R]]&gt;0),"RANGE_ERR","")</f>
        <v>RANGE_ERR</v>
      </c>
    </row>
    <row r="554" spans="1:18" x14ac:dyDescent="0.35">
      <c r="A554" s="6">
        <v>552</v>
      </c>
      <c r="B554" s="3">
        <v>45714</v>
      </c>
      <c r="C554" s="2">
        <v>135</v>
      </c>
      <c r="D554" s="2">
        <v>136.47</v>
      </c>
      <c r="E554" s="2">
        <v>133.65</v>
      </c>
      <c r="F554" s="2">
        <v>134.47</v>
      </c>
      <c r="G554" s="1">
        <v>1539877</v>
      </c>
      <c r="H554" s="2">
        <f t="shared" si="20"/>
        <v>133.19999999999999</v>
      </c>
      <c r="I554" s="2">
        <f t="shared" si="21"/>
        <v>149.38749999999999</v>
      </c>
      <c r="J554" s="22">
        <f>100*(testdata4[[#This Row],[close]]-testdata4[[#This Row],[LL]])/(testdata4[[#This Row],[HH]]-testdata4[[#This Row],[LL]])</f>
        <v>7.8455598455599089</v>
      </c>
      <c r="K554" s="22">
        <f>testdata4[[#This Row],[K(14)'']]</f>
        <v>7.8455598455599089</v>
      </c>
      <c r="L554" s="22">
        <f>testdata4[[#This Row],[%K]]-100</f>
        <v>-92.154440154440096</v>
      </c>
      <c r="N554" s="12">
        <v>552</v>
      </c>
      <c r="O554" s="13">
        <v>45714</v>
      </c>
      <c r="P554" s="23" t="s">
        <v>555</v>
      </c>
      <c r="Q554" s="22">
        <f>IF(testdata4[[#This Row],[%R]]&lt;&gt;Table25[[#This Row],[%R]],testdata4[[#This Row],[%R]]-Table25[[#This Row],[%R]],"")</f>
        <v>-9.9475983006414026E-14</v>
      </c>
      <c r="R554" s="11" t="str">
        <f>IF(OR(Table25[[#This Row],[%R]]&lt;-100,Table25[[#This Row],[%R]]&gt;0),"RANGE_ERR","")</f>
        <v>RANGE_ERR</v>
      </c>
    </row>
    <row r="555" spans="1:18" x14ac:dyDescent="0.35">
      <c r="A555" s="6">
        <v>553</v>
      </c>
      <c r="B555" s="3">
        <v>45715</v>
      </c>
      <c r="C555" s="2">
        <v>128.78</v>
      </c>
      <c r="D555" s="2">
        <v>131.32</v>
      </c>
      <c r="E555" s="2">
        <v>125.81</v>
      </c>
      <c r="F555" s="2">
        <v>127.08</v>
      </c>
      <c r="G555" s="1">
        <v>3469145</v>
      </c>
      <c r="H555" s="2">
        <f t="shared" si="20"/>
        <v>125.81</v>
      </c>
      <c r="I555" s="2">
        <f t="shared" si="21"/>
        <v>149.38749999999999</v>
      </c>
      <c r="J555" s="22">
        <f>100*(testdata4[[#This Row],[close]]-testdata4[[#This Row],[LL]])/(testdata4[[#This Row],[HH]]-testdata4[[#This Row],[LL]])</f>
        <v>5.386491358286488</v>
      </c>
      <c r="K555" s="22">
        <f>testdata4[[#This Row],[K(14)'']]</f>
        <v>5.386491358286488</v>
      </c>
      <c r="L555" s="22">
        <f>testdata4[[#This Row],[%K]]-100</f>
        <v>-94.613508641713508</v>
      </c>
      <c r="N555" s="12">
        <v>553</v>
      </c>
      <c r="O555" s="13">
        <v>45715</v>
      </c>
      <c r="P555" s="23" t="s">
        <v>556</v>
      </c>
      <c r="Q555" s="22">
        <f>IF(testdata4[[#This Row],[%R]]&lt;&gt;Table25[[#This Row],[%R]],testdata4[[#This Row],[%R]]-Table25[[#This Row],[%R]],"")</f>
        <v>-1.4210854715202004E-14</v>
      </c>
      <c r="R555" s="11" t="str">
        <f>IF(OR(Table25[[#This Row],[%R]]&lt;-100,Table25[[#This Row],[%R]]&gt;0),"RANGE_ERR","")</f>
        <v>RANGE_ERR</v>
      </c>
    </row>
    <row r="556" spans="1:18" x14ac:dyDescent="0.35">
      <c r="A556" s="6">
        <v>554</v>
      </c>
      <c r="B556" s="3">
        <v>45716</v>
      </c>
      <c r="C556" s="2">
        <v>128.19999999999999</v>
      </c>
      <c r="D556" s="2">
        <v>129.51</v>
      </c>
      <c r="E556" s="2">
        <v>125.955</v>
      </c>
      <c r="F556" s="2">
        <v>127.92</v>
      </c>
      <c r="G556" s="1">
        <v>2852776</v>
      </c>
      <c r="H556" s="2">
        <f t="shared" si="20"/>
        <v>125.81</v>
      </c>
      <c r="I556" s="2">
        <f t="shared" si="21"/>
        <v>145.85380000000001</v>
      </c>
      <c r="J556" s="22">
        <f>100*(testdata4[[#This Row],[close]]-testdata4[[#This Row],[LL]])/(testdata4[[#This Row],[HH]]-testdata4[[#This Row],[LL]])</f>
        <v>10.526945988285648</v>
      </c>
      <c r="K556" s="22">
        <f>testdata4[[#This Row],[K(14)'']]</f>
        <v>10.526945988285648</v>
      </c>
      <c r="L556" s="22">
        <f>testdata4[[#This Row],[%K]]-100</f>
        <v>-89.473054011714353</v>
      </c>
      <c r="N556" s="12">
        <v>554</v>
      </c>
      <c r="O556" s="13">
        <v>45716</v>
      </c>
      <c r="P556" s="23" t="s">
        <v>557</v>
      </c>
      <c r="Q556" s="22">
        <f>IF(testdata4[[#This Row],[%R]]&lt;&gt;Table25[[#This Row],[%R]],testdata4[[#This Row],[%R]]-Table25[[#This Row],[%R]],"")</f>
        <v>-5.6843418860808015E-14</v>
      </c>
      <c r="R556" s="11" t="str">
        <f>IF(OR(Table25[[#This Row],[%R]]&lt;-100,Table25[[#This Row],[%R]]&gt;0),"RANGE_ERR","")</f>
        <v>RANGE_ERR</v>
      </c>
    </row>
    <row r="557" spans="1:18" x14ac:dyDescent="0.35">
      <c r="A557" s="6">
        <v>555</v>
      </c>
      <c r="B557" s="3">
        <v>45719</v>
      </c>
      <c r="C557" s="2">
        <v>129</v>
      </c>
      <c r="D557" s="2">
        <v>129</v>
      </c>
      <c r="E557" s="2">
        <v>125.64</v>
      </c>
      <c r="F557" s="2">
        <v>126.33</v>
      </c>
      <c r="G557" s="1">
        <v>2184538</v>
      </c>
      <c r="H557" s="2">
        <f t="shared" si="20"/>
        <v>125.64</v>
      </c>
      <c r="I557" s="2">
        <f t="shared" si="21"/>
        <v>144.19999999999999</v>
      </c>
      <c r="J557" s="22">
        <f>100*(testdata4[[#This Row],[close]]-testdata4[[#This Row],[LL]])/(testdata4[[#This Row],[HH]]-testdata4[[#This Row],[LL]])</f>
        <v>3.7176724137930934</v>
      </c>
      <c r="K557" s="22">
        <f>testdata4[[#This Row],[K(14)'']]</f>
        <v>3.7176724137930934</v>
      </c>
      <c r="L557" s="22">
        <f>testdata4[[#This Row],[%K]]-100</f>
        <v>-96.282327586206904</v>
      </c>
      <c r="N557" s="12">
        <v>555</v>
      </c>
      <c r="O557" s="13">
        <v>45719</v>
      </c>
      <c r="P557" s="23" t="s">
        <v>558</v>
      </c>
      <c r="Q557" s="22">
        <f>IF(testdata4[[#This Row],[%R]]&lt;&gt;Table25[[#This Row],[%R]],testdata4[[#This Row],[%R]]-Table25[[#This Row],[%R]],"")</f>
        <v>0</v>
      </c>
      <c r="R557" s="11" t="str">
        <f>IF(OR(Table25[[#This Row],[%R]]&lt;-100,Table25[[#This Row],[%R]]&gt;0),"RANGE_ERR","")</f>
        <v>RANGE_ERR</v>
      </c>
    </row>
    <row r="558" spans="1:18" x14ac:dyDescent="0.35">
      <c r="A558" s="6">
        <v>556</v>
      </c>
      <c r="B558" s="3">
        <v>45720</v>
      </c>
      <c r="C558" s="2">
        <v>125</v>
      </c>
      <c r="D558" s="2">
        <v>125.75</v>
      </c>
      <c r="E558" s="2">
        <v>121.45</v>
      </c>
      <c r="F558" s="2">
        <v>123.06</v>
      </c>
      <c r="G558" s="1">
        <v>2524159</v>
      </c>
      <c r="H558" s="2">
        <f t="shared" si="20"/>
        <v>121.45</v>
      </c>
      <c r="I558" s="2">
        <f t="shared" si="21"/>
        <v>139.80000000000001</v>
      </c>
      <c r="J558" s="22">
        <f>100*(testdata4[[#This Row],[close]]-testdata4[[#This Row],[LL]])/(testdata4[[#This Row],[HH]]-testdata4[[#This Row],[LL]])</f>
        <v>8.7738419618528543</v>
      </c>
      <c r="K558" s="22">
        <f>testdata4[[#This Row],[K(14)'']]</f>
        <v>8.7738419618528543</v>
      </c>
      <c r="L558" s="22">
        <f>testdata4[[#This Row],[%K]]-100</f>
        <v>-91.226158038147148</v>
      </c>
      <c r="N558" s="12">
        <v>556</v>
      </c>
      <c r="O558" s="13">
        <v>45720</v>
      </c>
      <c r="P558" s="23" t="s">
        <v>559</v>
      </c>
      <c r="Q558" s="22">
        <f>IF(testdata4[[#This Row],[%R]]&lt;&gt;Table25[[#This Row],[%R]],testdata4[[#This Row],[%R]]-Table25[[#This Row],[%R]],"")</f>
        <v>-4.2632564145606011E-14</v>
      </c>
      <c r="R558" s="11" t="str">
        <f>IF(OR(Table25[[#This Row],[%R]]&lt;-100,Table25[[#This Row],[%R]]&gt;0),"RANGE_ERR","")</f>
        <v>RANGE_ERR</v>
      </c>
    </row>
    <row r="559" spans="1:18" x14ac:dyDescent="0.35">
      <c r="A559" s="6">
        <v>557</v>
      </c>
      <c r="B559" s="3">
        <v>45721</v>
      </c>
      <c r="C559" s="2">
        <v>122.48</v>
      </c>
      <c r="D559" s="2">
        <v>127.3</v>
      </c>
      <c r="E559" s="2">
        <v>122.29</v>
      </c>
      <c r="F559" s="2">
        <v>126.51</v>
      </c>
      <c r="G559" s="1">
        <v>2047254</v>
      </c>
      <c r="H559" s="2">
        <f t="shared" si="20"/>
        <v>121.45</v>
      </c>
      <c r="I559" s="2">
        <f t="shared" si="21"/>
        <v>138.58000000000001</v>
      </c>
      <c r="J559" s="22">
        <f>100*(testdata4[[#This Row],[close]]-testdata4[[#This Row],[LL]])/(testdata4[[#This Row],[HH]]-testdata4[[#This Row],[LL]])</f>
        <v>29.538820782253353</v>
      </c>
      <c r="K559" s="22">
        <f>testdata4[[#This Row],[K(14)'']]</f>
        <v>29.538820782253353</v>
      </c>
      <c r="L559" s="22">
        <f>testdata4[[#This Row],[%K]]-100</f>
        <v>-70.461179217746647</v>
      </c>
      <c r="N559" s="12">
        <v>557</v>
      </c>
      <c r="O559" s="13">
        <v>45721</v>
      </c>
      <c r="P559" s="23" t="s">
        <v>560</v>
      </c>
      <c r="Q559" s="22">
        <f>IF(testdata4[[#This Row],[%R]]&lt;&gt;Table25[[#This Row],[%R]],testdata4[[#This Row],[%R]]-Table25[[#This Row],[%R]],"")</f>
        <v>-4.2632564145606011E-14</v>
      </c>
      <c r="R559" s="11" t="str">
        <f>IF(OR(Table25[[#This Row],[%R]]&lt;-100,Table25[[#This Row],[%R]]&gt;0),"RANGE_ERR","")</f>
        <v>RANGE_ERR</v>
      </c>
    </row>
    <row r="560" spans="1:18" x14ac:dyDescent="0.35">
      <c r="A560" s="6">
        <v>558</v>
      </c>
      <c r="B560" s="3">
        <v>45722</v>
      </c>
      <c r="C560" s="2">
        <v>126</v>
      </c>
      <c r="D560" s="2">
        <v>129.5</v>
      </c>
      <c r="E560" s="2">
        <v>125.765</v>
      </c>
      <c r="F560" s="2">
        <v>126.55</v>
      </c>
      <c r="G560" s="1">
        <v>2299955</v>
      </c>
      <c r="H560" s="2">
        <f t="shared" si="20"/>
        <v>121.45</v>
      </c>
      <c r="I560" s="2">
        <f t="shared" si="21"/>
        <v>138.58000000000001</v>
      </c>
      <c r="J560" s="22">
        <f>100*(testdata4[[#This Row],[close]]-testdata4[[#This Row],[LL]])/(testdata4[[#This Row],[HH]]-testdata4[[#This Row],[LL]])</f>
        <v>29.772329246935151</v>
      </c>
      <c r="K560" s="22">
        <f>testdata4[[#This Row],[K(14)'']]</f>
        <v>29.772329246935151</v>
      </c>
      <c r="L560" s="22">
        <f>testdata4[[#This Row],[%K]]-100</f>
        <v>-70.227670753064842</v>
      </c>
      <c r="N560" s="12">
        <v>558</v>
      </c>
      <c r="O560" s="13">
        <v>45722</v>
      </c>
      <c r="P560" s="23" t="s">
        <v>561</v>
      </c>
      <c r="Q560" s="22">
        <f>IF(testdata4[[#This Row],[%R]]&lt;&gt;Table25[[#This Row],[%R]],testdata4[[#This Row],[%R]]-Table25[[#This Row],[%R]],"")</f>
        <v>-4.2632564145606011E-14</v>
      </c>
      <c r="R560" s="11" t="str">
        <f>IF(OR(Table25[[#This Row],[%R]]&lt;-100,Table25[[#This Row],[%R]]&gt;0),"RANGE_ERR","")</f>
        <v>RANGE_ERR</v>
      </c>
    </row>
    <row r="561" spans="1:18" x14ac:dyDescent="0.35">
      <c r="A561" s="6">
        <v>559</v>
      </c>
      <c r="B561" s="3">
        <v>45723</v>
      </c>
      <c r="C561" s="2">
        <v>125.95</v>
      </c>
      <c r="D561" s="2">
        <v>128.1</v>
      </c>
      <c r="E561" s="2">
        <v>124.4</v>
      </c>
      <c r="F561" s="2">
        <v>126.7</v>
      </c>
      <c r="G561" s="1">
        <v>2056080</v>
      </c>
      <c r="H561" s="2">
        <f t="shared" si="20"/>
        <v>121.45</v>
      </c>
      <c r="I561" s="2">
        <f t="shared" si="21"/>
        <v>138.58000000000001</v>
      </c>
      <c r="J561" s="22">
        <f>100*(testdata4[[#This Row],[close]]-testdata4[[#This Row],[LL]])/(testdata4[[#This Row],[HH]]-testdata4[[#This Row],[LL]])</f>
        <v>30.647985989492103</v>
      </c>
      <c r="K561" s="22">
        <f>testdata4[[#This Row],[K(14)'']]</f>
        <v>30.647985989492103</v>
      </c>
      <c r="L561" s="22">
        <f>testdata4[[#This Row],[%K]]-100</f>
        <v>-69.352014010507901</v>
      </c>
      <c r="N561" s="12">
        <v>559</v>
      </c>
      <c r="O561" s="13">
        <v>45723</v>
      </c>
      <c r="P561" s="23" t="s">
        <v>562</v>
      </c>
      <c r="Q561" s="22">
        <f>IF(testdata4[[#This Row],[%R]]&lt;&gt;Table25[[#This Row],[%R]],testdata4[[#This Row],[%R]]-Table25[[#This Row],[%R]],"")</f>
        <v>0</v>
      </c>
      <c r="R561" s="11" t="str">
        <f>IF(OR(Table25[[#This Row],[%R]]&lt;-100,Table25[[#This Row],[%R]]&gt;0),"RANGE_ERR","")</f>
        <v>RANGE_ERR</v>
      </c>
    </row>
    <row r="562" spans="1:18" x14ac:dyDescent="0.35">
      <c r="A562" s="6">
        <v>560</v>
      </c>
      <c r="B562" s="3">
        <v>45726</v>
      </c>
      <c r="C562" s="2">
        <v>125.21</v>
      </c>
      <c r="D562" s="2">
        <v>126.654</v>
      </c>
      <c r="E562" s="2">
        <v>121.62</v>
      </c>
      <c r="F562" s="2">
        <v>121.9</v>
      </c>
      <c r="G562" s="1">
        <v>3412347</v>
      </c>
      <c r="H562" s="2">
        <f t="shared" si="20"/>
        <v>121.45</v>
      </c>
      <c r="I562" s="2">
        <f t="shared" si="21"/>
        <v>138.58000000000001</v>
      </c>
      <c r="J562" s="22">
        <f>100*(testdata4[[#This Row],[close]]-testdata4[[#This Row],[LL]])/(testdata4[[#This Row],[HH]]-testdata4[[#This Row],[LL]])</f>
        <v>2.626970227670768</v>
      </c>
      <c r="K562" s="22">
        <f>testdata4[[#This Row],[K(14)'']]</f>
        <v>2.626970227670768</v>
      </c>
      <c r="L562" s="22">
        <f>testdata4[[#This Row],[%K]]-100</f>
        <v>-97.373029772329232</v>
      </c>
      <c r="N562" s="12">
        <v>560</v>
      </c>
      <c r="O562" s="13">
        <v>45726</v>
      </c>
      <c r="P562" s="23" t="s">
        <v>563</v>
      </c>
      <c r="Q562" s="22">
        <f>IF(testdata4[[#This Row],[%R]]&lt;&gt;Table25[[#This Row],[%R]],testdata4[[#This Row],[%R]]-Table25[[#This Row],[%R]],"")</f>
        <v>-2.8421709430404007E-14</v>
      </c>
      <c r="R562" s="11" t="str">
        <f>IF(OR(Table25[[#This Row],[%R]]&lt;-100,Table25[[#This Row],[%R]]&gt;0),"RANGE_ERR","")</f>
        <v>RANGE_ERR</v>
      </c>
    </row>
    <row r="563" spans="1:18" x14ac:dyDescent="0.35">
      <c r="A563" s="6">
        <v>561</v>
      </c>
      <c r="B563" s="3">
        <v>45727</v>
      </c>
      <c r="C563" s="2">
        <v>122.59</v>
      </c>
      <c r="D563" s="2">
        <v>123.28</v>
      </c>
      <c r="E563" s="2">
        <v>119.301</v>
      </c>
      <c r="F563" s="2">
        <v>121.03</v>
      </c>
      <c r="G563" s="1">
        <v>2106624</v>
      </c>
      <c r="H563" s="2">
        <f t="shared" si="20"/>
        <v>119.301</v>
      </c>
      <c r="I563" s="2">
        <f t="shared" si="21"/>
        <v>138.58000000000001</v>
      </c>
      <c r="J563" s="22">
        <f>100*(testdata4[[#This Row],[close]]-testdata4[[#This Row],[LL]])/(testdata4[[#This Row],[HH]]-testdata4[[#This Row],[LL]])</f>
        <v>8.968307484828042</v>
      </c>
      <c r="K563" s="22">
        <f>testdata4[[#This Row],[K(14)'']]</f>
        <v>8.968307484828042</v>
      </c>
      <c r="L563" s="22">
        <f>testdata4[[#This Row],[%K]]-100</f>
        <v>-91.031692515171954</v>
      </c>
      <c r="N563" s="12">
        <v>561</v>
      </c>
      <c r="O563" s="13">
        <v>45727</v>
      </c>
      <c r="P563" s="23" t="s">
        <v>564</v>
      </c>
      <c r="Q563" s="22">
        <f>IF(testdata4[[#This Row],[%R]]&lt;&gt;Table25[[#This Row],[%R]],testdata4[[#This Row],[%R]]-Table25[[#This Row],[%R]],"")</f>
        <v>-5.6843418860808015E-14</v>
      </c>
      <c r="R563" s="11" t="str">
        <f>IF(OR(Table25[[#This Row],[%R]]&lt;-100,Table25[[#This Row],[%R]]&gt;0),"RANGE_ERR","")</f>
        <v>RANGE_ERR</v>
      </c>
    </row>
    <row r="564" spans="1:18" x14ac:dyDescent="0.35">
      <c r="A564" s="6">
        <v>562</v>
      </c>
      <c r="B564" s="3">
        <v>45728</v>
      </c>
      <c r="C564" s="2">
        <v>122.1</v>
      </c>
      <c r="D564" s="2">
        <v>123.7</v>
      </c>
      <c r="E564" s="2">
        <v>119.08</v>
      </c>
      <c r="F564" s="2">
        <v>119.85</v>
      </c>
      <c r="G564" s="1">
        <v>1807094</v>
      </c>
      <c r="H564" s="2">
        <f t="shared" si="20"/>
        <v>119.08</v>
      </c>
      <c r="I564" s="2">
        <f t="shared" si="21"/>
        <v>137.52500000000001</v>
      </c>
      <c r="J564" s="22">
        <f>100*(testdata4[[#This Row],[close]]-testdata4[[#This Row],[LL]])/(testdata4[[#This Row],[HH]]-testdata4[[#This Row],[LL]])</f>
        <v>4.1745730550284401</v>
      </c>
      <c r="K564" s="22">
        <f>testdata4[[#This Row],[K(14)'']]</f>
        <v>4.1745730550284401</v>
      </c>
      <c r="L564" s="22">
        <f>testdata4[[#This Row],[%K]]-100</f>
        <v>-95.825426944971554</v>
      </c>
      <c r="N564" s="12">
        <v>562</v>
      </c>
      <c r="O564" s="13">
        <v>45728</v>
      </c>
      <c r="P564" s="23" t="s">
        <v>565</v>
      </c>
      <c r="Q564" s="22">
        <f>IF(testdata4[[#This Row],[%R]]&lt;&gt;Table25[[#This Row],[%R]],testdata4[[#This Row],[%R]]-Table25[[#This Row],[%R]],"")</f>
        <v>-5.6843418860808015E-14</v>
      </c>
      <c r="R564" s="11" t="str">
        <f>IF(OR(Table25[[#This Row],[%R]]&lt;-100,Table25[[#This Row],[%R]]&gt;0),"RANGE_ERR","")</f>
        <v>RANGE_ERR</v>
      </c>
    </row>
    <row r="565" spans="1:18" x14ac:dyDescent="0.35">
      <c r="A565" s="6">
        <v>563</v>
      </c>
      <c r="B565" s="3">
        <v>45729</v>
      </c>
      <c r="C565" s="2">
        <v>119</v>
      </c>
      <c r="D565" s="2">
        <v>120.08</v>
      </c>
      <c r="E565" s="2">
        <v>117.17</v>
      </c>
      <c r="F565" s="2">
        <v>117.33</v>
      </c>
      <c r="G565" s="1">
        <v>1984761</v>
      </c>
      <c r="H565" s="2">
        <f t="shared" si="20"/>
        <v>117.17</v>
      </c>
      <c r="I565" s="2">
        <f t="shared" si="21"/>
        <v>136.94</v>
      </c>
      <c r="J565" s="22">
        <f>100*(testdata4[[#This Row],[close]]-testdata4[[#This Row],[LL]])/(testdata4[[#This Row],[HH]]-testdata4[[#This Row],[LL]])</f>
        <v>0.80930703085481348</v>
      </c>
      <c r="K565" s="22">
        <f>testdata4[[#This Row],[K(14)'']]</f>
        <v>0.80930703085481348</v>
      </c>
      <c r="L565" s="22">
        <f>testdata4[[#This Row],[%K]]-100</f>
        <v>-99.190692969145189</v>
      </c>
      <c r="N565" s="12">
        <v>563</v>
      </c>
      <c r="O565" s="13">
        <v>45729</v>
      </c>
      <c r="P565" s="23" t="s">
        <v>566</v>
      </c>
      <c r="Q565" s="22">
        <f>IF(testdata4[[#This Row],[%R]]&lt;&gt;Table25[[#This Row],[%R]],testdata4[[#This Row],[%R]]-Table25[[#This Row],[%R]],"")</f>
        <v>-8.5265128291212022E-14</v>
      </c>
      <c r="R565" s="11" t="str">
        <f>IF(OR(Table25[[#This Row],[%R]]&lt;-100,Table25[[#This Row],[%R]]&gt;0),"RANGE_ERR","")</f>
        <v>RANGE_ERR</v>
      </c>
    </row>
    <row r="566" spans="1:18" x14ac:dyDescent="0.35">
      <c r="A566" s="6">
        <v>564</v>
      </c>
      <c r="B566" s="3">
        <v>45730</v>
      </c>
      <c r="C566" s="2">
        <v>118.81</v>
      </c>
      <c r="D566" s="2">
        <v>122.05</v>
      </c>
      <c r="E566" s="2">
        <v>117.5</v>
      </c>
      <c r="F566" s="2">
        <v>121.18</v>
      </c>
      <c r="G566" s="1">
        <v>2978763</v>
      </c>
      <c r="H566" s="2">
        <f t="shared" si="20"/>
        <v>117.17</v>
      </c>
      <c r="I566" s="2">
        <f t="shared" si="21"/>
        <v>136.47</v>
      </c>
      <c r="J566" s="22">
        <f>100*(testdata4[[#This Row],[close]]-testdata4[[#This Row],[LL]])/(testdata4[[#This Row],[HH]]-testdata4[[#This Row],[LL]])</f>
        <v>20.777202072538891</v>
      </c>
      <c r="K566" s="22">
        <f>testdata4[[#This Row],[K(14)'']]</f>
        <v>20.777202072538891</v>
      </c>
      <c r="L566" s="22">
        <f>testdata4[[#This Row],[%K]]-100</f>
        <v>-79.222797927461102</v>
      </c>
      <c r="N566" s="12">
        <v>564</v>
      </c>
      <c r="O566" s="13">
        <v>45730</v>
      </c>
      <c r="P566" s="23" t="s">
        <v>567</v>
      </c>
      <c r="Q566" s="22">
        <f>IF(testdata4[[#This Row],[%R]]&lt;&gt;Table25[[#This Row],[%R]],testdata4[[#This Row],[%R]]-Table25[[#This Row],[%R]],"")</f>
        <v>0</v>
      </c>
      <c r="R566" s="11" t="str">
        <f>IF(OR(Table25[[#This Row],[%R]]&lt;-100,Table25[[#This Row],[%R]]&gt;0),"RANGE_ERR","")</f>
        <v>RANGE_ERR</v>
      </c>
    </row>
    <row r="567" spans="1:18" x14ac:dyDescent="0.35">
      <c r="A567" s="6">
        <v>565</v>
      </c>
      <c r="B567" s="3">
        <v>45733</v>
      </c>
      <c r="C567" s="2">
        <v>121.1</v>
      </c>
      <c r="D567" s="2">
        <v>123.5</v>
      </c>
      <c r="E567" s="2">
        <v>120.78</v>
      </c>
      <c r="F567" s="2">
        <v>122.49</v>
      </c>
      <c r="G567" s="1">
        <v>2015386</v>
      </c>
      <c r="H567" s="2">
        <f t="shared" si="20"/>
        <v>117.17</v>
      </c>
      <c r="I567" s="2">
        <f t="shared" si="21"/>
        <v>136.47</v>
      </c>
      <c r="J567" s="22">
        <f>100*(testdata4[[#This Row],[close]]-testdata4[[#This Row],[LL]])/(testdata4[[#This Row],[HH]]-testdata4[[#This Row],[LL]])</f>
        <v>27.564766839378208</v>
      </c>
      <c r="K567" s="22">
        <f>testdata4[[#This Row],[K(14)'']]</f>
        <v>27.564766839378208</v>
      </c>
      <c r="L567" s="22">
        <f>testdata4[[#This Row],[%K]]-100</f>
        <v>-72.435233160621792</v>
      </c>
      <c r="N567" s="12">
        <v>565</v>
      </c>
      <c r="O567" s="13">
        <v>45733</v>
      </c>
      <c r="P567" s="23" t="s">
        <v>568</v>
      </c>
      <c r="Q567" s="22">
        <f>IF(testdata4[[#This Row],[%R]]&lt;&gt;Table25[[#This Row],[%R]],testdata4[[#This Row],[%R]]-Table25[[#This Row],[%R]],"")</f>
        <v>-8.5265128291212022E-14</v>
      </c>
      <c r="R567" s="11" t="str">
        <f>IF(OR(Table25[[#This Row],[%R]]&lt;-100,Table25[[#This Row],[%R]]&gt;0),"RANGE_ERR","")</f>
        <v>RANGE_ERR</v>
      </c>
    </row>
    <row r="568" spans="1:18" x14ac:dyDescent="0.35">
      <c r="A568" s="6">
        <v>566</v>
      </c>
      <c r="B568" s="3">
        <v>45734</v>
      </c>
      <c r="C568" s="2">
        <v>122.1</v>
      </c>
      <c r="D568" s="2">
        <v>123.2</v>
      </c>
      <c r="E568" s="2">
        <v>121.42</v>
      </c>
      <c r="F568" s="2">
        <v>123.1</v>
      </c>
      <c r="G568" s="1">
        <v>1415437</v>
      </c>
      <c r="H568" s="2">
        <f t="shared" si="20"/>
        <v>117.17</v>
      </c>
      <c r="I568" s="2">
        <f t="shared" si="21"/>
        <v>131.32</v>
      </c>
      <c r="J568" s="22">
        <f>100*(testdata4[[#This Row],[close]]-testdata4[[#This Row],[LL]])/(testdata4[[#This Row],[HH]]-testdata4[[#This Row],[LL]])</f>
        <v>41.908127208480543</v>
      </c>
      <c r="K568" s="22">
        <f>testdata4[[#This Row],[K(14)'']]</f>
        <v>41.908127208480543</v>
      </c>
      <c r="L568" s="22">
        <f>testdata4[[#This Row],[%K]]-100</f>
        <v>-58.091872791519457</v>
      </c>
      <c r="N568" s="12">
        <v>566</v>
      </c>
      <c r="O568" s="13">
        <v>45734</v>
      </c>
      <c r="P568" s="23" t="s">
        <v>569</v>
      </c>
      <c r="Q568" s="22">
        <f>IF(testdata4[[#This Row],[%R]]&lt;&gt;Table25[[#This Row],[%R]],testdata4[[#This Row],[%R]]-Table25[[#This Row],[%R]],"")</f>
        <v>-5.6843418860808015E-14</v>
      </c>
      <c r="R568" s="11" t="str">
        <f>IF(OR(Table25[[#This Row],[%R]]&lt;-100,Table25[[#This Row],[%R]]&gt;0),"RANGE_ERR","")</f>
        <v>RANGE_ERR</v>
      </c>
    </row>
    <row r="569" spans="1:18" x14ac:dyDescent="0.35">
      <c r="A569" s="6">
        <v>567</v>
      </c>
      <c r="B569" s="3">
        <v>45735</v>
      </c>
      <c r="C569" s="2">
        <v>122.56</v>
      </c>
      <c r="D569" s="2">
        <v>123.235</v>
      </c>
      <c r="E569" s="2">
        <v>121.30500000000001</v>
      </c>
      <c r="F569" s="2">
        <v>122.21</v>
      </c>
      <c r="G569" s="1">
        <v>1706063</v>
      </c>
      <c r="H569" s="2">
        <f t="shared" si="20"/>
        <v>117.17</v>
      </c>
      <c r="I569" s="2">
        <f t="shared" si="21"/>
        <v>129.51</v>
      </c>
      <c r="J569" s="22">
        <f>100*(testdata4[[#This Row],[close]]-testdata4[[#This Row],[LL]])/(testdata4[[#This Row],[HH]]-testdata4[[#This Row],[LL]])</f>
        <v>40.842787682333842</v>
      </c>
      <c r="K569" s="22">
        <f>testdata4[[#This Row],[K(14)'']]</f>
        <v>40.842787682333842</v>
      </c>
      <c r="L569" s="22">
        <f>testdata4[[#This Row],[%K]]-100</f>
        <v>-59.157212317666158</v>
      </c>
      <c r="N569" s="12">
        <v>567</v>
      </c>
      <c r="O569" s="13">
        <v>45735</v>
      </c>
      <c r="P569" s="23" t="s">
        <v>570</v>
      </c>
      <c r="Q569" s="22">
        <f>IF(testdata4[[#This Row],[%R]]&lt;&gt;Table25[[#This Row],[%R]],testdata4[[#This Row],[%R]]-Table25[[#This Row],[%R]],"")</f>
        <v>-5.6843418860808015E-14</v>
      </c>
      <c r="R569" s="11" t="str">
        <f>IF(OR(Table25[[#This Row],[%R]]&lt;-100,Table25[[#This Row],[%R]]&gt;0),"RANGE_ERR","")</f>
        <v>RANGE_ERR</v>
      </c>
    </row>
    <row r="570" spans="1:18" x14ac:dyDescent="0.35">
      <c r="A570" s="6">
        <v>568</v>
      </c>
      <c r="B570" s="3">
        <v>45736</v>
      </c>
      <c r="C570" s="2">
        <v>121.72</v>
      </c>
      <c r="D570" s="2">
        <v>122.08</v>
      </c>
      <c r="E570" s="2">
        <v>119.68980000000001</v>
      </c>
      <c r="F570" s="2">
        <v>120.28</v>
      </c>
      <c r="G570" s="1">
        <v>1620607</v>
      </c>
      <c r="H570" s="2">
        <f t="shared" si="20"/>
        <v>117.17</v>
      </c>
      <c r="I570" s="2">
        <f t="shared" si="21"/>
        <v>129.5</v>
      </c>
      <c r="J570" s="22">
        <f>100*(testdata4[[#This Row],[close]]-testdata4[[#This Row],[LL]])/(testdata4[[#This Row],[HH]]-testdata4[[#This Row],[LL]])</f>
        <v>25.22303325223033</v>
      </c>
      <c r="K570" s="22">
        <f>testdata4[[#This Row],[K(14)'']]</f>
        <v>25.22303325223033</v>
      </c>
      <c r="L570" s="22">
        <f>testdata4[[#This Row],[%K]]-100</f>
        <v>-74.776966747769677</v>
      </c>
      <c r="N570" s="12">
        <v>568</v>
      </c>
      <c r="O570" s="13">
        <v>45736</v>
      </c>
      <c r="P570" s="23" t="s">
        <v>571</v>
      </c>
      <c r="Q570" s="22">
        <f>IF(testdata4[[#This Row],[%R]]&lt;&gt;Table25[[#This Row],[%R]],testdata4[[#This Row],[%R]]-Table25[[#This Row],[%R]],"")</f>
        <v>-7.1054273576010019E-14</v>
      </c>
      <c r="R570" s="11" t="str">
        <f>IF(OR(Table25[[#This Row],[%R]]&lt;-100,Table25[[#This Row],[%R]]&gt;0),"RANGE_ERR","")</f>
        <v>RANGE_ERR</v>
      </c>
    </row>
    <row r="571" spans="1:18" x14ac:dyDescent="0.35">
      <c r="A571" s="6">
        <v>569</v>
      </c>
      <c r="B571" s="3">
        <v>45737</v>
      </c>
      <c r="C571" s="2">
        <v>119.38</v>
      </c>
      <c r="D571" s="2">
        <v>120.78</v>
      </c>
      <c r="E571" s="2">
        <v>117.92</v>
      </c>
      <c r="F571" s="2">
        <v>120.75</v>
      </c>
      <c r="G571" s="1">
        <v>3041433</v>
      </c>
      <c r="H571" s="2">
        <f t="shared" si="20"/>
        <v>117.17</v>
      </c>
      <c r="I571" s="2">
        <f t="shared" si="21"/>
        <v>129.5</v>
      </c>
      <c r="J571" s="22">
        <f>100*(testdata4[[#This Row],[close]]-testdata4[[#This Row],[LL]])/(testdata4[[#This Row],[HH]]-testdata4[[#This Row],[LL]])</f>
        <v>29.034874290348732</v>
      </c>
      <c r="K571" s="22">
        <f>testdata4[[#This Row],[K(14)'']]</f>
        <v>29.034874290348732</v>
      </c>
      <c r="L571" s="22">
        <f>testdata4[[#This Row],[%K]]-100</f>
        <v>-70.965125709651261</v>
      </c>
      <c r="N571" s="12">
        <v>569</v>
      </c>
      <c r="O571" s="13">
        <v>45737</v>
      </c>
      <c r="P571" s="23" t="s">
        <v>572</v>
      </c>
      <c r="Q571" s="22">
        <f>IF(testdata4[[#This Row],[%R]]&lt;&gt;Table25[[#This Row],[%R]],testdata4[[#This Row],[%R]]-Table25[[#This Row],[%R]],"")</f>
        <v>-5.6843418860808015E-14</v>
      </c>
      <c r="R571" s="11" t="str">
        <f>IF(OR(Table25[[#This Row],[%R]]&lt;-100,Table25[[#This Row],[%R]]&gt;0),"RANGE_ERR","")</f>
        <v>RANGE_ERR</v>
      </c>
    </row>
    <row r="572" spans="1:18" x14ac:dyDescent="0.35">
      <c r="A572" s="6">
        <v>570</v>
      </c>
      <c r="B572" s="3">
        <v>45740</v>
      </c>
      <c r="C572" s="2">
        <v>121.88</v>
      </c>
      <c r="D572" s="2">
        <v>124.43</v>
      </c>
      <c r="E572" s="2">
        <v>120.89</v>
      </c>
      <c r="F572" s="2">
        <v>121.97</v>
      </c>
      <c r="G572" s="1">
        <v>1557414</v>
      </c>
      <c r="H572" s="2">
        <f t="shared" si="20"/>
        <v>117.17</v>
      </c>
      <c r="I572" s="2">
        <f t="shared" si="21"/>
        <v>129.5</v>
      </c>
      <c r="J572" s="22">
        <f>100*(testdata4[[#This Row],[close]]-testdata4[[#This Row],[LL]])/(testdata4[[#This Row],[HH]]-testdata4[[#This Row],[LL]])</f>
        <v>38.929440389294385</v>
      </c>
      <c r="K572" s="22">
        <f>testdata4[[#This Row],[K(14)'']]</f>
        <v>38.929440389294385</v>
      </c>
      <c r="L572" s="22">
        <f>testdata4[[#This Row],[%K]]-100</f>
        <v>-61.070559610705615</v>
      </c>
      <c r="N572" s="12">
        <v>570</v>
      </c>
      <c r="O572" s="13">
        <v>45740</v>
      </c>
      <c r="P572" s="23" t="s">
        <v>573</v>
      </c>
      <c r="Q572" s="22">
        <f>IF(testdata4[[#This Row],[%R]]&lt;&gt;Table25[[#This Row],[%R]],testdata4[[#This Row],[%R]]-Table25[[#This Row],[%R]],"")</f>
        <v>-1.4210854715202004E-14</v>
      </c>
      <c r="R572" s="11" t="str">
        <f>IF(OR(Table25[[#This Row],[%R]]&lt;-100,Table25[[#This Row],[%R]]&gt;0),"RANGE_ERR","")</f>
        <v>RANGE_ERR</v>
      </c>
    </row>
    <row r="573" spans="1:18" x14ac:dyDescent="0.35">
      <c r="A573" s="6">
        <v>571</v>
      </c>
      <c r="B573" s="3">
        <v>45741</v>
      </c>
      <c r="C573" s="2">
        <v>122.6</v>
      </c>
      <c r="D573" s="2">
        <v>123.04</v>
      </c>
      <c r="E573" s="2">
        <v>119.76</v>
      </c>
      <c r="F573" s="2">
        <v>120.51</v>
      </c>
      <c r="G573" s="1">
        <v>1605993</v>
      </c>
      <c r="H573" s="2">
        <f t="shared" si="20"/>
        <v>117.17</v>
      </c>
      <c r="I573" s="2">
        <f t="shared" si="21"/>
        <v>129.5</v>
      </c>
      <c r="J573" s="22">
        <f>100*(testdata4[[#This Row],[close]]-testdata4[[#This Row],[LL]])/(testdata4[[#This Row],[HH]]-testdata4[[#This Row],[LL]])</f>
        <v>27.088402270884053</v>
      </c>
      <c r="K573" s="22">
        <f>testdata4[[#This Row],[K(14)'']]</f>
        <v>27.088402270884053</v>
      </c>
      <c r="L573" s="22">
        <f>testdata4[[#This Row],[%K]]-100</f>
        <v>-72.911597729115954</v>
      </c>
      <c r="N573" s="12">
        <v>571</v>
      </c>
      <c r="O573" s="13">
        <v>45741</v>
      </c>
      <c r="P573" s="23" t="s">
        <v>574</v>
      </c>
      <c r="Q573" s="22">
        <f>IF(testdata4[[#This Row],[%R]]&lt;&gt;Table25[[#This Row],[%R]],testdata4[[#This Row],[%R]]-Table25[[#This Row],[%R]],"")</f>
        <v>-5.6843418860808015E-14</v>
      </c>
      <c r="R573" s="11" t="str">
        <f>IF(OR(Table25[[#This Row],[%R]]&lt;-100,Table25[[#This Row],[%R]]&gt;0),"RANGE_ERR","")</f>
        <v>RANGE_ERR</v>
      </c>
    </row>
    <row r="574" spans="1:18" x14ac:dyDescent="0.35">
      <c r="A574" s="6">
        <v>572</v>
      </c>
      <c r="B574" s="3">
        <v>45742</v>
      </c>
      <c r="C574" s="2">
        <v>120.72</v>
      </c>
      <c r="D574" s="2">
        <v>121.14</v>
      </c>
      <c r="E574" s="2">
        <v>119.05</v>
      </c>
      <c r="F574" s="2">
        <v>119.9</v>
      </c>
      <c r="G574" s="1">
        <v>2652930</v>
      </c>
      <c r="H574" s="2">
        <f t="shared" ref="H574:H637" si="22">MIN(E561:E574)</f>
        <v>117.17</v>
      </c>
      <c r="I574" s="2">
        <f t="shared" ref="I574:I637" si="23">MAX(D561:D574)</f>
        <v>128.1</v>
      </c>
      <c r="J574" s="22">
        <f>100*(testdata4[[#This Row],[close]]-testdata4[[#This Row],[LL]])/(testdata4[[#This Row],[HH]]-testdata4[[#This Row],[LL]])</f>
        <v>24.977127172918625</v>
      </c>
      <c r="K574" s="22">
        <f>testdata4[[#This Row],[K(14)'']]</f>
        <v>24.977127172918625</v>
      </c>
      <c r="L574" s="22">
        <f>testdata4[[#This Row],[%K]]-100</f>
        <v>-75.022872827081372</v>
      </c>
      <c r="N574" s="12">
        <v>572</v>
      </c>
      <c r="O574" s="13">
        <v>45742</v>
      </c>
      <c r="P574" s="23" t="s">
        <v>575</v>
      </c>
      <c r="Q574" s="22">
        <f>IF(testdata4[[#This Row],[%R]]&lt;&gt;Table25[[#This Row],[%R]],testdata4[[#This Row],[%R]]-Table25[[#This Row],[%R]],"")</f>
        <v>-7.1054273576010019E-14</v>
      </c>
      <c r="R574" s="11" t="str">
        <f>IF(OR(Table25[[#This Row],[%R]]&lt;-100,Table25[[#This Row],[%R]]&gt;0),"RANGE_ERR","")</f>
        <v>RANGE_ERR</v>
      </c>
    </row>
    <row r="575" spans="1:18" x14ac:dyDescent="0.35">
      <c r="A575" s="6">
        <v>573</v>
      </c>
      <c r="B575" s="3">
        <v>45743</v>
      </c>
      <c r="C575" s="2">
        <v>120</v>
      </c>
      <c r="D575" s="2">
        <v>120.33</v>
      </c>
      <c r="E575" s="2">
        <v>118.73</v>
      </c>
      <c r="F575" s="2">
        <v>118.97</v>
      </c>
      <c r="G575" s="1">
        <v>2075742</v>
      </c>
      <c r="H575" s="2">
        <f t="shared" si="22"/>
        <v>117.17</v>
      </c>
      <c r="I575" s="2">
        <f t="shared" si="23"/>
        <v>126.654</v>
      </c>
      <c r="J575" s="22">
        <f>100*(testdata4[[#This Row],[close]]-testdata4[[#This Row],[LL]])/(testdata4[[#This Row],[HH]]-testdata4[[#This Row],[LL]])</f>
        <v>18.979333614508626</v>
      </c>
      <c r="K575" s="22">
        <f>testdata4[[#This Row],[K(14)'']]</f>
        <v>18.979333614508626</v>
      </c>
      <c r="L575" s="22">
        <f>testdata4[[#This Row],[%K]]-100</f>
        <v>-81.020666385491381</v>
      </c>
      <c r="N575" s="12">
        <v>573</v>
      </c>
      <c r="O575" s="13">
        <v>45743</v>
      </c>
      <c r="P575" s="23" t="s">
        <v>576</v>
      </c>
      <c r="Q575" s="22">
        <f>IF(testdata4[[#This Row],[%R]]&lt;&gt;Table25[[#This Row],[%R]],testdata4[[#This Row],[%R]]-Table25[[#This Row],[%R]],"")</f>
        <v>-8.5265128291212022E-14</v>
      </c>
      <c r="R575" s="11" t="str">
        <f>IF(OR(Table25[[#This Row],[%R]]&lt;-100,Table25[[#This Row],[%R]]&gt;0),"RANGE_ERR","")</f>
        <v>RANGE_ERR</v>
      </c>
    </row>
    <row r="576" spans="1:18" x14ac:dyDescent="0.35">
      <c r="A576" s="6">
        <v>574</v>
      </c>
      <c r="B576" s="3">
        <v>45744</v>
      </c>
      <c r="C576" s="2">
        <v>119.21</v>
      </c>
      <c r="D576" s="2">
        <v>119.66</v>
      </c>
      <c r="E576" s="2">
        <v>116.36</v>
      </c>
      <c r="F576" s="2">
        <v>116.69</v>
      </c>
      <c r="G576" s="1">
        <v>1772883</v>
      </c>
      <c r="H576" s="2">
        <f t="shared" si="22"/>
        <v>116.36</v>
      </c>
      <c r="I576" s="2">
        <f t="shared" si="23"/>
        <v>124.43</v>
      </c>
      <c r="J576" s="22">
        <f>100*(testdata4[[#This Row],[close]]-testdata4[[#This Row],[LL]])/(testdata4[[#This Row],[HH]]-testdata4[[#This Row],[LL]])</f>
        <v>4.089219330854994</v>
      </c>
      <c r="K576" s="22">
        <f>testdata4[[#This Row],[K(14)'']]</f>
        <v>4.089219330854994</v>
      </c>
      <c r="L576" s="22">
        <f>testdata4[[#This Row],[%K]]-100</f>
        <v>-95.910780669145012</v>
      </c>
      <c r="N576" s="12">
        <v>574</v>
      </c>
      <c r="O576" s="13">
        <v>45744</v>
      </c>
      <c r="P576" s="23" t="s">
        <v>577</v>
      </c>
      <c r="Q576" s="22">
        <f>IF(testdata4[[#This Row],[%R]]&lt;&gt;Table25[[#This Row],[%R]],testdata4[[#This Row],[%R]]-Table25[[#This Row],[%R]],"")</f>
        <v>-1.4210854715202004E-14</v>
      </c>
      <c r="R576" s="11" t="str">
        <f>IF(OR(Table25[[#This Row],[%R]]&lt;-100,Table25[[#This Row],[%R]]&gt;0),"RANGE_ERR","")</f>
        <v>RANGE_ERR</v>
      </c>
    </row>
    <row r="577" spans="1:18" x14ac:dyDescent="0.35">
      <c r="A577" s="6">
        <v>575</v>
      </c>
      <c r="B577" s="3">
        <v>45747</v>
      </c>
      <c r="C577" s="2">
        <v>116.36</v>
      </c>
      <c r="D577" s="2">
        <v>117.73</v>
      </c>
      <c r="E577" s="2">
        <v>113.76</v>
      </c>
      <c r="F577" s="2">
        <v>116.98</v>
      </c>
      <c r="G577" s="1">
        <v>2014022</v>
      </c>
      <c r="H577" s="2">
        <f t="shared" si="22"/>
        <v>113.76</v>
      </c>
      <c r="I577" s="2">
        <f t="shared" si="23"/>
        <v>124.43</v>
      </c>
      <c r="J577" s="22">
        <f>100*(testdata4[[#This Row],[close]]-testdata4[[#This Row],[LL]])/(testdata4[[#This Row],[HH]]-testdata4[[#This Row],[LL]])</f>
        <v>30.178069353327071</v>
      </c>
      <c r="K577" s="22">
        <f>testdata4[[#This Row],[K(14)'']]</f>
        <v>30.178069353327071</v>
      </c>
      <c r="L577" s="22">
        <f>testdata4[[#This Row],[%K]]-100</f>
        <v>-69.821930646672925</v>
      </c>
      <c r="N577" s="12">
        <v>575</v>
      </c>
      <c r="O577" s="13">
        <v>45747</v>
      </c>
      <c r="P577" s="23" t="s">
        <v>578</v>
      </c>
      <c r="Q577" s="22">
        <f>IF(testdata4[[#This Row],[%R]]&lt;&gt;Table25[[#This Row],[%R]],testdata4[[#This Row],[%R]]-Table25[[#This Row],[%R]],"")</f>
        <v>-2.8421709430404007E-14</v>
      </c>
      <c r="R577" s="11" t="str">
        <f>IF(OR(Table25[[#This Row],[%R]]&lt;-100,Table25[[#This Row],[%R]]&gt;0),"RANGE_ERR","")</f>
        <v>RANGE_ERR</v>
      </c>
    </row>
    <row r="578" spans="1:18" x14ac:dyDescent="0.35">
      <c r="A578" s="6">
        <v>576</v>
      </c>
      <c r="B578" s="3">
        <v>45748</v>
      </c>
      <c r="C578" s="2">
        <v>116.42</v>
      </c>
      <c r="D578" s="2">
        <v>116.465</v>
      </c>
      <c r="E578" s="2">
        <v>113.36</v>
      </c>
      <c r="F578" s="2">
        <v>114.05</v>
      </c>
      <c r="G578" s="1">
        <v>2302795</v>
      </c>
      <c r="H578" s="2">
        <f t="shared" si="22"/>
        <v>113.36</v>
      </c>
      <c r="I578" s="2">
        <f t="shared" si="23"/>
        <v>124.43</v>
      </c>
      <c r="J578" s="22">
        <f>100*(testdata4[[#This Row],[close]]-testdata4[[#This Row],[LL]])/(testdata4[[#This Row],[HH]]-testdata4[[#This Row],[LL]])</f>
        <v>6.233062330623282</v>
      </c>
      <c r="K578" s="22">
        <f>testdata4[[#This Row],[K(14)'']]</f>
        <v>6.233062330623282</v>
      </c>
      <c r="L578" s="22">
        <f>testdata4[[#This Row],[%K]]-100</f>
        <v>-93.766937669376716</v>
      </c>
      <c r="N578" s="12">
        <v>576</v>
      </c>
      <c r="O578" s="13">
        <v>45748</v>
      </c>
      <c r="P578" s="23" t="s">
        <v>579</v>
      </c>
      <c r="Q578" s="22">
        <f>IF(testdata4[[#This Row],[%R]]&lt;&gt;Table25[[#This Row],[%R]],testdata4[[#This Row],[%R]]-Table25[[#This Row],[%R]],"")</f>
        <v>-1.4210854715202004E-14</v>
      </c>
      <c r="R578" s="11" t="str">
        <f>IF(OR(Table25[[#This Row],[%R]]&lt;-100,Table25[[#This Row],[%R]]&gt;0),"RANGE_ERR","")</f>
        <v>RANGE_ERR</v>
      </c>
    </row>
    <row r="579" spans="1:18" x14ac:dyDescent="0.35">
      <c r="A579" s="6">
        <v>577</v>
      </c>
      <c r="B579" s="3">
        <v>45749</v>
      </c>
      <c r="C579" s="2">
        <v>113.12</v>
      </c>
      <c r="D579" s="2">
        <v>116.24</v>
      </c>
      <c r="E579" s="2">
        <v>112.75</v>
      </c>
      <c r="F579" s="2">
        <v>115.99</v>
      </c>
      <c r="G579" s="1">
        <v>1948045</v>
      </c>
      <c r="H579" s="2">
        <f t="shared" si="22"/>
        <v>112.75</v>
      </c>
      <c r="I579" s="2">
        <f t="shared" si="23"/>
        <v>124.43</v>
      </c>
      <c r="J579" s="22">
        <f>100*(testdata4[[#This Row],[close]]-testdata4[[#This Row],[LL]])/(testdata4[[#This Row],[HH]]-testdata4[[#This Row],[LL]])</f>
        <v>27.7397260273972</v>
      </c>
      <c r="K579" s="22">
        <f>testdata4[[#This Row],[K(14)'']]</f>
        <v>27.7397260273972</v>
      </c>
      <c r="L579" s="22">
        <f>testdata4[[#This Row],[%K]]-100</f>
        <v>-72.260273972602803</v>
      </c>
      <c r="N579" s="12">
        <v>577</v>
      </c>
      <c r="O579" s="13">
        <v>45749</v>
      </c>
      <c r="P579" s="23" t="s">
        <v>580</v>
      </c>
      <c r="Q579" s="22">
        <f>IF(testdata4[[#This Row],[%R]]&lt;&gt;Table25[[#This Row],[%R]],testdata4[[#This Row],[%R]]-Table25[[#This Row],[%R]],"")</f>
        <v>0</v>
      </c>
      <c r="R579" s="11" t="str">
        <f>IF(OR(Table25[[#This Row],[%R]]&lt;-100,Table25[[#This Row],[%R]]&gt;0),"RANGE_ERR","")</f>
        <v>RANGE_ERR</v>
      </c>
    </row>
    <row r="580" spans="1:18" x14ac:dyDescent="0.35">
      <c r="A580" s="6">
        <v>578</v>
      </c>
      <c r="B580" s="3">
        <v>45750</v>
      </c>
      <c r="C580" s="2">
        <v>113.1</v>
      </c>
      <c r="D580" s="2">
        <v>113.9</v>
      </c>
      <c r="E580" s="2">
        <v>109.57</v>
      </c>
      <c r="F580" s="2">
        <v>109.67</v>
      </c>
      <c r="G580" s="1">
        <v>3802507</v>
      </c>
      <c r="H580" s="2">
        <f t="shared" si="22"/>
        <v>109.57</v>
      </c>
      <c r="I580" s="2">
        <f t="shared" si="23"/>
        <v>124.43</v>
      </c>
      <c r="J580" s="22">
        <f>100*(testdata4[[#This Row],[close]]-testdata4[[#This Row],[LL]])/(testdata4[[#This Row],[HH]]-testdata4[[#This Row],[LL]])</f>
        <v>0.67294751009426945</v>
      </c>
      <c r="K580" s="22">
        <f>testdata4[[#This Row],[K(14)'']]</f>
        <v>0.67294751009426945</v>
      </c>
      <c r="L580" s="22">
        <f>testdata4[[#This Row],[%K]]-100</f>
        <v>-99.327052489905725</v>
      </c>
      <c r="N580" s="12">
        <v>578</v>
      </c>
      <c r="O580" s="13">
        <v>45750</v>
      </c>
      <c r="P580" s="23" t="s">
        <v>581</v>
      </c>
      <c r="Q580" s="22">
        <f>IF(testdata4[[#This Row],[%R]]&lt;&gt;Table25[[#This Row],[%R]],testdata4[[#This Row],[%R]]-Table25[[#This Row],[%R]],"")</f>
        <v>-2.8421709430404007E-14</v>
      </c>
      <c r="R580" s="11" t="str">
        <f>IF(OR(Table25[[#This Row],[%R]]&lt;-100,Table25[[#This Row],[%R]]&gt;0),"RANGE_ERR","")</f>
        <v>RANGE_ERR</v>
      </c>
    </row>
    <row r="581" spans="1:18" x14ac:dyDescent="0.35">
      <c r="A581" s="6">
        <v>579</v>
      </c>
      <c r="B581" s="3">
        <v>45751</v>
      </c>
      <c r="C581" s="2">
        <v>107.14</v>
      </c>
      <c r="D581" s="2">
        <v>107.7</v>
      </c>
      <c r="E581" s="2">
        <v>102.85</v>
      </c>
      <c r="F581" s="2">
        <v>103</v>
      </c>
      <c r="G581" s="1">
        <v>3826426</v>
      </c>
      <c r="H581" s="2">
        <f t="shared" si="22"/>
        <v>102.85</v>
      </c>
      <c r="I581" s="2">
        <f t="shared" si="23"/>
        <v>124.43</v>
      </c>
      <c r="J581" s="22">
        <f>100*(testdata4[[#This Row],[close]]-testdata4[[#This Row],[LL]])/(testdata4[[#This Row],[HH]]-testdata4[[#This Row],[LL]])</f>
        <v>0.69508804448566075</v>
      </c>
      <c r="K581" s="22">
        <f>testdata4[[#This Row],[K(14)'']]</f>
        <v>0.69508804448566075</v>
      </c>
      <c r="L581" s="22">
        <f>testdata4[[#This Row],[%K]]-100</f>
        <v>-99.304911955514342</v>
      </c>
      <c r="N581" s="12">
        <v>579</v>
      </c>
      <c r="O581" s="13">
        <v>45751</v>
      </c>
      <c r="P581" s="23" t="s">
        <v>582</v>
      </c>
      <c r="Q581" s="22">
        <f>IF(testdata4[[#This Row],[%R]]&lt;&gt;Table25[[#This Row],[%R]],testdata4[[#This Row],[%R]]-Table25[[#This Row],[%R]],"")</f>
        <v>-4.2632564145606011E-14</v>
      </c>
      <c r="R581" s="11" t="str">
        <f>IF(OR(Table25[[#This Row],[%R]]&lt;-100,Table25[[#This Row],[%R]]&gt;0),"RANGE_ERR","")</f>
        <v>RANGE_ERR</v>
      </c>
    </row>
    <row r="582" spans="1:18" x14ac:dyDescent="0.35">
      <c r="A582" s="6">
        <v>580</v>
      </c>
      <c r="B582" s="3">
        <v>45754</v>
      </c>
      <c r="C582" s="2">
        <v>102.63</v>
      </c>
      <c r="D582" s="2">
        <v>107</v>
      </c>
      <c r="E582" s="2">
        <v>98.51</v>
      </c>
      <c r="F582" s="2">
        <v>103.59</v>
      </c>
      <c r="G582" s="1">
        <v>3563028</v>
      </c>
      <c r="H582" s="2">
        <f t="shared" si="22"/>
        <v>98.51</v>
      </c>
      <c r="I582" s="2">
        <f t="shared" si="23"/>
        <v>124.43</v>
      </c>
      <c r="J582" s="22">
        <f>100*(testdata4[[#This Row],[close]]-testdata4[[#This Row],[LL]])/(testdata4[[#This Row],[HH]]-testdata4[[#This Row],[LL]])</f>
        <v>19.598765432098759</v>
      </c>
      <c r="K582" s="22">
        <f>testdata4[[#This Row],[K(14)'']]</f>
        <v>19.598765432098759</v>
      </c>
      <c r="L582" s="22">
        <f>testdata4[[#This Row],[%K]]-100</f>
        <v>-80.401234567901241</v>
      </c>
      <c r="N582" s="12">
        <v>580</v>
      </c>
      <c r="O582" s="13">
        <v>45754</v>
      </c>
      <c r="P582" s="23" t="s">
        <v>583</v>
      </c>
      <c r="Q582" s="22">
        <f>IF(testdata4[[#This Row],[%R]]&lt;&gt;Table25[[#This Row],[%R]],testdata4[[#This Row],[%R]]-Table25[[#This Row],[%R]],"")</f>
        <v>-4.2632564145606011E-14</v>
      </c>
      <c r="R582" s="11" t="str">
        <f>IF(OR(Table25[[#This Row],[%R]]&lt;-100,Table25[[#This Row],[%R]]&gt;0),"RANGE_ERR","")</f>
        <v>RANGE_ERR</v>
      </c>
    </row>
    <row r="583" spans="1:18" x14ac:dyDescent="0.35">
      <c r="A583" s="6">
        <v>581</v>
      </c>
      <c r="B583" s="3">
        <v>45755</v>
      </c>
      <c r="C583" s="2">
        <v>106.06</v>
      </c>
      <c r="D583" s="2">
        <v>106.76</v>
      </c>
      <c r="E583" s="2">
        <v>97.37</v>
      </c>
      <c r="F583" s="2">
        <v>99.29</v>
      </c>
      <c r="G583" s="1">
        <v>4524489</v>
      </c>
      <c r="H583" s="2">
        <f t="shared" si="22"/>
        <v>97.37</v>
      </c>
      <c r="I583" s="2">
        <f t="shared" si="23"/>
        <v>124.43</v>
      </c>
      <c r="J583" s="22">
        <f>100*(testdata4[[#This Row],[close]]-testdata4[[#This Row],[LL]])/(testdata4[[#This Row],[HH]]-testdata4[[#This Row],[LL]])</f>
        <v>7.09534368070954</v>
      </c>
      <c r="K583" s="22">
        <f>testdata4[[#This Row],[K(14)'']]</f>
        <v>7.09534368070954</v>
      </c>
      <c r="L583" s="22">
        <f>testdata4[[#This Row],[%K]]-100</f>
        <v>-92.904656319290467</v>
      </c>
      <c r="N583" s="12">
        <v>581</v>
      </c>
      <c r="O583" s="13">
        <v>45755</v>
      </c>
      <c r="P583" s="23" t="s">
        <v>584</v>
      </c>
      <c r="Q583" s="22">
        <f>IF(testdata4[[#This Row],[%R]]&lt;&gt;Table25[[#This Row],[%R]],testdata4[[#This Row],[%R]]-Table25[[#This Row],[%R]],"")</f>
        <v>-7.1054273576010019E-14</v>
      </c>
      <c r="R583" s="11" t="str">
        <f>IF(OR(Table25[[#This Row],[%R]]&lt;-100,Table25[[#This Row],[%R]]&gt;0),"RANGE_ERR","")</f>
        <v>RANGE_ERR</v>
      </c>
    </row>
    <row r="584" spans="1:18" x14ac:dyDescent="0.35">
      <c r="A584" s="6">
        <v>582</v>
      </c>
      <c r="B584" s="3">
        <v>45756</v>
      </c>
      <c r="C584" s="2">
        <v>98.06</v>
      </c>
      <c r="D584" s="2">
        <v>107.29819999999999</v>
      </c>
      <c r="E584" s="2">
        <v>96.43</v>
      </c>
      <c r="F584" s="2">
        <v>107.05</v>
      </c>
      <c r="G584" s="1">
        <v>4234548</v>
      </c>
      <c r="H584" s="2">
        <f t="shared" si="22"/>
        <v>96.43</v>
      </c>
      <c r="I584" s="2">
        <f t="shared" si="23"/>
        <v>124.43</v>
      </c>
      <c r="J584" s="22">
        <f>100*(testdata4[[#This Row],[close]]-testdata4[[#This Row],[LL]])/(testdata4[[#This Row],[HH]]-testdata4[[#This Row],[LL]])</f>
        <v>37.928571428571395</v>
      </c>
      <c r="K584" s="22">
        <f>testdata4[[#This Row],[K(14)'']]</f>
        <v>37.928571428571395</v>
      </c>
      <c r="L584" s="22">
        <f>testdata4[[#This Row],[%K]]-100</f>
        <v>-62.071428571428605</v>
      </c>
      <c r="N584" s="12">
        <v>582</v>
      </c>
      <c r="O584" s="13">
        <v>45756</v>
      </c>
      <c r="P584" s="23" t="s">
        <v>585</v>
      </c>
      <c r="Q584" s="22">
        <f>IF(testdata4[[#This Row],[%R]]&lt;&gt;Table25[[#This Row],[%R]],testdata4[[#This Row],[%R]]-Table25[[#This Row],[%R]],"")</f>
        <v>-7.1054273576010019E-15</v>
      </c>
      <c r="R584" s="11" t="str">
        <f>IF(OR(Table25[[#This Row],[%R]]&lt;-100,Table25[[#This Row],[%R]]&gt;0),"RANGE_ERR","")</f>
        <v>RANGE_ERR</v>
      </c>
    </row>
    <row r="585" spans="1:18" x14ac:dyDescent="0.35">
      <c r="A585" s="6">
        <v>583</v>
      </c>
      <c r="B585" s="3">
        <v>45757</v>
      </c>
      <c r="C585" s="2">
        <v>104.82</v>
      </c>
      <c r="D585" s="2">
        <v>105.28</v>
      </c>
      <c r="E585" s="2">
        <v>96.81</v>
      </c>
      <c r="F585" s="2">
        <v>99.95</v>
      </c>
      <c r="G585" s="1">
        <v>4977804</v>
      </c>
      <c r="H585" s="2">
        <f t="shared" si="22"/>
        <v>96.43</v>
      </c>
      <c r="I585" s="2">
        <f t="shared" si="23"/>
        <v>124.43</v>
      </c>
      <c r="J585" s="22">
        <f>100*(testdata4[[#This Row],[close]]-testdata4[[#This Row],[LL]])/(testdata4[[#This Row],[HH]]-testdata4[[#This Row],[LL]])</f>
        <v>12.571428571428557</v>
      </c>
      <c r="K585" s="22">
        <f>testdata4[[#This Row],[K(14)'']]</f>
        <v>12.571428571428557</v>
      </c>
      <c r="L585" s="22">
        <f>testdata4[[#This Row],[%K]]-100</f>
        <v>-87.428571428571445</v>
      </c>
      <c r="N585" s="12">
        <v>583</v>
      </c>
      <c r="O585" s="13">
        <v>45757</v>
      </c>
      <c r="P585" s="23" t="s">
        <v>586</v>
      </c>
      <c r="Q585" s="22">
        <f>IF(testdata4[[#This Row],[%R]]&lt;&gt;Table25[[#This Row],[%R]],testdata4[[#This Row],[%R]]-Table25[[#This Row],[%R]],"")</f>
        <v>-4.2632564145606011E-14</v>
      </c>
      <c r="R585" s="11" t="str">
        <f>IF(OR(Table25[[#This Row],[%R]]&lt;-100,Table25[[#This Row],[%R]]&gt;0),"RANGE_ERR","")</f>
        <v>RANGE_ERR</v>
      </c>
    </row>
    <row r="586" spans="1:18" x14ac:dyDescent="0.35">
      <c r="A586" s="6">
        <v>584</v>
      </c>
      <c r="B586" s="3">
        <v>45758</v>
      </c>
      <c r="C586" s="2">
        <v>101.15</v>
      </c>
      <c r="D586" s="2">
        <v>103.33499999999999</v>
      </c>
      <c r="E586" s="2">
        <v>98.86</v>
      </c>
      <c r="F586" s="2">
        <v>102.71</v>
      </c>
      <c r="G586" s="1">
        <v>2849084</v>
      </c>
      <c r="H586" s="2">
        <f t="shared" si="22"/>
        <v>96.43</v>
      </c>
      <c r="I586" s="2">
        <f t="shared" si="23"/>
        <v>123.04</v>
      </c>
      <c r="J586" s="22">
        <f>100*(testdata4[[#This Row],[close]]-testdata4[[#This Row],[LL]])/(testdata4[[#This Row],[HH]]-testdata4[[#This Row],[LL]])</f>
        <v>23.600150319428735</v>
      </c>
      <c r="K586" s="22">
        <f>testdata4[[#This Row],[K(14)'']]</f>
        <v>23.600150319428735</v>
      </c>
      <c r="L586" s="22">
        <f>testdata4[[#This Row],[%K]]-100</f>
        <v>-76.399849680571265</v>
      </c>
      <c r="N586" s="12">
        <v>584</v>
      </c>
      <c r="O586" s="13">
        <v>45758</v>
      </c>
      <c r="P586" s="23" t="s">
        <v>587</v>
      </c>
      <c r="Q586" s="22">
        <f>IF(testdata4[[#This Row],[%R]]&lt;&gt;Table25[[#This Row],[%R]],testdata4[[#This Row],[%R]]-Table25[[#This Row],[%R]],"")</f>
        <v>-7.1054273576010019E-14</v>
      </c>
      <c r="R586" s="11" t="str">
        <f>IF(OR(Table25[[#This Row],[%R]]&lt;-100,Table25[[#This Row],[%R]]&gt;0),"RANGE_ERR","")</f>
        <v>RANGE_ERR</v>
      </c>
    </row>
    <row r="587" spans="1:18" x14ac:dyDescent="0.35">
      <c r="A587" s="6">
        <v>585</v>
      </c>
      <c r="B587" s="3">
        <v>45761</v>
      </c>
      <c r="C587" s="2">
        <v>104.94</v>
      </c>
      <c r="D587" s="2">
        <v>106.21</v>
      </c>
      <c r="E587" s="2">
        <v>104</v>
      </c>
      <c r="F587" s="2">
        <v>105.19</v>
      </c>
      <c r="G587" s="1">
        <v>1906747</v>
      </c>
      <c r="H587" s="2">
        <f t="shared" si="22"/>
        <v>96.43</v>
      </c>
      <c r="I587" s="2">
        <f t="shared" si="23"/>
        <v>121.14</v>
      </c>
      <c r="J587" s="22">
        <f>100*(testdata4[[#This Row],[close]]-testdata4[[#This Row],[LL]])/(testdata4[[#This Row],[HH]]-testdata4[[#This Row],[LL]])</f>
        <v>35.451234318089817</v>
      </c>
      <c r="K587" s="22">
        <f>testdata4[[#This Row],[K(14)'']]</f>
        <v>35.451234318089817</v>
      </c>
      <c r="L587" s="22">
        <f>testdata4[[#This Row],[%K]]-100</f>
        <v>-64.548765681910183</v>
      </c>
      <c r="N587" s="12">
        <v>585</v>
      </c>
      <c r="O587" s="13">
        <v>45761</v>
      </c>
      <c r="P587" s="23" t="s">
        <v>588</v>
      </c>
      <c r="Q587" s="22">
        <f>IF(testdata4[[#This Row],[%R]]&lt;&gt;Table25[[#This Row],[%R]],testdata4[[#This Row],[%R]]-Table25[[#This Row],[%R]],"")</f>
        <v>-8.5265128291212022E-14</v>
      </c>
      <c r="R587" s="11" t="str">
        <f>IF(OR(Table25[[#This Row],[%R]]&lt;-100,Table25[[#This Row],[%R]]&gt;0),"RANGE_ERR","")</f>
        <v>RANGE_ERR</v>
      </c>
    </row>
    <row r="588" spans="1:18" x14ac:dyDescent="0.35">
      <c r="A588" s="6">
        <v>586</v>
      </c>
      <c r="B588" s="3">
        <v>45762</v>
      </c>
      <c r="C588" s="2">
        <v>104.3</v>
      </c>
      <c r="D588" s="2">
        <v>105.25</v>
      </c>
      <c r="E588" s="2">
        <v>102.54</v>
      </c>
      <c r="F588" s="2">
        <v>103.12</v>
      </c>
      <c r="G588" s="1">
        <v>1326713</v>
      </c>
      <c r="H588" s="2">
        <f t="shared" si="22"/>
        <v>96.43</v>
      </c>
      <c r="I588" s="2">
        <f t="shared" si="23"/>
        <v>120.33</v>
      </c>
      <c r="J588" s="22">
        <f>100*(testdata4[[#This Row],[close]]-testdata4[[#This Row],[LL]])/(testdata4[[#This Row],[HH]]-testdata4[[#This Row],[LL]])</f>
        <v>27.99163179916318</v>
      </c>
      <c r="K588" s="22">
        <f>testdata4[[#This Row],[K(14)'']]</f>
        <v>27.99163179916318</v>
      </c>
      <c r="L588" s="22">
        <f>testdata4[[#This Row],[%K]]-100</f>
        <v>-72.008368200836827</v>
      </c>
      <c r="N588" s="12">
        <v>586</v>
      </c>
      <c r="O588" s="13">
        <v>45762</v>
      </c>
      <c r="P588" s="23" t="s">
        <v>589</v>
      </c>
      <c r="Q588" s="22">
        <f>IF(testdata4[[#This Row],[%R]]&lt;&gt;Table25[[#This Row],[%R]],testdata4[[#This Row],[%R]]-Table25[[#This Row],[%R]],"")</f>
        <v>-2.8421709430404007E-14</v>
      </c>
      <c r="R588" s="11" t="str">
        <f>IF(OR(Table25[[#This Row],[%R]]&lt;-100,Table25[[#This Row],[%R]]&gt;0),"RANGE_ERR","")</f>
        <v>RANGE_ERR</v>
      </c>
    </row>
    <row r="589" spans="1:18" x14ac:dyDescent="0.35">
      <c r="A589" s="6">
        <v>587</v>
      </c>
      <c r="B589" s="3">
        <v>45763</v>
      </c>
      <c r="C589" s="2">
        <v>103.22</v>
      </c>
      <c r="D589" s="2">
        <v>104.83</v>
      </c>
      <c r="E589" s="2">
        <v>101.87</v>
      </c>
      <c r="F589" s="2">
        <v>102.7</v>
      </c>
      <c r="G589" s="1">
        <v>1454411</v>
      </c>
      <c r="H589" s="2">
        <f t="shared" si="22"/>
        <v>96.43</v>
      </c>
      <c r="I589" s="2">
        <f t="shared" si="23"/>
        <v>119.66</v>
      </c>
      <c r="J589" s="22">
        <f>100*(testdata4[[#This Row],[close]]-testdata4[[#This Row],[LL]])/(testdata4[[#This Row],[HH]]-testdata4[[#This Row],[LL]])</f>
        <v>26.990959965561768</v>
      </c>
      <c r="K589" s="22">
        <f>testdata4[[#This Row],[K(14)'']]</f>
        <v>26.990959965561768</v>
      </c>
      <c r="L589" s="22">
        <f>testdata4[[#This Row],[%K]]-100</f>
        <v>-73.009040034438229</v>
      </c>
      <c r="N589" s="12">
        <v>587</v>
      </c>
      <c r="O589" s="13">
        <v>45763</v>
      </c>
      <c r="P589" s="23" t="s">
        <v>590</v>
      </c>
      <c r="Q589" s="22">
        <f>IF(testdata4[[#This Row],[%R]]&lt;&gt;Table25[[#This Row],[%R]],testdata4[[#This Row],[%R]]-Table25[[#This Row],[%R]],"")</f>
        <v>-2.8421709430404007E-14</v>
      </c>
      <c r="R589" s="11" t="str">
        <f>IF(OR(Table25[[#This Row],[%R]]&lt;-100,Table25[[#This Row],[%R]]&gt;0),"RANGE_ERR","")</f>
        <v>RANGE_ERR</v>
      </c>
    </row>
    <row r="590" spans="1:18" x14ac:dyDescent="0.35">
      <c r="A590" s="6">
        <v>588</v>
      </c>
      <c r="B590" s="3">
        <v>45764</v>
      </c>
      <c r="C590" s="2">
        <v>102.63</v>
      </c>
      <c r="D590" s="2">
        <v>103.5</v>
      </c>
      <c r="E590" s="2">
        <v>101.355</v>
      </c>
      <c r="F590" s="2">
        <v>102.48</v>
      </c>
      <c r="G590" s="1">
        <v>1769917</v>
      </c>
      <c r="H590" s="2">
        <f t="shared" si="22"/>
        <v>96.43</v>
      </c>
      <c r="I590" s="2">
        <f t="shared" si="23"/>
        <v>117.73</v>
      </c>
      <c r="J590" s="22">
        <f>100*(testdata4[[#This Row],[close]]-testdata4[[#This Row],[LL]])/(testdata4[[#This Row],[HH]]-testdata4[[#This Row],[LL]])</f>
        <v>28.403755868544593</v>
      </c>
      <c r="K590" s="22">
        <f>testdata4[[#This Row],[K(14)'']]</f>
        <v>28.403755868544593</v>
      </c>
      <c r="L590" s="22">
        <f>testdata4[[#This Row],[%K]]-100</f>
        <v>-71.596244131455407</v>
      </c>
      <c r="N590" s="12">
        <v>588</v>
      </c>
      <c r="O590" s="13">
        <v>45764</v>
      </c>
      <c r="P590" s="23" t="s">
        <v>591</v>
      </c>
      <c r="Q590" s="22">
        <f>IF(testdata4[[#This Row],[%R]]&lt;&gt;Table25[[#This Row],[%R]],testdata4[[#This Row],[%R]]-Table25[[#This Row],[%R]],"")</f>
        <v>0</v>
      </c>
      <c r="R590" s="11" t="str">
        <f>IF(OR(Table25[[#This Row],[%R]]&lt;-100,Table25[[#This Row],[%R]]&gt;0),"RANGE_ERR","")</f>
        <v>RANGE_ERR</v>
      </c>
    </row>
    <row r="591" spans="1:18" x14ac:dyDescent="0.35">
      <c r="A591" s="6">
        <v>589</v>
      </c>
      <c r="B591" s="3">
        <v>45768</v>
      </c>
      <c r="C591" s="2">
        <v>101.85</v>
      </c>
      <c r="D591" s="2">
        <v>102.04</v>
      </c>
      <c r="E591" s="2">
        <v>99.12</v>
      </c>
      <c r="F591" s="2">
        <v>100.26</v>
      </c>
      <c r="G591" s="1">
        <v>2321821</v>
      </c>
      <c r="H591" s="2">
        <f t="shared" si="22"/>
        <v>96.43</v>
      </c>
      <c r="I591" s="2">
        <f t="shared" si="23"/>
        <v>116.465</v>
      </c>
      <c r="J591" s="22">
        <f>100*(testdata4[[#This Row],[close]]-testdata4[[#This Row],[LL]])/(testdata4[[#This Row],[HH]]-testdata4[[#This Row],[LL]])</f>
        <v>19.116546044422257</v>
      </c>
      <c r="K591" s="22">
        <f>testdata4[[#This Row],[K(14)'']]</f>
        <v>19.116546044422257</v>
      </c>
      <c r="L591" s="22">
        <f>testdata4[[#This Row],[%K]]-100</f>
        <v>-80.88345395557775</v>
      </c>
      <c r="N591" s="12">
        <v>589</v>
      </c>
      <c r="O591" s="13">
        <v>45768</v>
      </c>
      <c r="P591" s="23" t="s">
        <v>592</v>
      </c>
      <c r="Q591" s="22">
        <f>IF(testdata4[[#This Row],[%R]]&lt;&gt;Table25[[#This Row],[%R]],testdata4[[#This Row],[%R]]-Table25[[#This Row],[%R]],"")</f>
        <v>-4.2632564145606011E-14</v>
      </c>
      <c r="R591" s="11" t="str">
        <f>IF(OR(Table25[[#This Row],[%R]]&lt;-100,Table25[[#This Row],[%R]]&gt;0),"RANGE_ERR","")</f>
        <v>RANGE_ERR</v>
      </c>
    </row>
    <row r="592" spans="1:18" x14ac:dyDescent="0.35">
      <c r="A592" s="6">
        <v>590</v>
      </c>
      <c r="B592" s="3">
        <v>45769</v>
      </c>
      <c r="C592" s="2">
        <v>102</v>
      </c>
      <c r="D592" s="2">
        <v>103.94</v>
      </c>
      <c r="E592" s="2">
        <v>101.2</v>
      </c>
      <c r="F592" s="2">
        <v>102.81</v>
      </c>
      <c r="G592" s="1">
        <v>2321791</v>
      </c>
      <c r="H592" s="2">
        <f t="shared" si="22"/>
        <v>96.43</v>
      </c>
      <c r="I592" s="2">
        <f t="shared" si="23"/>
        <v>116.24</v>
      </c>
      <c r="J592" s="22">
        <f>100*(testdata4[[#This Row],[close]]-testdata4[[#This Row],[LL]])/(testdata4[[#This Row],[HH]]-testdata4[[#This Row],[LL]])</f>
        <v>32.205956587582023</v>
      </c>
      <c r="K592" s="22">
        <f>testdata4[[#This Row],[K(14)'']]</f>
        <v>32.205956587582023</v>
      </c>
      <c r="L592" s="22">
        <f>testdata4[[#This Row],[%K]]-100</f>
        <v>-67.794043412417977</v>
      </c>
      <c r="N592" s="12">
        <v>590</v>
      </c>
      <c r="O592" s="13">
        <v>45769</v>
      </c>
      <c r="P592" s="23" t="s">
        <v>593</v>
      </c>
      <c r="Q592" s="22">
        <f>IF(testdata4[[#This Row],[%R]]&lt;&gt;Table25[[#This Row],[%R]],testdata4[[#This Row],[%R]]-Table25[[#This Row],[%R]],"")</f>
        <v>-7.1054273576010019E-14</v>
      </c>
      <c r="R592" s="11" t="str">
        <f>IF(OR(Table25[[#This Row],[%R]]&lt;-100,Table25[[#This Row],[%R]]&gt;0),"RANGE_ERR","")</f>
        <v>RANGE_ERR</v>
      </c>
    </row>
    <row r="593" spans="1:18" x14ac:dyDescent="0.35">
      <c r="A593" s="6">
        <v>591</v>
      </c>
      <c r="B593" s="3">
        <v>45770</v>
      </c>
      <c r="C593" s="2">
        <v>106.67</v>
      </c>
      <c r="D593" s="2">
        <v>109.62</v>
      </c>
      <c r="E593" s="2">
        <v>104.75</v>
      </c>
      <c r="F593" s="2">
        <v>105</v>
      </c>
      <c r="G593" s="1">
        <v>2236208</v>
      </c>
      <c r="H593" s="2">
        <f t="shared" si="22"/>
        <v>96.43</v>
      </c>
      <c r="I593" s="2">
        <f t="shared" si="23"/>
        <v>113.9</v>
      </c>
      <c r="J593" s="22">
        <f>100*(testdata4[[#This Row],[close]]-testdata4[[#This Row],[LL]])/(testdata4[[#This Row],[HH]]-testdata4[[#This Row],[LL]])</f>
        <v>49.055523755008551</v>
      </c>
      <c r="K593" s="22">
        <f>testdata4[[#This Row],[K(14)'']]</f>
        <v>49.055523755008551</v>
      </c>
      <c r="L593" s="22">
        <f>testdata4[[#This Row],[%K]]-100</f>
        <v>-50.944476244991449</v>
      </c>
      <c r="N593" s="12">
        <v>591</v>
      </c>
      <c r="O593" s="13">
        <v>45770</v>
      </c>
      <c r="P593" s="23" t="s">
        <v>594</v>
      </c>
      <c r="Q593" s="22">
        <f>IF(testdata4[[#This Row],[%R]]&lt;&gt;Table25[[#This Row],[%R]],testdata4[[#This Row],[%R]]-Table25[[#This Row],[%R]],"")</f>
        <v>-4.9737991503207013E-14</v>
      </c>
      <c r="R593" s="11" t="str">
        <f>IF(OR(Table25[[#This Row],[%R]]&lt;-100,Table25[[#This Row],[%R]]&gt;0),"RANGE_ERR","")</f>
        <v>RANGE_ERR</v>
      </c>
    </row>
    <row r="594" spans="1:18" x14ac:dyDescent="0.35">
      <c r="A594" s="6">
        <v>592</v>
      </c>
      <c r="B594" s="3">
        <v>45771</v>
      </c>
      <c r="C594" s="2">
        <v>105.42</v>
      </c>
      <c r="D594" s="2">
        <v>107.08</v>
      </c>
      <c r="E594" s="2">
        <v>103.16</v>
      </c>
      <c r="F594" s="2">
        <v>107.02</v>
      </c>
      <c r="G594" s="1">
        <v>1989456</v>
      </c>
      <c r="H594" s="2">
        <f t="shared" si="22"/>
        <v>96.43</v>
      </c>
      <c r="I594" s="2">
        <f t="shared" si="23"/>
        <v>109.62</v>
      </c>
      <c r="J594" s="22">
        <f>100*(testdata4[[#This Row],[close]]-testdata4[[#This Row],[LL]])/(testdata4[[#This Row],[HH]]-testdata4[[#This Row],[LL]])</f>
        <v>80.288097043214478</v>
      </c>
      <c r="K594" s="22">
        <f>testdata4[[#This Row],[K(14)'']]</f>
        <v>80.288097043214478</v>
      </c>
      <c r="L594" s="22">
        <f>testdata4[[#This Row],[%K]]-100</f>
        <v>-19.711902956785522</v>
      </c>
      <c r="N594" s="12">
        <v>592</v>
      </c>
      <c r="O594" s="13">
        <v>45771</v>
      </c>
      <c r="P594" s="23" t="s">
        <v>595</v>
      </c>
      <c r="Q594" s="22">
        <f>IF(testdata4[[#This Row],[%R]]&lt;&gt;Table25[[#This Row],[%R]],testdata4[[#This Row],[%R]]-Table25[[#This Row],[%R]],"")</f>
        <v>-2.1316282072803006E-14</v>
      </c>
      <c r="R594" s="11" t="str">
        <f>IF(OR(Table25[[#This Row],[%R]]&lt;-100,Table25[[#This Row],[%R]]&gt;0),"RANGE_ERR","")</f>
        <v>RANGE_ERR</v>
      </c>
    </row>
    <row r="595" spans="1:18" x14ac:dyDescent="0.35">
      <c r="A595" s="6">
        <v>593</v>
      </c>
      <c r="B595" s="3">
        <v>45772</v>
      </c>
      <c r="C595" s="2">
        <v>105.87</v>
      </c>
      <c r="D595" s="2">
        <v>106.43</v>
      </c>
      <c r="E595" s="2">
        <v>104.35</v>
      </c>
      <c r="F595" s="2">
        <v>106.28</v>
      </c>
      <c r="G595" s="1">
        <v>1120576</v>
      </c>
      <c r="H595" s="2">
        <f t="shared" si="22"/>
        <v>96.43</v>
      </c>
      <c r="I595" s="2">
        <f t="shared" si="23"/>
        <v>109.62</v>
      </c>
      <c r="J595" s="22">
        <f>100*(testdata4[[#This Row],[close]]-testdata4[[#This Row],[LL]])/(testdata4[[#This Row],[HH]]-testdata4[[#This Row],[LL]])</f>
        <v>74.677786201667899</v>
      </c>
      <c r="K595" s="22">
        <f>testdata4[[#This Row],[K(14)'']]</f>
        <v>74.677786201667899</v>
      </c>
      <c r="L595" s="22">
        <f>testdata4[[#This Row],[%K]]-100</f>
        <v>-25.322213798332101</v>
      </c>
      <c r="N595" s="12">
        <v>593</v>
      </c>
      <c r="O595" s="13">
        <v>45772</v>
      </c>
      <c r="P595" s="23" t="s">
        <v>596</v>
      </c>
      <c r="Q595" s="22">
        <f>IF(testdata4[[#This Row],[%R]]&lt;&gt;Table25[[#This Row],[%R]],testdata4[[#This Row],[%R]]-Table25[[#This Row],[%R]],"")</f>
        <v>0</v>
      </c>
      <c r="R595" s="11" t="str">
        <f>IF(OR(Table25[[#This Row],[%R]]&lt;-100,Table25[[#This Row],[%R]]&gt;0),"RANGE_ERR","")</f>
        <v>RANGE_ERR</v>
      </c>
    </row>
    <row r="596" spans="1:18" x14ac:dyDescent="0.35">
      <c r="A596" s="6">
        <v>594</v>
      </c>
      <c r="B596" s="3">
        <v>45775</v>
      </c>
      <c r="C596" s="2">
        <v>107.35</v>
      </c>
      <c r="D596" s="2">
        <v>108.56</v>
      </c>
      <c r="E596" s="2">
        <v>105.39</v>
      </c>
      <c r="F596" s="2">
        <v>106.87</v>
      </c>
      <c r="G596" s="1">
        <v>1689804</v>
      </c>
      <c r="H596" s="2">
        <f t="shared" si="22"/>
        <v>96.43</v>
      </c>
      <c r="I596" s="2">
        <f t="shared" si="23"/>
        <v>109.62</v>
      </c>
      <c r="J596" s="22">
        <f>100*(testdata4[[#This Row],[close]]-testdata4[[#This Row],[LL]])/(testdata4[[#This Row],[HH]]-testdata4[[#This Row],[LL]])</f>
        <v>79.150871872630773</v>
      </c>
      <c r="K596" s="22">
        <f>testdata4[[#This Row],[K(14)'']]</f>
        <v>79.150871872630773</v>
      </c>
      <c r="L596" s="22">
        <f>testdata4[[#This Row],[%K]]-100</f>
        <v>-20.849128127369227</v>
      </c>
      <c r="N596" s="12">
        <v>594</v>
      </c>
      <c r="O596" s="13">
        <v>45775</v>
      </c>
      <c r="P596" s="23" t="s">
        <v>597</v>
      </c>
      <c r="Q596" s="22">
        <f>IF(testdata4[[#This Row],[%R]]&lt;&gt;Table25[[#This Row],[%R]],testdata4[[#This Row],[%R]]-Table25[[#This Row],[%R]],"")</f>
        <v>-2.4868995751603507E-14</v>
      </c>
      <c r="R596" s="11" t="str">
        <f>IF(OR(Table25[[#This Row],[%R]]&lt;-100,Table25[[#This Row],[%R]]&gt;0),"RANGE_ERR","")</f>
        <v>RANGE_ERR</v>
      </c>
    </row>
    <row r="597" spans="1:18" x14ac:dyDescent="0.35">
      <c r="A597" s="6">
        <v>595</v>
      </c>
      <c r="B597" s="3">
        <v>45776</v>
      </c>
      <c r="C597" s="2">
        <v>106.9</v>
      </c>
      <c r="D597" s="2">
        <v>108.02</v>
      </c>
      <c r="E597" s="2">
        <v>105.78</v>
      </c>
      <c r="F597" s="2">
        <v>107.46</v>
      </c>
      <c r="G597" s="1">
        <v>1201839</v>
      </c>
      <c r="H597" s="2">
        <f t="shared" si="22"/>
        <v>96.43</v>
      </c>
      <c r="I597" s="2">
        <f t="shared" si="23"/>
        <v>109.62</v>
      </c>
      <c r="J597" s="22">
        <f>100*(testdata4[[#This Row],[close]]-testdata4[[#This Row],[LL]])/(testdata4[[#This Row],[HH]]-testdata4[[#This Row],[LL]])</f>
        <v>83.623957543593548</v>
      </c>
      <c r="K597" s="22">
        <f>testdata4[[#This Row],[K(14)'']]</f>
        <v>83.623957543593548</v>
      </c>
      <c r="L597" s="22">
        <f>testdata4[[#This Row],[%K]]-100</f>
        <v>-16.376042456406452</v>
      </c>
      <c r="N597" s="12">
        <v>595</v>
      </c>
      <c r="O597" s="13">
        <v>45776</v>
      </c>
      <c r="P597" s="23" t="s">
        <v>598</v>
      </c>
      <c r="Q597" s="22">
        <f>IF(testdata4[[#This Row],[%R]]&lt;&gt;Table25[[#This Row],[%R]],testdata4[[#This Row],[%R]]-Table25[[#This Row],[%R]],"")</f>
        <v>-5.3290705182007514E-14</v>
      </c>
      <c r="R597" s="11" t="str">
        <f>IF(OR(Table25[[#This Row],[%R]]&lt;-100,Table25[[#This Row],[%R]]&gt;0),"RANGE_ERR","")</f>
        <v>RANGE_ERR</v>
      </c>
    </row>
    <row r="598" spans="1:18" x14ac:dyDescent="0.35">
      <c r="A598" s="6">
        <v>596</v>
      </c>
      <c r="B598" s="3">
        <v>45777</v>
      </c>
      <c r="C598" s="2">
        <v>106.96</v>
      </c>
      <c r="D598" s="2">
        <v>107.95</v>
      </c>
      <c r="E598" s="2">
        <v>105.45</v>
      </c>
      <c r="F598" s="2">
        <v>107.6</v>
      </c>
      <c r="G598" s="1">
        <v>1452202</v>
      </c>
      <c r="H598" s="2">
        <f t="shared" si="22"/>
        <v>96.81</v>
      </c>
      <c r="I598" s="2">
        <f t="shared" si="23"/>
        <v>109.62</v>
      </c>
      <c r="J598" s="22">
        <f>100*(testdata4[[#This Row],[close]]-testdata4[[#This Row],[LL]])/(testdata4[[#This Row],[HH]]-testdata4[[#This Row],[LL]])</f>
        <v>84.23106947697103</v>
      </c>
      <c r="K598" s="22">
        <f>testdata4[[#This Row],[K(14)'']]</f>
        <v>84.23106947697103</v>
      </c>
      <c r="L598" s="22">
        <f>testdata4[[#This Row],[%K]]-100</f>
        <v>-15.76893052302897</v>
      </c>
      <c r="N598" s="12">
        <v>596</v>
      </c>
      <c r="O598" s="13">
        <v>45777</v>
      </c>
      <c r="P598" s="23" t="s">
        <v>599</v>
      </c>
      <c r="Q598" s="22">
        <f>IF(testdata4[[#This Row],[%R]]&lt;&gt;Table25[[#This Row],[%R]],testdata4[[#This Row],[%R]]-Table25[[#This Row],[%R]],"")</f>
        <v>-7.1054273576010019E-14</v>
      </c>
      <c r="R598" s="11" t="str">
        <f>IF(OR(Table25[[#This Row],[%R]]&lt;-100,Table25[[#This Row],[%R]]&gt;0),"RANGE_ERR","")</f>
        <v>RANGE_ERR</v>
      </c>
    </row>
    <row r="599" spans="1:18" x14ac:dyDescent="0.35">
      <c r="A599" s="6">
        <v>597</v>
      </c>
      <c r="B599" s="3">
        <v>45778</v>
      </c>
      <c r="C599" s="2">
        <v>107.25</v>
      </c>
      <c r="D599" s="2">
        <v>108.23</v>
      </c>
      <c r="E599" s="2">
        <v>104.1014</v>
      </c>
      <c r="F599" s="2">
        <v>106.46</v>
      </c>
      <c r="G599" s="1">
        <v>1523233</v>
      </c>
      <c r="H599" s="2">
        <f t="shared" si="22"/>
        <v>98.86</v>
      </c>
      <c r="I599" s="2">
        <f t="shared" si="23"/>
        <v>109.62</v>
      </c>
      <c r="J599" s="22">
        <f>100*(testdata4[[#This Row],[close]]-testdata4[[#This Row],[LL]])/(testdata4[[#This Row],[HH]]-testdata4[[#This Row],[LL]])</f>
        <v>70.631970260222957</v>
      </c>
      <c r="K599" s="22">
        <f>testdata4[[#This Row],[K(14)'']]</f>
        <v>70.631970260222957</v>
      </c>
      <c r="L599" s="22">
        <f>testdata4[[#This Row],[%K]]-100</f>
        <v>-29.368029739777043</v>
      </c>
      <c r="N599" s="12">
        <v>597</v>
      </c>
      <c r="O599" s="13">
        <v>45778</v>
      </c>
      <c r="P599" s="23" t="s">
        <v>600</v>
      </c>
      <c r="Q599" s="22">
        <f>IF(testdata4[[#This Row],[%R]]&lt;&gt;Table25[[#This Row],[%R]],testdata4[[#This Row],[%R]]-Table25[[#This Row],[%R]],"")</f>
        <v>-4.2632564145606011E-14</v>
      </c>
      <c r="R599" s="11" t="str">
        <f>IF(OR(Table25[[#This Row],[%R]]&lt;-100,Table25[[#This Row],[%R]]&gt;0),"RANGE_ERR","")</f>
        <v>RANGE_ERR</v>
      </c>
    </row>
    <row r="600" spans="1:18" x14ac:dyDescent="0.35">
      <c r="A600" s="6">
        <v>598</v>
      </c>
      <c r="B600" s="3">
        <v>45779</v>
      </c>
      <c r="C600" s="2">
        <v>109.24</v>
      </c>
      <c r="D600" s="2">
        <v>110.33</v>
      </c>
      <c r="E600" s="2">
        <v>107.45</v>
      </c>
      <c r="F600" s="2">
        <v>108.63</v>
      </c>
      <c r="G600" s="1">
        <v>1213204</v>
      </c>
      <c r="H600" s="2">
        <f t="shared" si="22"/>
        <v>99.12</v>
      </c>
      <c r="I600" s="2">
        <f t="shared" si="23"/>
        <v>110.33</v>
      </c>
      <c r="J600" s="22">
        <f>100*(testdata4[[#This Row],[close]]-testdata4[[#This Row],[LL]])/(testdata4[[#This Row],[HH]]-testdata4[[#This Row],[LL]])</f>
        <v>84.834968777876867</v>
      </c>
      <c r="K600" s="22">
        <f>testdata4[[#This Row],[K(14)'']]</f>
        <v>84.834968777876867</v>
      </c>
      <c r="L600" s="22">
        <f>testdata4[[#This Row],[%K]]-100</f>
        <v>-15.165031222123133</v>
      </c>
      <c r="N600" s="12">
        <v>598</v>
      </c>
      <c r="O600" s="13">
        <v>45779</v>
      </c>
      <c r="P600" s="23" t="s">
        <v>601</v>
      </c>
      <c r="Q600" s="22">
        <f>IF(testdata4[[#This Row],[%R]]&lt;&gt;Table25[[#This Row],[%R]],testdata4[[#This Row],[%R]]-Table25[[#This Row],[%R]],"")</f>
        <v>-3.3750779948604759E-14</v>
      </c>
      <c r="R600" s="11" t="str">
        <f>IF(OR(Table25[[#This Row],[%R]]&lt;-100,Table25[[#This Row],[%R]]&gt;0),"RANGE_ERR","")</f>
        <v>RANGE_ERR</v>
      </c>
    </row>
    <row r="601" spans="1:18" x14ac:dyDescent="0.35">
      <c r="A601" s="6">
        <v>599</v>
      </c>
      <c r="B601" s="3">
        <v>45782</v>
      </c>
      <c r="C601" s="2">
        <v>108.1</v>
      </c>
      <c r="D601" s="2">
        <v>109.25</v>
      </c>
      <c r="E601" s="2">
        <v>107.46</v>
      </c>
      <c r="F601" s="2">
        <v>108.37</v>
      </c>
      <c r="G601" s="1">
        <v>1385558</v>
      </c>
      <c r="H601" s="2">
        <f t="shared" si="22"/>
        <v>99.12</v>
      </c>
      <c r="I601" s="2">
        <f t="shared" si="23"/>
        <v>110.33</v>
      </c>
      <c r="J601" s="22">
        <f>100*(testdata4[[#This Row],[close]]-testdata4[[#This Row],[LL]])/(testdata4[[#This Row],[HH]]-testdata4[[#This Row],[LL]])</f>
        <v>82.515611061552235</v>
      </c>
      <c r="K601" s="22">
        <f>testdata4[[#This Row],[K(14)'']]</f>
        <v>82.515611061552235</v>
      </c>
      <c r="L601" s="22">
        <f>testdata4[[#This Row],[%K]]-100</f>
        <v>-17.484388938447765</v>
      </c>
      <c r="N601" s="12">
        <v>599</v>
      </c>
      <c r="O601" s="13">
        <v>45782</v>
      </c>
      <c r="P601" s="23" t="s">
        <v>602</v>
      </c>
      <c r="Q601" s="22">
        <f>IF(testdata4[[#This Row],[%R]]&lt;&gt;Table25[[#This Row],[%R]],testdata4[[#This Row],[%R]]-Table25[[#This Row],[%R]],"")</f>
        <v>-6.3948846218409017E-14</v>
      </c>
      <c r="R601" s="11" t="str">
        <f>IF(OR(Table25[[#This Row],[%R]]&lt;-100,Table25[[#This Row],[%R]]&gt;0),"RANGE_ERR","")</f>
        <v>RANGE_ERR</v>
      </c>
    </row>
    <row r="602" spans="1:18" x14ac:dyDescent="0.35">
      <c r="A602" s="6">
        <v>600</v>
      </c>
      <c r="B602" s="3">
        <v>45783</v>
      </c>
      <c r="C602" s="2">
        <v>107.25</v>
      </c>
      <c r="D602" s="2">
        <v>108.21</v>
      </c>
      <c r="E602" s="2">
        <v>104.355</v>
      </c>
      <c r="F602" s="2">
        <v>105.24</v>
      </c>
      <c r="G602" s="1">
        <v>1960586</v>
      </c>
      <c r="H602" s="2">
        <f t="shared" si="22"/>
        <v>99.12</v>
      </c>
      <c r="I602" s="2">
        <f t="shared" si="23"/>
        <v>110.33</v>
      </c>
      <c r="J602" s="22">
        <f>100*(testdata4[[#This Row],[close]]-testdata4[[#This Row],[LL]])/(testdata4[[#This Row],[HH]]-testdata4[[#This Row],[LL]])</f>
        <v>54.594112399643123</v>
      </c>
      <c r="K602" s="22">
        <f>testdata4[[#This Row],[K(14)'']]</f>
        <v>54.594112399643123</v>
      </c>
      <c r="L602" s="22">
        <f>testdata4[[#This Row],[%K]]-100</f>
        <v>-45.405887600356877</v>
      </c>
      <c r="N602" s="12">
        <v>600</v>
      </c>
      <c r="O602" s="13">
        <v>45783</v>
      </c>
      <c r="P602" s="23" t="s">
        <v>603</v>
      </c>
      <c r="Q602" s="22">
        <f>IF(testdata4[[#This Row],[%R]]&lt;&gt;Table25[[#This Row],[%R]],testdata4[[#This Row],[%R]]-Table25[[#This Row],[%R]],"")</f>
        <v>-7.815970093361102E-14</v>
      </c>
      <c r="R602" s="11" t="str">
        <f>IF(OR(Table25[[#This Row],[%R]]&lt;-100,Table25[[#This Row],[%R]]&gt;0),"RANGE_ERR","")</f>
        <v>RANGE_ERR</v>
      </c>
    </row>
    <row r="603" spans="1:18" x14ac:dyDescent="0.35">
      <c r="A603" s="6">
        <v>601</v>
      </c>
      <c r="B603" s="3">
        <v>45784</v>
      </c>
      <c r="C603" s="2">
        <v>106.69</v>
      </c>
      <c r="D603" s="2">
        <v>107.6</v>
      </c>
      <c r="E603" s="2">
        <v>104.79</v>
      </c>
      <c r="F603" s="2">
        <v>107.52</v>
      </c>
      <c r="G603" s="1">
        <v>2144049</v>
      </c>
      <c r="H603" s="2">
        <f t="shared" si="22"/>
        <v>99.12</v>
      </c>
      <c r="I603" s="2">
        <f t="shared" si="23"/>
        <v>110.33</v>
      </c>
      <c r="J603" s="22">
        <f>100*(testdata4[[#This Row],[close]]-testdata4[[#This Row],[LL]])/(testdata4[[#This Row],[HH]]-testdata4[[#This Row],[LL]])</f>
        <v>74.933095450490597</v>
      </c>
      <c r="K603" s="22">
        <f>testdata4[[#This Row],[K(14)'']]</f>
        <v>74.933095450490597</v>
      </c>
      <c r="L603" s="22">
        <f>testdata4[[#This Row],[%K]]-100</f>
        <v>-25.066904549509403</v>
      </c>
      <c r="N603" s="12">
        <v>601</v>
      </c>
      <c r="O603" s="13">
        <v>45784</v>
      </c>
      <c r="P603" s="23" t="s">
        <v>604</v>
      </c>
      <c r="Q603" s="22">
        <f>IF(testdata4[[#This Row],[%R]]&lt;&gt;Table25[[#This Row],[%R]],testdata4[[#This Row],[%R]]-Table25[[#This Row],[%R]],"")</f>
        <v>-3.5527136788005009E-15</v>
      </c>
      <c r="R603" s="11" t="str">
        <f>IF(OR(Table25[[#This Row],[%R]]&lt;-100,Table25[[#This Row],[%R]]&gt;0),"RANGE_ERR","")</f>
        <v>RANGE_ERR</v>
      </c>
    </row>
    <row r="604" spans="1:18" x14ac:dyDescent="0.35">
      <c r="A604" s="6">
        <v>602</v>
      </c>
      <c r="B604" s="3">
        <v>45785</v>
      </c>
      <c r="C604" s="2">
        <v>108</v>
      </c>
      <c r="D604" s="2">
        <v>110.65</v>
      </c>
      <c r="E604" s="2">
        <v>106.55</v>
      </c>
      <c r="F604" s="2">
        <v>108.7</v>
      </c>
      <c r="G604" s="1">
        <v>2093356</v>
      </c>
      <c r="H604" s="2">
        <f t="shared" si="22"/>
        <v>99.12</v>
      </c>
      <c r="I604" s="2">
        <f t="shared" si="23"/>
        <v>110.65</v>
      </c>
      <c r="J604" s="22">
        <f>100*(testdata4[[#This Row],[close]]-testdata4[[#This Row],[LL]])/(testdata4[[#This Row],[HH]]-testdata4[[#This Row],[LL]])</f>
        <v>83.08759757155245</v>
      </c>
      <c r="K604" s="22">
        <f>testdata4[[#This Row],[K(14)'']]</f>
        <v>83.08759757155245</v>
      </c>
      <c r="L604" s="22">
        <f>testdata4[[#This Row],[%K]]-100</f>
        <v>-16.91240242844755</v>
      </c>
      <c r="N604" s="12">
        <v>602</v>
      </c>
      <c r="O604" s="13">
        <v>45785</v>
      </c>
      <c r="P604" s="23" t="s">
        <v>605</v>
      </c>
      <c r="Q604" s="22">
        <f>IF(testdata4[[#This Row],[%R]]&lt;&gt;Table25[[#This Row],[%R]],testdata4[[#This Row],[%R]]-Table25[[#This Row],[%R]],"")</f>
        <v>-4.9737991503207013E-14</v>
      </c>
      <c r="R604" s="11" t="str">
        <f>IF(OR(Table25[[#This Row],[%R]]&lt;-100,Table25[[#This Row],[%R]]&gt;0),"RANGE_ERR","")</f>
        <v>RANGE_ERR</v>
      </c>
    </row>
    <row r="605" spans="1:18" x14ac:dyDescent="0.35">
      <c r="A605" s="6">
        <v>603</v>
      </c>
      <c r="B605" s="3">
        <v>45786</v>
      </c>
      <c r="C605" s="2">
        <v>108.96</v>
      </c>
      <c r="D605" s="2">
        <v>109.86</v>
      </c>
      <c r="E605" s="2">
        <v>106.79</v>
      </c>
      <c r="F605" s="2">
        <v>106.93</v>
      </c>
      <c r="G605" s="1">
        <v>1369559</v>
      </c>
      <c r="H605" s="2">
        <f t="shared" si="22"/>
        <v>101.2</v>
      </c>
      <c r="I605" s="2">
        <f t="shared" si="23"/>
        <v>110.65</v>
      </c>
      <c r="J605" s="22">
        <f>100*(testdata4[[#This Row],[close]]-testdata4[[#This Row],[LL]])/(testdata4[[#This Row],[HH]]-testdata4[[#This Row],[LL]])</f>
        <v>60.634920634920668</v>
      </c>
      <c r="K605" s="22">
        <f>testdata4[[#This Row],[K(14)'']]</f>
        <v>60.634920634920668</v>
      </c>
      <c r="L605" s="22">
        <f>testdata4[[#This Row],[%K]]-100</f>
        <v>-39.365079365079332</v>
      </c>
      <c r="N605" s="12">
        <v>603</v>
      </c>
      <c r="O605" s="13">
        <v>45786</v>
      </c>
      <c r="P605" s="23" t="s">
        <v>606</v>
      </c>
      <c r="Q605" s="22">
        <f>IF(testdata4[[#This Row],[%R]]&lt;&gt;Table25[[#This Row],[%R]],testdata4[[#This Row],[%R]]-Table25[[#This Row],[%R]],"")</f>
        <v>-2.8421709430404007E-14</v>
      </c>
      <c r="R605" s="11" t="str">
        <f>IF(OR(Table25[[#This Row],[%R]]&lt;-100,Table25[[#This Row],[%R]]&gt;0),"RANGE_ERR","")</f>
        <v>RANGE_ERR</v>
      </c>
    </row>
    <row r="606" spans="1:18" x14ac:dyDescent="0.35">
      <c r="A606" s="6">
        <v>604</v>
      </c>
      <c r="B606" s="3">
        <v>45789</v>
      </c>
      <c r="C606" s="2">
        <v>110.81</v>
      </c>
      <c r="D606" s="2">
        <v>115.71</v>
      </c>
      <c r="E606" s="2">
        <v>110.45</v>
      </c>
      <c r="F606" s="2">
        <v>115.55</v>
      </c>
      <c r="G606" s="1">
        <v>2873150</v>
      </c>
      <c r="H606" s="2">
        <f t="shared" si="22"/>
        <v>103.16</v>
      </c>
      <c r="I606" s="2">
        <f t="shared" si="23"/>
        <v>115.71</v>
      </c>
      <c r="J606" s="22">
        <f>100*(testdata4[[#This Row],[close]]-testdata4[[#This Row],[LL]])/(testdata4[[#This Row],[HH]]-testdata4[[#This Row],[LL]])</f>
        <v>98.725099601593641</v>
      </c>
      <c r="K606" s="22">
        <f>testdata4[[#This Row],[K(14)'']]</f>
        <v>98.725099601593641</v>
      </c>
      <c r="L606" s="22">
        <f>testdata4[[#This Row],[%K]]-100</f>
        <v>-1.2749003984063592</v>
      </c>
      <c r="N606" s="12">
        <v>604</v>
      </c>
      <c r="O606" s="13">
        <v>45789</v>
      </c>
      <c r="P606" s="23" t="s">
        <v>607</v>
      </c>
      <c r="Q606" s="22">
        <f>IF(testdata4[[#This Row],[%R]]&lt;&gt;Table25[[#This Row],[%R]],testdata4[[#This Row],[%R]]-Table25[[#This Row],[%R]],"")</f>
        <v>-9.1038288019262836E-15</v>
      </c>
      <c r="R606" s="11" t="str">
        <f>IF(OR(Table25[[#This Row],[%R]]&lt;-100,Table25[[#This Row],[%R]]&gt;0),"RANGE_ERR","")</f>
        <v>RANGE_ERR</v>
      </c>
    </row>
    <row r="607" spans="1:18" x14ac:dyDescent="0.35">
      <c r="A607" s="6">
        <v>605</v>
      </c>
      <c r="B607" s="3">
        <v>45790</v>
      </c>
      <c r="C607" s="2">
        <v>115.43</v>
      </c>
      <c r="D607" s="2">
        <v>116.88</v>
      </c>
      <c r="E607" s="2">
        <v>114.815</v>
      </c>
      <c r="F607" s="2">
        <v>115.42</v>
      </c>
      <c r="G607" s="1">
        <v>2845274</v>
      </c>
      <c r="H607" s="2">
        <f t="shared" si="22"/>
        <v>103.16</v>
      </c>
      <c r="I607" s="2">
        <f t="shared" si="23"/>
        <v>116.88</v>
      </c>
      <c r="J607" s="22">
        <f>100*(testdata4[[#This Row],[close]]-testdata4[[#This Row],[LL]])/(testdata4[[#This Row],[HH]]-testdata4[[#This Row],[LL]])</f>
        <v>89.358600583090421</v>
      </c>
      <c r="K607" s="22">
        <f>testdata4[[#This Row],[K(14)'']]</f>
        <v>89.358600583090421</v>
      </c>
      <c r="L607" s="22">
        <f>testdata4[[#This Row],[%K]]-100</f>
        <v>-10.641399416909579</v>
      </c>
      <c r="N607" s="12">
        <v>605</v>
      </c>
      <c r="O607" s="13">
        <v>45790</v>
      </c>
      <c r="P607" s="23" t="s">
        <v>608</v>
      </c>
      <c r="Q607" s="22">
        <f>IF(testdata4[[#This Row],[%R]]&lt;&gt;Table25[[#This Row],[%R]],testdata4[[#This Row],[%R]]-Table25[[#This Row],[%R]],"")</f>
        <v>-7.815970093361102E-14</v>
      </c>
      <c r="R607" s="11" t="str">
        <f>IF(OR(Table25[[#This Row],[%R]]&lt;-100,Table25[[#This Row],[%R]]&gt;0),"RANGE_ERR","")</f>
        <v>RANGE_ERR</v>
      </c>
    </row>
    <row r="608" spans="1:18" x14ac:dyDescent="0.35">
      <c r="A608" s="6">
        <v>606</v>
      </c>
      <c r="B608" s="3">
        <v>45791</v>
      </c>
      <c r="C608" s="2">
        <v>114.95</v>
      </c>
      <c r="D608" s="2">
        <v>115.5</v>
      </c>
      <c r="E608" s="2">
        <v>111.28</v>
      </c>
      <c r="F608" s="2">
        <v>111.52</v>
      </c>
      <c r="G608" s="1">
        <v>2563392</v>
      </c>
      <c r="H608" s="2">
        <f t="shared" si="22"/>
        <v>104.1014</v>
      </c>
      <c r="I608" s="2">
        <f t="shared" si="23"/>
        <v>116.88</v>
      </c>
      <c r="J608" s="22">
        <f>100*(testdata4[[#This Row],[close]]-testdata4[[#This Row],[LL]])/(testdata4[[#This Row],[HH]]-testdata4[[#This Row],[LL]])</f>
        <v>58.054872990781462</v>
      </c>
      <c r="K608" s="22">
        <f>testdata4[[#This Row],[K(14)'']]</f>
        <v>58.054872990781462</v>
      </c>
      <c r="L608" s="22">
        <f>testdata4[[#This Row],[%K]]-100</f>
        <v>-41.945127009218538</v>
      </c>
      <c r="N608" s="12">
        <v>606</v>
      </c>
      <c r="O608" s="13">
        <v>45791</v>
      </c>
      <c r="P608" s="23" t="s">
        <v>609</v>
      </c>
      <c r="Q608" s="22">
        <f>IF(testdata4[[#This Row],[%R]]&lt;&gt;Table25[[#This Row],[%R]],testdata4[[#This Row],[%R]]-Table25[[#This Row],[%R]],"")</f>
        <v>-3.5527136788005009E-14</v>
      </c>
      <c r="R608" s="11" t="str">
        <f>IF(OR(Table25[[#This Row],[%R]]&lt;-100,Table25[[#This Row],[%R]]&gt;0),"RANGE_ERR","")</f>
        <v>RANGE_ERR</v>
      </c>
    </row>
    <row r="609" spans="1:18" x14ac:dyDescent="0.35">
      <c r="A609" s="6">
        <v>607</v>
      </c>
      <c r="B609" s="3">
        <v>45792</v>
      </c>
      <c r="C609" s="2">
        <v>111.28</v>
      </c>
      <c r="D609" s="2">
        <v>112.4</v>
      </c>
      <c r="E609" s="2">
        <v>108.93</v>
      </c>
      <c r="F609" s="2">
        <v>112.4</v>
      </c>
      <c r="G609" s="1">
        <v>1873978</v>
      </c>
      <c r="H609" s="2">
        <f t="shared" si="22"/>
        <v>104.1014</v>
      </c>
      <c r="I609" s="2">
        <f t="shared" si="23"/>
        <v>116.88</v>
      </c>
      <c r="J609" s="22">
        <f>100*(testdata4[[#This Row],[close]]-testdata4[[#This Row],[LL]])/(testdata4[[#This Row],[HH]]-testdata4[[#This Row],[LL]])</f>
        <v>64.941386380354729</v>
      </c>
      <c r="K609" s="22">
        <f>testdata4[[#This Row],[K(14)'']]</f>
        <v>64.941386380354729</v>
      </c>
      <c r="L609" s="22">
        <f>testdata4[[#This Row],[%K]]-100</f>
        <v>-35.058613619645271</v>
      </c>
      <c r="N609" s="12">
        <v>607</v>
      </c>
      <c r="O609" s="13">
        <v>45792</v>
      </c>
      <c r="P609" s="23" t="s">
        <v>610</v>
      </c>
      <c r="Q609" s="22">
        <f>IF(testdata4[[#This Row],[%R]]&lt;&gt;Table25[[#This Row],[%R]],testdata4[[#This Row],[%R]]-Table25[[#This Row],[%R]],"")</f>
        <v>-7.1054273576010019E-14</v>
      </c>
      <c r="R609" s="11" t="str">
        <f>IF(OR(Table25[[#This Row],[%R]]&lt;-100,Table25[[#This Row],[%R]]&gt;0),"RANGE_ERR","")</f>
        <v>RANGE_ERR</v>
      </c>
    </row>
    <row r="610" spans="1:18" x14ac:dyDescent="0.35">
      <c r="A610" s="6">
        <v>608</v>
      </c>
      <c r="B610" s="3">
        <v>45793</v>
      </c>
      <c r="C610" s="2">
        <v>112.28</v>
      </c>
      <c r="D610" s="2">
        <v>113.83</v>
      </c>
      <c r="E610" s="2">
        <v>110.82</v>
      </c>
      <c r="F610" s="2">
        <v>113.77</v>
      </c>
      <c r="G610" s="1">
        <v>1811966</v>
      </c>
      <c r="H610" s="2">
        <f t="shared" si="22"/>
        <v>104.1014</v>
      </c>
      <c r="I610" s="2">
        <f t="shared" si="23"/>
        <v>116.88</v>
      </c>
      <c r="J610" s="22">
        <f>100*(testdata4[[#This Row],[close]]-testdata4[[#This Row],[LL]])/(testdata4[[#This Row],[HH]]-testdata4[[#This Row],[LL]])</f>
        <v>75.662435634576553</v>
      </c>
      <c r="K610" s="22">
        <f>testdata4[[#This Row],[K(14)'']]</f>
        <v>75.662435634576553</v>
      </c>
      <c r="L610" s="22">
        <f>testdata4[[#This Row],[%K]]-100</f>
        <v>-24.337564365423447</v>
      </c>
      <c r="N610" s="12">
        <v>608</v>
      </c>
      <c r="O610" s="13">
        <v>45793</v>
      </c>
      <c r="P610" s="23" t="s">
        <v>611</v>
      </c>
      <c r="Q610" s="22">
        <f>IF(testdata4[[#This Row],[%R]]&lt;&gt;Table25[[#This Row],[%R]],testdata4[[#This Row],[%R]]-Table25[[#This Row],[%R]],"")</f>
        <v>-4.6185277824406512E-14</v>
      </c>
      <c r="R610" s="11" t="str">
        <f>IF(OR(Table25[[#This Row],[%R]]&lt;-100,Table25[[#This Row],[%R]]&gt;0),"RANGE_ERR","")</f>
        <v>RANGE_ERR</v>
      </c>
    </row>
    <row r="611" spans="1:18" x14ac:dyDescent="0.35">
      <c r="A611" s="6">
        <v>609</v>
      </c>
      <c r="B611" s="3">
        <v>45796</v>
      </c>
      <c r="C611" s="2">
        <v>112.5</v>
      </c>
      <c r="D611" s="2">
        <v>113.47</v>
      </c>
      <c r="E611" s="2">
        <v>112.03</v>
      </c>
      <c r="F611" s="2">
        <v>113.44</v>
      </c>
      <c r="G611" s="1">
        <v>2086318</v>
      </c>
      <c r="H611" s="2">
        <f t="shared" si="22"/>
        <v>104.1014</v>
      </c>
      <c r="I611" s="2">
        <f t="shared" si="23"/>
        <v>116.88</v>
      </c>
      <c r="J611" s="22">
        <f>100*(testdata4[[#This Row],[close]]-testdata4[[#This Row],[LL]])/(testdata4[[#This Row],[HH]]-testdata4[[#This Row],[LL]])</f>
        <v>73.079993113486623</v>
      </c>
      <c r="K611" s="22">
        <f>testdata4[[#This Row],[K(14)'']]</f>
        <v>73.079993113486623</v>
      </c>
      <c r="L611" s="22">
        <f>testdata4[[#This Row],[%K]]-100</f>
        <v>-26.920006886513377</v>
      </c>
      <c r="N611" s="12">
        <v>609</v>
      </c>
      <c r="O611" s="13">
        <v>45796</v>
      </c>
      <c r="P611" s="23" t="s">
        <v>612</v>
      </c>
      <c r="Q611" s="22">
        <f>IF(testdata4[[#This Row],[%R]]&lt;&gt;Table25[[#This Row],[%R]],testdata4[[#This Row],[%R]]-Table25[[#This Row],[%R]],"")</f>
        <v>-7.815970093361102E-14</v>
      </c>
      <c r="R611" s="11" t="str">
        <f>IF(OR(Table25[[#This Row],[%R]]&lt;-100,Table25[[#This Row],[%R]]&gt;0),"RANGE_ERR","")</f>
        <v>RANGE_ERR</v>
      </c>
    </row>
    <row r="612" spans="1:18" x14ac:dyDescent="0.35">
      <c r="A612" s="6">
        <v>610</v>
      </c>
      <c r="B612" s="3">
        <v>45797</v>
      </c>
      <c r="C612" s="2">
        <v>113.45</v>
      </c>
      <c r="D612" s="2">
        <v>114.14</v>
      </c>
      <c r="E612" s="2">
        <v>112.66</v>
      </c>
      <c r="F612" s="2">
        <v>113.48</v>
      </c>
      <c r="G612" s="1">
        <v>2245800</v>
      </c>
      <c r="H612" s="2">
        <f t="shared" si="22"/>
        <v>104.1014</v>
      </c>
      <c r="I612" s="2">
        <f t="shared" si="23"/>
        <v>116.88</v>
      </c>
      <c r="J612" s="22">
        <f>100*(testdata4[[#This Row],[close]]-testdata4[[#This Row],[LL]])/(testdata4[[#This Row],[HH]]-testdata4[[#This Row],[LL]])</f>
        <v>73.393016449376361</v>
      </c>
      <c r="K612" s="22">
        <f>testdata4[[#This Row],[K(14)'']]</f>
        <v>73.393016449376361</v>
      </c>
      <c r="L612" s="22">
        <f>testdata4[[#This Row],[%K]]-100</f>
        <v>-26.606983550623639</v>
      </c>
      <c r="N612" s="12">
        <v>610</v>
      </c>
      <c r="O612" s="13">
        <v>45797</v>
      </c>
      <c r="P612" s="23" t="s">
        <v>613</v>
      </c>
      <c r="Q612" s="22">
        <f>IF(testdata4[[#This Row],[%R]]&lt;&gt;Table25[[#This Row],[%R]],testdata4[[#This Row],[%R]]-Table25[[#This Row],[%R]],"")</f>
        <v>-3.907985046680551E-14</v>
      </c>
      <c r="R612" s="11" t="str">
        <f>IF(OR(Table25[[#This Row],[%R]]&lt;-100,Table25[[#This Row],[%R]]&gt;0),"RANGE_ERR","")</f>
        <v>RANGE_ERR</v>
      </c>
    </row>
    <row r="613" spans="1:18" x14ac:dyDescent="0.35">
      <c r="A613" s="6">
        <v>611</v>
      </c>
      <c r="B613" s="3">
        <v>45798</v>
      </c>
      <c r="C613" s="2">
        <v>112</v>
      </c>
      <c r="D613" s="2">
        <v>112.605</v>
      </c>
      <c r="E613" s="2">
        <v>108.7</v>
      </c>
      <c r="F613" s="2">
        <v>108.91</v>
      </c>
      <c r="G613" s="1">
        <v>2859893</v>
      </c>
      <c r="H613" s="2">
        <f t="shared" si="22"/>
        <v>104.355</v>
      </c>
      <c r="I613" s="2">
        <f t="shared" si="23"/>
        <v>116.88</v>
      </c>
      <c r="J613" s="22">
        <f>100*(testdata4[[#This Row],[close]]-testdata4[[#This Row],[LL]])/(testdata4[[#This Row],[HH]]-testdata4[[#This Row],[LL]])</f>
        <v>36.367265469061842</v>
      </c>
      <c r="K613" s="22">
        <f>testdata4[[#This Row],[K(14)'']]</f>
        <v>36.367265469061842</v>
      </c>
      <c r="L613" s="22">
        <f>testdata4[[#This Row],[%K]]-100</f>
        <v>-63.632734530938158</v>
      </c>
      <c r="N613" s="12">
        <v>611</v>
      </c>
      <c r="O613" s="13">
        <v>45798</v>
      </c>
      <c r="P613" s="23" t="s">
        <v>614</v>
      </c>
      <c r="Q613" s="22">
        <f>IF(testdata4[[#This Row],[%R]]&lt;&gt;Table25[[#This Row],[%R]],testdata4[[#This Row],[%R]]-Table25[[#This Row],[%R]],"")</f>
        <v>-5.6843418860808015E-14</v>
      </c>
      <c r="R613" s="11" t="str">
        <f>IF(OR(Table25[[#This Row],[%R]]&lt;-100,Table25[[#This Row],[%R]]&gt;0),"RANGE_ERR","")</f>
        <v>RANGE_ERR</v>
      </c>
    </row>
    <row r="614" spans="1:18" x14ac:dyDescent="0.35">
      <c r="A614" s="6">
        <v>612</v>
      </c>
      <c r="B614" s="3">
        <v>45799</v>
      </c>
      <c r="C614" s="2">
        <v>108.36</v>
      </c>
      <c r="D614" s="2">
        <v>110.19</v>
      </c>
      <c r="E614" s="2">
        <v>107.965</v>
      </c>
      <c r="F614" s="2">
        <v>109.68</v>
      </c>
      <c r="G614" s="1">
        <v>2379944</v>
      </c>
      <c r="H614" s="2">
        <f t="shared" si="22"/>
        <v>104.355</v>
      </c>
      <c r="I614" s="2">
        <f t="shared" si="23"/>
        <v>116.88</v>
      </c>
      <c r="J614" s="22">
        <f>100*(testdata4[[#This Row],[close]]-testdata4[[#This Row],[LL]])/(testdata4[[#This Row],[HH]]-testdata4[[#This Row],[LL]])</f>
        <v>42.514970059880284</v>
      </c>
      <c r="K614" s="22">
        <f>testdata4[[#This Row],[K(14)'']]</f>
        <v>42.514970059880284</v>
      </c>
      <c r="L614" s="22">
        <f>testdata4[[#This Row],[%K]]-100</f>
        <v>-57.485029940119716</v>
      </c>
      <c r="N614" s="12">
        <v>612</v>
      </c>
      <c r="O614" s="13">
        <v>45799</v>
      </c>
      <c r="P614" s="23" t="s">
        <v>615</v>
      </c>
      <c r="Q614" s="22">
        <f>IF(testdata4[[#This Row],[%R]]&lt;&gt;Table25[[#This Row],[%R]],testdata4[[#This Row],[%R]]-Table25[[#This Row],[%R]],"")</f>
        <v>-1.4210854715202004E-14</v>
      </c>
      <c r="R614" s="11" t="str">
        <f>IF(OR(Table25[[#This Row],[%R]]&lt;-100,Table25[[#This Row],[%R]]&gt;0),"RANGE_ERR","")</f>
        <v>RANGE_ERR</v>
      </c>
    </row>
    <row r="615" spans="1:18" x14ac:dyDescent="0.35">
      <c r="A615" s="6">
        <v>613</v>
      </c>
      <c r="B615" s="3">
        <v>45800</v>
      </c>
      <c r="C615" s="2">
        <v>107.78</v>
      </c>
      <c r="D615" s="2">
        <v>109.06</v>
      </c>
      <c r="E615" s="2">
        <v>107.07</v>
      </c>
      <c r="F615" s="2">
        <v>108.53</v>
      </c>
      <c r="G615" s="1">
        <v>1690993</v>
      </c>
      <c r="H615" s="2">
        <f t="shared" si="22"/>
        <v>104.355</v>
      </c>
      <c r="I615" s="2">
        <f t="shared" si="23"/>
        <v>116.88</v>
      </c>
      <c r="J615" s="22">
        <f>100*(testdata4[[#This Row],[close]]-testdata4[[#This Row],[LL]])/(testdata4[[#This Row],[HH]]-testdata4[[#This Row],[LL]])</f>
        <v>33.333333333333336</v>
      </c>
      <c r="K615" s="22">
        <f>testdata4[[#This Row],[K(14)'']]</f>
        <v>33.333333333333336</v>
      </c>
      <c r="L615" s="22">
        <f>testdata4[[#This Row],[%K]]-100</f>
        <v>-66.666666666666657</v>
      </c>
      <c r="N615" s="12">
        <v>613</v>
      </c>
      <c r="O615" s="13">
        <v>45800</v>
      </c>
      <c r="P615" s="23" t="s">
        <v>616</v>
      </c>
      <c r="Q615" s="22">
        <f>IF(testdata4[[#This Row],[%R]]&lt;&gt;Table25[[#This Row],[%R]],testdata4[[#This Row],[%R]]-Table25[[#This Row],[%R]],"")</f>
        <v>-5.6843418860808015E-14</v>
      </c>
      <c r="R615" s="11" t="str">
        <f>IF(OR(Table25[[#This Row],[%R]]&lt;-100,Table25[[#This Row],[%R]]&gt;0),"RANGE_ERR","")</f>
        <v>RANGE_ERR</v>
      </c>
    </row>
    <row r="616" spans="1:18" x14ac:dyDescent="0.35">
      <c r="A616" s="6">
        <v>614</v>
      </c>
      <c r="B616" s="3">
        <v>45804</v>
      </c>
      <c r="C616" s="2">
        <v>110.75</v>
      </c>
      <c r="D616" s="2">
        <v>111.77</v>
      </c>
      <c r="E616" s="2">
        <v>109.965</v>
      </c>
      <c r="F616" s="2">
        <v>111.26</v>
      </c>
      <c r="G616" s="1">
        <v>2103910</v>
      </c>
      <c r="H616" s="2">
        <f t="shared" si="22"/>
        <v>104.79</v>
      </c>
      <c r="I616" s="2">
        <f t="shared" si="23"/>
        <v>116.88</v>
      </c>
      <c r="J616" s="22">
        <f>100*(testdata4[[#This Row],[close]]-testdata4[[#This Row],[LL]])/(testdata4[[#This Row],[HH]]-testdata4[[#This Row],[LL]])</f>
        <v>53.515301902398718</v>
      </c>
      <c r="K616" s="22">
        <f>testdata4[[#This Row],[K(14)'']]</f>
        <v>53.515301902398718</v>
      </c>
      <c r="L616" s="22">
        <f>testdata4[[#This Row],[%K]]-100</f>
        <v>-46.484698097601282</v>
      </c>
      <c r="N616" s="12">
        <v>614</v>
      </c>
      <c r="O616" s="13">
        <v>45804</v>
      </c>
      <c r="P616" s="23" t="s">
        <v>617</v>
      </c>
      <c r="Q616" s="22">
        <f>IF(testdata4[[#This Row],[%R]]&lt;&gt;Table25[[#This Row],[%R]],testdata4[[#This Row],[%R]]-Table25[[#This Row],[%R]],"")</f>
        <v>-7.815970093361102E-14</v>
      </c>
      <c r="R616" s="11" t="str">
        <f>IF(OR(Table25[[#This Row],[%R]]&lt;-100,Table25[[#This Row],[%R]]&gt;0),"RANGE_ERR","")</f>
        <v>RANGE_ERR</v>
      </c>
    </row>
    <row r="617" spans="1:18" x14ac:dyDescent="0.35">
      <c r="A617" s="6">
        <v>615</v>
      </c>
      <c r="B617" s="3">
        <v>45805</v>
      </c>
      <c r="C617" s="2">
        <v>110.83</v>
      </c>
      <c r="D617" s="2">
        <v>111.58</v>
      </c>
      <c r="E617" s="2">
        <v>110.14</v>
      </c>
      <c r="F617" s="2">
        <v>110.88</v>
      </c>
      <c r="G617" s="1">
        <v>2733052</v>
      </c>
      <c r="H617" s="2">
        <f t="shared" si="22"/>
        <v>106.55</v>
      </c>
      <c r="I617" s="2">
        <f t="shared" si="23"/>
        <v>116.88</v>
      </c>
      <c r="J617" s="22">
        <f>100*(testdata4[[#This Row],[close]]-testdata4[[#This Row],[LL]])/(testdata4[[#This Row],[HH]]-testdata4[[#This Row],[LL]])</f>
        <v>41.916747337850907</v>
      </c>
      <c r="K617" s="22">
        <f>testdata4[[#This Row],[K(14)'']]</f>
        <v>41.916747337850907</v>
      </c>
      <c r="L617" s="22">
        <f>testdata4[[#This Row],[%K]]-100</f>
        <v>-58.083252662149093</v>
      </c>
      <c r="N617" s="12">
        <v>615</v>
      </c>
      <c r="O617" s="13">
        <v>45805</v>
      </c>
      <c r="P617" s="23" t="s">
        <v>618</v>
      </c>
      <c r="Q617" s="22">
        <f>IF(testdata4[[#This Row],[%R]]&lt;&gt;Table25[[#This Row],[%R]],testdata4[[#This Row],[%R]]-Table25[[#This Row],[%R]],"")</f>
        <v>-9.2370555648813024E-14</v>
      </c>
      <c r="R617" s="11" t="str">
        <f>IF(OR(Table25[[#This Row],[%R]]&lt;-100,Table25[[#This Row],[%R]]&gt;0),"RANGE_ERR","")</f>
        <v>RANGE_ERR</v>
      </c>
    </row>
    <row r="618" spans="1:18" x14ac:dyDescent="0.35">
      <c r="A618" s="6">
        <v>616</v>
      </c>
      <c r="B618" s="3">
        <v>45806</v>
      </c>
      <c r="C618" s="2">
        <v>116.94499999999999</v>
      </c>
      <c r="D618" s="2">
        <v>116.99</v>
      </c>
      <c r="E618" s="2">
        <v>113</v>
      </c>
      <c r="F618" s="2">
        <v>113.28</v>
      </c>
      <c r="G618" s="1">
        <v>3837419</v>
      </c>
      <c r="H618" s="2">
        <f t="shared" si="22"/>
        <v>106.79</v>
      </c>
      <c r="I618" s="2">
        <f t="shared" si="23"/>
        <v>116.99</v>
      </c>
      <c r="J618" s="22">
        <f>100*(testdata4[[#This Row],[close]]-testdata4[[#This Row],[LL]])/(testdata4[[#This Row],[HH]]-testdata4[[#This Row],[LL]])</f>
        <v>63.627450980392183</v>
      </c>
      <c r="K618" s="22">
        <f>testdata4[[#This Row],[K(14)'']]</f>
        <v>63.627450980392183</v>
      </c>
      <c r="L618" s="22">
        <f>testdata4[[#This Row],[%K]]-100</f>
        <v>-36.372549019607817</v>
      </c>
      <c r="N618" s="12">
        <v>616</v>
      </c>
      <c r="O618" s="13">
        <v>45806</v>
      </c>
      <c r="P618" s="23" t="s">
        <v>619</v>
      </c>
      <c r="Q618" s="22">
        <f>IF(testdata4[[#This Row],[%R]]&lt;&gt;Table25[[#This Row],[%R]],testdata4[[#This Row],[%R]]-Table25[[#This Row],[%R]],"")</f>
        <v>-1.4210854715202004E-14</v>
      </c>
      <c r="R618" s="11" t="str">
        <f>IF(OR(Table25[[#This Row],[%R]]&lt;-100,Table25[[#This Row],[%R]]&gt;0),"RANGE_ERR","")</f>
        <v>RANGE_ERR</v>
      </c>
    </row>
    <row r="619" spans="1:18" x14ac:dyDescent="0.35">
      <c r="A619" s="6">
        <v>617</v>
      </c>
      <c r="B619" s="3">
        <v>45807</v>
      </c>
      <c r="C619" s="2">
        <v>112.03</v>
      </c>
      <c r="D619" s="2">
        <v>112.91</v>
      </c>
      <c r="E619" s="2">
        <v>110.788</v>
      </c>
      <c r="F619" s="2">
        <v>111.92</v>
      </c>
      <c r="G619" s="1">
        <v>4753647</v>
      </c>
      <c r="H619" s="2">
        <f t="shared" si="22"/>
        <v>107.07</v>
      </c>
      <c r="I619" s="2">
        <f t="shared" si="23"/>
        <v>116.99</v>
      </c>
      <c r="J619" s="22">
        <f>100*(testdata4[[#This Row],[close]]-testdata4[[#This Row],[LL]])/(testdata4[[#This Row],[HH]]-testdata4[[#This Row],[LL]])</f>
        <v>48.891129032258142</v>
      </c>
      <c r="K619" s="22">
        <f>testdata4[[#This Row],[K(14)'']]</f>
        <v>48.891129032258142</v>
      </c>
      <c r="L619" s="22">
        <f>testdata4[[#This Row],[%K]]-100</f>
        <v>-51.108870967741858</v>
      </c>
      <c r="N619" s="12">
        <v>617</v>
      </c>
      <c r="O619" s="13">
        <v>45807</v>
      </c>
      <c r="P619" s="23" t="s">
        <v>620</v>
      </c>
      <c r="Q619" s="22">
        <f>IF(testdata4[[#This Row],[%R]]&lt;&gt;Table25[[#This Row],[%R]],testdata4[[#This Row],[%R]]-Table25[[#This Row],[%R]],"")</f>
        <v>-5.6843418860808015E-14</v>
      </c>
      <c r="R619" s="11" t="str">
        <f>IF(OR(Table25[[#This Row],[%R]]&lt;-100,Table25[[#This Row],[%R]]&gt;0),"RANGE_ERR","")</f>
        <v>RANGE_ERR</v>
      </c>
    </row>
    <row r="620" spans="1:18" x14ac:dyDescent="0.35">
      <c r="A620" s="6">
        <v>618</v>
      </c>
      <c r="B620" s="3">
        <v>45810</v>
      </c>
      <c r="C620" s="2">
        <v>111.14</v>
      </c>
      <c r="D620" s="2">
        <v>111.41</v>
      </c>
      <c r="E620" s="2">
        <v>110.03</v>
      </c>
      <c r="F620" s="2">
        <v>111.05</v>
      </c>
      <c r="G620" s="1">
        <v>1757023</v>
      </c>
      <c r="H620" s="2">
        <f t="shared" si="22"/>
        <v>107.07</v>
      </c>
      <c r="I620" s="2">
        <f t="shared" si="23"/>
        <v>116.99</v>
      </c>
      <c r="J620" s="22">
        <f>100*(testdata4[[#This Row],[close]]-testdata4[[#This Row],[LL]])/(testdata4[[#This Row],[HH]]-testdata4[[#This Row],[LL]])</f>
        <v>40.120967741935516</v>
      </c>
      <c r="K620" s="22">
        <f>testdata4[[#This Row],[K(14)'']]</f>
        <v>40.120967741935516</v>
      </c>
      <c r="L620" s="22">
        <f>testdata4[[#This Row],[%K]]-100</f>
        <v>-59.879032258064484</v>
      </c>
      <c r="N620" s="12">
        <v>618</v>
      </c>
      <c r="O620" s="13">
        <v>45810</v>
      </c>
      <c r="P620" s="23" t="s">
        <v>621</v>
      </c>
      <c r="Q620" s="22">
        <f>IF(testdata4[[#This Row],[%R]]&lt;&gt;Table25[[#This Row],[%R]],testdata4[[#This Row],[%R]]-Table25[[#This Row],[%R]],"")</f>
        <v>-8.5265128291212022E-14</v>
      </c>
      <c r="R620" s="11" t="str">
        <f>IF(OR(Table25[[#This Row],[%R]]&lt;-100,Table25[[#This Row],[%R]]&gt;0),"RANGE_ERR","")</f>
        <v>RANGE_ERR</v>
      </c>
    </row>
    <row r="621" spans="1:18" x14ac:dyDescent="0.35">
      <c r="A621" s="6">
        <v>619</v>
      </c>
      <c r="B621" s="3">
        <v>45811</v>
      </c>
      <c r="C621" s="2">
        <v>110.89</v>
      </c>
      <c r="D621" s="2">
        <v>112.99250000000001</v>
      </c>
      <c r="E621" s="2">
        <v>109.75</v>
      </c>
      <c r="F621" s="2">
        <v>112.76</v>
      </c>
      <c r="G621" s="1">
        <v>1491237</v>
      </c>
      <c r="H621" s="2">
        <f t="shared" si="22"/>
        <v>107.07</v>
      </c>
      <c r="I621" s="2">
        <f t="shared" si="23"/>
        <v>116.99</v>
      </c>
      <c r="J621" s="22">
        <f>100*(testdata4[[#This Row],[close]]-testdata4[[#This Row],[LL]])/(testdata4[[#This Row],[HH]]-testdata4[[#This Row],[LL]])</f>
        <v>57.358870967742043</v>
      </c>
      <c r="K621" s="22">
        <f>testdata4[[#This Row],[K(14)'']]</f>
        <v>57.358870967742043</v>
      </c>
      <c r="L621" s="22">
        <f>testdata4[[#This Row],[%K]]-100</f>
        <v>-42.641129032257957</v>
      </c>
      <c r="N621" s="12">
        <v>619</v>
      </c>
      <c r="O621" s="13">
        <v>45811</v>
      </c>
      <c r="P621" s="23" t="s">
        <v>622</v>
      </c>
      <c r="Q621" s="22">
        <f>IF(testdata4[[#This Row],[%R]]&lt;&gt;Table25[[#This Row],[%R]],testdata4[[#This Row],[%R]]-Table25[[#This Row],[%R]],"")</f>
        <v>-5.6843418860808015E-14</v>
      </c>
      <c r="R621" s="11" t="str">
        <f>IF(OR(Table25[[#This Row],[%R]]&lt;-100,Table25[[#This Row],[%R]]&gt;0),"RANGE_ERR","")</f>
        <v>RANGE_ERR</v>
      </c>
    </row>
    <row r="622" spans="1:18" x14ac:dyDescent="0.35">
      <c r="A622" s="6">
        <v>620</v>
      </c>
      <c r="B622" s="3">
        <v>45812</v>
      </c>
      <c r="C622" s="2">
        <v>113.36</v>
      </c>
      <c r="D622" s="2">
        <v>115.29</v>
      </c>
      <c r="E622" s="2">
        <v>112.88500000000001</v>
      </c>
      <c r="F622" s="2">
        <v>114.94</v>
      </c>
      <c r="G622" s="1">
        <v>2692885</v>
      </c>
      <c r="H622" s="2">
        <f t="shared" si="22"/>
        <v>107.07</v>
      </c>
      <c r="I622" s="2">
        <f t="shared" si="23"/>
        <v>116.99</v>
      </c>
      <c r="J622" s="22">
        <f>100*(testdata4[[#This Row],[close]]-testdata4[[#This Row],[LL]])/(testdata4[[#This Row],[HH]]-testdata4[[#This Row],[LL]])</f>
        <v>79.334677419354875</v>
      </c>
      <c r="K622" s="22">
        <f>testdata4[[#This Row],[K(14)'']]</f>
        <v>79.334677419354875</v>
      </c>
      <c r="L622" s="22">
        <f>testdata4[[#This Row],[%K]]-100</f>
        <v>-20.665322580645125</v>
      </c>
      <c r="N622" s="12">
        <v>620</v>
      </c>
      <c r="O622" s="13">
        <v>45812</v>
      </c>
      <c r="P622" s="23" t="s">
        <v>623</v>
      </c>
      <c r="Q622" s="22">
        <f>IF(testdata4[[#This Row],[%R]]&lt;&gt;Table25[[#This Row],[%R]],testdata4[[#This Row],[%R]]-Table25[[#This Row],[%R]],"")</f>
        <v>-2.4868995751603507E-14</v>
      </c>
      <c r="R622" s="11" t="str">
        <f>IF(OR(Table25[[#This Row],[%R]]&lt;-100,Table25[[#This Row],[%R]]&gt;0),"RANGE_ERR","")</f>
        <v>RANGE_ERR</v>
      </c>
    </row>
    <row r="623" spans="1:18" x14ac:dyDescent="0.35">
      <c r="A623" s="6">
        <v>621</v>
      </c>
      <c r="B623" s="3">
        <v>45813</v>
      </c>
      <c r="C623" s="2">
        <v>115.42</v>
      </c>
      <c r="D623" s="2">
        <v>115.5</v>
      </c>
      <c r="E623" s="2">
        <v>113.64</v>
      </c>
      <c r="F623" s="2">
        <v>113.94</v>
      </c>
      <c r="G623" s="1">
        <v>1875889</v>
      </c>
      <c r="H623" s="2">
        <f t="shared" si="22"/>
        <v>107.07</v>
      </c>
      <c r="I623" s="2">
        <f t="shared" si="23"/>
        <v>116.99</v>
      </c>
      <c r="J623" s="22">
        <f>100*(testdata4[[#This Row],[close]]-testdata4[[#This Row],[LL]])/(testdata4[[#This Row],[HH]]-testdata4[[#This Row],[LL]])</f>
        <v>69.254032258064555</v>
      </c>
      <c r="K623" s="22">
        <f>testdata4[[#This Row],[K(14)'']]</f>
        <v>69.254032258064555</v>
      </c>
      <c r="L623" s="22">
        <f>testdata4[[#This Row],[%K]]-100</f>
        <v>-30.745967741935445</v>
      </c>
      <c r="N623" s="12">
        <v>621</v>
      </c>
      <c r="O623" s="13">
        <v>45813</v>
      </c>
      <c r="P623" s="23" t="s">
        <v>624</v>
      </c>
      <c r="Q623" s="22">
        <f>IF(testdata4[[#This Row],[%R]]&lt;&gt;Table25[[#This Row],[%R]],testdata4[[#This Row],[%R]]-Table25[[#This Row],[%R]],"")</f>
        <v>-4.6185277824406512E-14</v>
      </c>
      <c r="R623" s="11" t="str">
        <f>IF(OR(Table25[[#This Row],[%R]]&lt;-100,Table25[[#This Row],[%R]]&gt;0),"RANGE_ERR","")</f>
        <v>RANGE_ERR</v>
      </c>
    </row>
    <row r="624" spans="1:18" x14ac:dyDescent="0.35">
      <c r="A624" s="6">
        <v>622</v>
      </c>
      <c r="B624" s="3">
        <v>45814</v>
      </c>
      <c r="C624" s="2">
        <v>115.41</v>
      </c>
      <c r="D624" s="2">
        <v>116.02</v>
      </c>
      <c r="E624" s="2">
        <v>114.78</v>
      </c>
      <c r="F624" s="2">
        <v>115.8</v>
      </c>
      <c r="G624" s="1">
        <v>1556451</v>
      </c>
      <c r="H624" s="2">
        <f t="shared" si="22"/>
        <v>107.07</v>
      </c>
      <c r="I624" s="2">
        <f t="shared" si="23"/>
        <v>116.99</v>
      </c>
      <c r="J624" s="22">
        <f>100*(testdata4[[#This Row],[close]]-testdata4[[#This Row],[LL]])/(testdata4[[#This Row],[HH]]-testdata4[[#This Row],[LL]])</f>
        <v>88.004032258064541</v>
      </c>
      <c r="K624" s="22">
        <f>testdata4[[#This Row],[K(14)'']]</f>
        <v>88.004032258064541</v>
      </c>
      <c r="L624" s="22">
        <f>testdata4[[#This Row],[%K]]-100</f>
        <v>-11.995967741935459</v>
      </c>
      <c r="N624" s="12">
        <v>622</v>
      </c>
      <c r="O624" s="13">
        <v>45814</v>
      </c>
      <c r="P624" s="23" t="s">
        <v>625</v>
      </c>
      <c r="Q624" s="22">
        <f>IF(testdata4[[#This Row],[%R]]&lt;&gt;Table25[[#This Row],[%R]],testdata4[[#This Row],[%R]]-Table25[[#This Row],[%R]],"")</f>
        <v>-5.8619775700208265E-14</v>
      </c>
      <c r="R624" s="11" t="str">
        <f>IF(OR(Table25[[#This Row],[%R]]&lt;-100,Table25[[#This Row],[%R]]&gt;0),"RANGE_ERR","")</f>
        <v>RANGE_ERR</v>
      </c>
    </row>
    <row r="625" spans="1:18" x14ac:dyDescent="0.35">
      <c r="A625" s="6">
        <v>623</v>
      </c>
      <c r="B625" s="3">
        <v>45817</v>
      </c>
      <c r="C625" s="2">
        <v>116.61</v>
      </c>
      <c r="D625" s="2">
        <v>118.47</v>
      </c>
      <c r="E625" s="2">
        <v>115.77</v>
      </c>
      <c r="F625" s="2">
        <v>116.74</v>
      </c>
      <c r="G625" s="1">
        <v>2147886</v>
      </c>
      <c r="H625" s="2">
        <f t="shared" si="22"/>
        <v>107.07</v>
      </c>
      <c r="I625" s="2">
        <f t="shared" si="23"/>
        <v>118.47</v>
      </c>
      <c r="J625" s="22">
        <f>100*(testdata4[[#This Row],[close]]-testdata4[[#This Row],[LL]])/(testdata4[[#This Row],[HH]]-testdata4[[#This Row],[LL]])</f>
        <v>84.824561403508753</v>
      </c>
      <c r="K625" s="22">
        <f>testdata4[[#This Row],[K(14)'']]</f>
        <v>84.824561403508753</v>
      </c>
      <c r="L625" s="22">
        <f>testdata4[[#This Row],[%K]]-100</f>
        <v>-15.175438596491247</v>
      </c>
      <c r="N625" s="12">
        <v>623</v>
      </c>
      <c r="O625" s="13">
        <v>45817</v>
      </c>
      <c r="P625" s="23" t="s">
        <v>626</v>
      </c>
      <c r="Q625" s="22">
        <f>IF(testdata4[[#This Row],[%R]]&lt;&gt;Table25[[#This Row],[%R]],testdata4[[#This Row],[%R]]-Table25[[#This Row],[%R]],"")</f>
        <v>-4.7961634663806763E-14</v>
      </c>
      <c r="R625" s="11" t="str">
        <f>IF(OR(Table25[[#This Row],[%R]]&lt;-100,Table25[[#This Row],[%R]]&gt;0),"RANGE_ERR","")</f>
        <v>RANGE_ERR</v>
      </c>
    </row>
    <row r="626" spans="1:18" x14ac:dyDescent="0.35">
      <c r="A626" s="6">
        <v>624</v>
      </c>
      <c r="B626" s="3">
        <v>45818</v>
      </c>
      <c r="C626" s="2">
        <v>117.9</v>
      </c>
      <c r="D626" s="2">
        <v>121.16</v>
      </c>
      <c r="E626" s="2">
        <v>117.125</v>
      </c>
      <c r="F626" s="2">
        <v>120.52</v>
      </c>
      <c r="G626" s="1">
        <v>3499481</v>
      </c>
      <c r="H626" s="2">
        <f t="shared" si="22"/>
        <v>107.07</v>
      </c>
      <c r="I626" s="2">
        <f t="shared" si="23"/>
        <v>121.16</v>
      </c>
      <c r="J626" s="22">
        <f>100*(testdata4[[#This Row],[close]]-testdata4[[#This Row],[LL]])/(testdata4[[#This Row],[HH]]-testdata4[[#This Row],[LL]])</f>
        <v>95.457771469127039</v>
      </c>
      <c r="K626" s="22">
        <f>testdata4[[#This Row],[K(14)'']]</f>
        <v>95.457771469127039</v>
      </c>
      <c r="L626" s="22">
        <f>testdata4[[#This Row],[%K]]-100</f>
        <v>-4.5422285308729613</v>
      </c>
      <c r="N626" s="12">
        <v>624</v>
      </c>
      <c r="O626" s="13">
        <v>45818</v>
      </c>
      <c r="P626" s="23" t="s">
        <v>627</v>
      </c>
      <c r="Q626" s="22">
        <f>IF(testdata4[[#This Row],[%R]]&lt;&gt;Table25[[#This Row],[%R]],testdata4[[#This Row],[%R]]-Table25[[#This Row],[%R]],"")</f>
        <v>-8.8817841970012523E-16</v>
      </c>
      <c r="R626" s="11" t="str">
        <f>IF(OR(Table25[[#This Row],[%R]]&lt;-100,Table25[[#This Row],[%R]]&gt;0),"RANGE_ERR","")</f>
        <v>RANGE_ERR</v>
      </c>
    </row>
    <row r="627" spans="1:18" x14ac:dyDescent="0.35">
      <c r="A627" s="6">
        <v>625</v>
      </c>
      <c r="B627" s="3">
        <v>45819</v>
      </c>
      <c r="C627" s="2">
        <v>120.76</v>
      </c>
      <c r="D627" s="2">
        <v>122.83</v>
      </c>
      <c r="E627" s="2">
        <v>119.67</v>
      </c>
      <c r="F627" s="2">
        <v>119.72</v>
      </c>
      <c r="G627" s="1">
        <v>2752398</v>
      </c>
      <c r="H627" s="2">
        <f t="shared" si="22"/>
        <v>107.07</v>
      </c>
      <c r="I627" s="2">
        <f t="shared" si="23"/>
        <v>122.83</v>
      </c>
      <c r="J627" s="22">
        <f>100*(testdata4[[#This Row],[close]]-testdata4[[#This Row],[LL]])/(testdata4[[#This Row],[HH]]-testdata4[[#This Row],[LL]])</f>
        <v>80.266497461928935</v>
      </c>
      <c r="K627" s="22">
        <f>testdata4[[#This Row],[K(14)'']]</f>
        <v>80.266497461928935</v>
      </c>
      <c r="L627" s="22">
        <f>testdata4[[#This Row],[%K]]-100</f>
        <v>-19.733502538071065</v>
      </c>
      <c r="N627" s="12">
        <v>625</v>
      </c>
      <c r="O627" s="13">
        <v>45819</v>
      </c>
      <c r="P627" s="23" t="s">
        <v>628</v>
      </c>
      <c r="Q627" s="22">
        <f>IF(testdata4[[#This Row],[%R]]&lt;&gt;Table25[[#This Row],[%R]],testdata4[[#This Row],[%R]]-Table25[[#This Row],[%R]],"")</f>
        <v>-6.3948846218409017E-14</v>
      </c>
      <c r="R627" s="11" t="str">
        <f>IF(OR(Table25[[#This Row],[%R]]&lt;-100,Table25[[#This Row],[%R]]&gt;0),"RANGE_ERR","")</f>
        <v>RANGE_ERR</v>
      </c>
    </row>
    <row r="628" spans="1:18" x14ac:dyDescent="0.35">
      <c r="A628" s="6">
        <v>626</v>
      </c>
      <c r="B628" s="3">
        <v>45820</v>
      </c>
      <c r="C628" s="2">
        <v>118.98</v>
      </c>
      <c r="D628" s="2">
        <v>120.05</v>
      </c>
      <c r="E628" s="2">
        <v>118.53</v>
      </c>
      <c r="F628" s="2">
        <v>118.91</v>
      </c>
      <c r="G628" s="1">
        <v>1361525</v>
      </c>
      <c r="H628" s="2">
        <f t="shared" si="22"/>
        <v>107.07</v>
      </c>
      <c r="I628" s="2">
        <f t="shared" si="23"/>
        <v>122.83</v>
      </c>
      <c r="J628" s="22">
        <f>100*(testdata4[[#This Row],[close]]-testdata4[[#This Row],[LL]])/(testdata4[[#This Row],[HH]]-testdata4[[#This Row],[LL]])</f>
        <v>75.126903553299499</v>
      </c>
      <c r="K628" s="22">
        <f>testdata4[[#This Row],[K(14)'']]</f>
        <v>75.126903553299499</v>
      </c>
      <c r="L628" s="22">
        <f>testdata4[[#This Row],[%K]]-100</f>
        <v>-24.873096446700501</v>
      </c>
      <c r="N628" s="12">
        <v>626</v>
      </c>
      <c r="O628" s="13">
        <v>45820</v>
      </c>
      <c r="P628" s="23" t="s">
        <v>629</v>
      </c>
      <c r="Q628" s="22">
        <f>IF(testdata4[[#This Row],[%R]]&lt;&gt;Table25[[#This Row],[%R]],testdata4[[#This Row],[%R]]-Table25[[#This Row],[%R]],"")</f>
        <v>0</v>
      </c>
      <c r="R628" s="11" t="str">
        <f>IF(OR(Table25[[#This Row],[%R]]&lt;-100,Table25[[#This Row],[%R]]&gt;0),"RANGE_ERR","")</f>
        <v>RANGE_ERR</v>
      </c>
    </row>
    <row r="629" spans="1:18" x14ac:dyDescent="0.35">
      <c r="A629" s="6">
        <v>627</v>
      </c>
      <c r="B629" s="3">
        <v>45821</v>
      </c>
      <c r="C629" s="2">
        <v>116.68</v>
      </c>
      <c r="D629" s="2">
        <v>118.9</v>
      </c>
      <c r="E629" s="2">
        <v>116.45</v>
      </c>
      <c r="F629" s="2">
        <v>117.08</v>
      </c>
      <c r="G629" s="1">
        <v>1652070</v>
      </c>
      <c r="H629" s="2">
        <f t="shared" si="22"/>
        <v>109.75</v>
      </c>
      <c r="I629" s="2">
        <f t="shared" si="23"/>
        <v>122.83</v>
      </c>
      <c r="J629" s="22">
        <f>100*(testdata4[[#This Row],[close]]-testdata4[[#This Row],[LL]])/(testdata4[[#This Row],[HH]]-testdata4[[#This Row],[LL]])</f>
        <v>56.039755351681947</v>
      </c>
      <c r="K629" s="22">
        <f>testdata4[[#This Row],[K(14)'']]</f>
        <v>56.039755351681947</v>
      </c>
      <c r="L629" s="22">
        <f>testdata4[[#This Row],[%K]]-100</f>
        <v>-43.960244648318053</v>
      </c>
      <c r="N629" s="12">
        <v>627</v>
      </c>
      <c r="O629" s="13">
        <v>45821</v>
      </c>
      <c r="P629" s="23" t="s">
        <v>630</v>
      </c>
      <c r="Q629" s="22">
        <f>IF(testdata4[[#This Row],[%R]]&lt;&gt;Table25[[#This Row],[%R]],testdata4[[#This Row],[%R]]-Table25[[#This Row],[%R]],"")</f>
        <v>-4.9737991503207013E-14</v>
      </c>
      <c r="R629" s="11" t="str">
        <f>IF(OR(Table25[[#This Row],[%R]]&lt;-100,Table25[[#This Row],[%R]]&gt;0),"RANGE_ERR","")</f>
        <v>RANGE_ERR</v>
      </c>
    </row>
    <row r="630" spans="1:18" x14ac:dyDescent="0.35">
      <c r="A630" s="6">
        <v>628</v>
      </c>
      <c r="B630" s="3">
        <v>45824</v>
      </c>
      <c r="C630" s="2">
        <v>117.69</v>
      </c>
      <c r="D630" s="2">
        <v>119.34</v>
      </c>
      <c r="E630" s="2">
        <v>115.57</v>
      </c>
      <c r="F630" s="2">
        <v>119.02</v>
      </c>
      <c r="G630" s="1">
        <v>1402847</v>
      </c>
      <c r="H630" s="2">
        <f t="shared" si="22"/>
        <v>109.75</v>
      </c>
      <c r="I630" s="2">
        <f t="shared" si="23"/>
        <v>122.83</v>
      </c>
      <c r="J630" s="22">
        <f>100*(testdata4[[#This Row],[close]]-testdata4[[#This Row],[LL]])/(testdata4[[#This Row],[HH]]-testdata4[[#This Row],[LL]])</f>
        <v>70.871559633027502</v>
      </c>
      <c r="K630" s="22">
        <f>testdata4[[#This Row],[K(14)'']]</f>
        <v>70.871559633027502</v>
      </c>
      <c r="L630" s="22">
        <f>testdata4[[#This Row],[%K]]-100</f>
        <v>-29.128440366972498</v>
      </c>
      <c r="N630" s="12">
        <v>628</v>
      </c>
      <c r="O630" s="13">
        <v>45824</v>
      </c>
      <c r="P630" s="23" t="s">
        <v>631</v>
      </c>
      <c r="Q630" s="22">
        <f>IF(testdata4[[#This Row],[%R]]&lt;&gt;Table25[[#This Row],[%R]],testdata4[[#This Row],[%R]]-Table25[[#This Row],[%R]],"")</f>
        <v>-9.9475983006414026E-14</v>
      </c>
      <c r="R630" s="11" t="str">
        <f>IF(OR(Table25[[#This Row],[%R]]&lt;-100,Table25[[#This Row],[%R]]&gt;0),"RANGE_ERR","")</f>
        <v>RANGE_ERR</v>
      </c>
    </row>
    <row r="631" spans="1:18" x14ac:dyDescent="0.35">
      <c r="A631" s="6">
        <v>629</v>
      </c>
      <c r="B631" s="3">
        <v>45825</v>
      </c>
      <c r="C631" s="2">
        <v>117.5</v>
      </c>
      <c r="D631" s="2">
        <v>118.47</v>
      </c>
      <c r="E631" s="2">
        <v>115.82</v>
      </c>
      <c r="F631" s="2">
        <v>116.09</v>
      </c>
      <c r="G631" s="1">
        <v>1577141</v>
      </c>
      <c r="H631" s="2">
        <f t="shared" si="22"/>
        <v>109.75</v>
      </c>
      <c r="I631" s="2">
        <f t="shared" si="23"/>
        <v>122.83</v>
      </c>
      <c r="J631" s="22">
        <f>100*(testdata4[[#This Row],[close]]-testdata4[[#This Row],[LL]])/(testdata4[[#This Row],[HH]]-testdata4[[#This Row],[LL]])</f>
        <v>48.470948012232448</v>
      </c>
      <c r="K631" s="22">
        <f>testdata4[[#This Row],[K(14)'']]</f>
        <v>48.470948012232448</v>
      </c>
      <c r="L631" s="22">
        <f>testdata4[[#This Row],[%K]]-100</f>
        <v>-51.529051987767552</v>
      </c>
      <c r="N631" s="12">
        <v>629</v>
      </c>
      <c r="O631" s="13">
        <v>45825</v>
      </c>
      <c r="P631" s="23" t="s">
        <v>632</v>
      </c>
      <c r="Q631" s="22">
        <f>IF(testdata4[[#This Row],[%R]]&lt;&gt;Table25[[#This Row],[%R]],testdata4[[#This Row],[%R]]-Table25[[#This Row],[%R]],"")</f>
        <v>-4.9737991503207013E-14</v>
      </c>
      <c r="R631" s="11" t="str">
        <f>IF(OR(Table25[[#This Row],[%R]]&lt;-100,Table25[[#This Row],[%R]]&gt;0),"RANGE_ERR","")</f>
        <v>RANGE_ERR</v>
      </c>
    </row>
    <row r="632" spans="1:18" x14ac:dyDescent="0.35">
      <c r="A632" s="6">
        <v>630</v>
      </c>
      <c r="B632" s="3">
        <v>45826</v>
      </c>
      <c r="C632" s="2">
        <v>116.09</v>
      </c>
      <c r="D632" s="2">
        <v>116.88</v>
      </c>
      <c r="E632" s="2">
        <v>114.66500000000001</v>
      </c>
      <c r="F632" s="2">
        <v>115.52</v>
      </c>
      <c r="G632" s="1">
        <v>1560338</v>
      </c>
      <c r="H632" s="2">
        <f t="shared" si="22"/>
        <v>109.75</v>
      </c>
      <c r="I632" s="2">
        <f t="shared" si="23"/>
        <v>122.83</v>
      </c>
      <c r="J632" s="22">
        <f>100*(testdata4[[#This Row],[close]]-testdata4[[#This Row],[LL]])/(testdata4[[#This Row],[HH]]-testdata4[[#This Row],[LL]])</f>
        <v>44.113149847094775</v>
      </c>
      <c r="K632" s="22">
        <f>testdata4[[#This Row],[K(14)'']]</f>
        <v>44.113149847094775</v>
      </c>
      <c r="L632" s="22">
        <f>testdata4[[#This Row],[%K]]-100</f>
        <v>-55.886850152905225</v>
      </c>
      <c r="N632" s="12">
        <v>630</v>
      </c>
      <c r="O632" s="13">
        <v>45826</v>
      </c>
      <c r="P632" s="23" t="s">
        <v>633</v>
      </c>
      <c r="Q632" s="22">
        <f>IF(testdata4[[#This Row],[%R]]&lt;&gt;Table25[[#This Row],[%R]],testdata4[[#This Row],[%R]]-Table25[[#This Row],[%R]],"")</f>
        <v>-2.8421709430404007E-14</v>
      </c>
      <c r="R632" s="11" t="str">
        <f>IF(OR(Table25[[#This Row],[%R]]&lt;-100,Table25[[#This Row],[%R]]&gt;0),"RANGE_ERR","")</f>
        <v>RANGE_ERR</v>
      </c>
    </row>
    <row r="633" spans="1:18" x14ac:dyDescent="0.35">
      <c r="A633" s="6">
        <v>631</v>
      </c>
      <c r="B633" s="3">
        <v>45828</v>
      </c>
      <c r="C633" s="2">
        <v>116.17</v>
      </c>
      <c r="D633" s="2">
        <v>116.86</v>
      </c>
      <c r="E633" s="2">
        <v>115.08</v>
      </c>
      <c r="F633" s="2">
        <v>115.56</v>
      </c>
      <c r="G633" s="1">
        <v>3043869</v>
      </c>
      <c r="H633" s="2">
        <f t="shared" si="22"/>
        <v>109.75</v>
      </c>
      <c r="I633" s="2">
        <f t="shared" si="23"/>
        <v>122.83</v>
      </c>
      <c r="J633" s="22">
        <f>100*(testdata4[[#This Row],[close]]-testdata4[[#This Row],[LL]])/(testdata4[[#This Row],[HH]]-testdata4[[#This Row],[LL]])</f>
        <v>44.418960244648339</v>
      </c>
      <c r="K633" s="22">
        <f>testdata4[[#This Row],[K(14)'']]</f>
        <v>44.418960244648339</v>
      </c>
      <c r="L633" s="22">
        <f>testdata4[[#This Row],[%K]]-100</f>
        <v>-55.581039755351661</v>
      </c>
      <c r="N633" s="12">
        <v>631</v>
      </c>
      <c r="O633" s="13">
        <v>45828</v>
      </c>
      <c r="P633" s="23" t="s">
        <v>634</v>
      </c>
      <c r="Q633" s="22">
        <f>IF(testdata4[[#This Row],[%R]]&lt;&gt;Table25[[#This Row],[%R]],testdata4[[#This Row],[%R]]-Table25[[#This Row],[%R]],"")</f>
        <v>-6.3948846218409017E-14</v>
      </c>
      <c r="R633" s="11" t="str">
        <f>IF(OR(Table25[[#This Row],[%R]]&lt;-100,Table25[[#This Row],[%R]]&gt;0),"RANGE_ERR","")</f>
        <v>RANGE_ERR</v>
      </c>
    </row>
    <row r="634" spans="1:18" x14ac:dyDescent="0.35">
      <c r="A634" s="6">
        <v>632</v>
      </c>
      <c r="B634" s="3">
        <v>45831</v>
      </c>
      <c r="C634" s="2">
        <v>114.95</v>
      </c>
      <c r="D634" s="2">
        <v>116.23</v>
      </c>
      <c r="E634" s="2">
        <v>113.7</v>
      </c>
      <c r="F634" s="2">
        <v>116.13</v>
      </c>
      <c r="G634" s="1">
        <v>1448381</v>
      </c>
      <c r="H634" s="2">
        <f t="shared" si="22"/>
        <v>109.75</v>
      </c>
      <c r="I634" s="2">
        <f t="shared" si="23"/>
        <v>122.83</v>
      </c>
      <c r="J634" s="22">
        <f>100*(testdata4[[#This Row],[close]]-testdata4[[#This Row],[LL]])/(testdata4[[#This Row],[HH]]-testdata4[[#This Row],[LL]])</f>
        <v>48.776758409785906</v>
      </c>
      <c r="K634" s="22">
        <f>testdata4[[#This Row],[K(14)'']]</f>
        <v>48.776758409785906</v>
      </c>
      <c r="L634" s="22">
        <f>testdata4[[#This Row],[%K]]-100</f>
        <v>-51.223241590214094</v>
      </c>
      <c r="N634" s="12">
        <v>632</v>
      </c>
      <c r="O634" s="13">
        <v>45831</v>
      </c>
      <c r="P634" s="23" t="s">
        <v>635</v>
      </c>
      <c r="Q634" s="22">
        <f>IF(testdata4[[#This Row],[%R]]&lt;&gt;Table25[[#This Row],[%R]],testdata4[[#This Row],[%R]]-Table25[[#This Row],[%R]],"")</f>
        <v>-9.2370555648813024E-14</v>
      </c>
      <c r="R634" s="11" t="str">
        <f>IF(OR(Table25[[#This Row],[%R]]&lt;-100,Table25[[#This Row],[%R]]&gt;0),"RANGE_ERR","")</f>
        <v>RANGE_ERR</v>
      </c>
    </row>
    <row r="635" spans="1:18" x14ac:dyDescent="0.35">
      <c r="A635" s="6">
        <v>633</v>
      </c>
      <c r="B635" s="3">
        <v>45832</v>
      </c>
      <c r="C635" s="2">
        <v>117.33</v>
      </c>
      <c r="D635" s="2">
        <v>118</v>
      </c>
      <c r="E635" s="2">
        <v>116.57</v>
      </c>
      <c r="F635" s="2">
        <v>117.64</v>
      </c>
      <c r="G635" s="1">
        <v>1945271</v>
      </c>
      <c r="H635" s="2">
        <f t="shared" si="22"/>
        <v>112.88500000000001</v>
      </c>
      <c r="I635" s="2">
        <f t="shared" si="23"/>
        <v>122.83</v>
      </c>
      <c r="J635" s="22">
        <f>100*(testdata4[[#This Row],[close]]-testdata4[[#This Row],[LL]])/(testdata4[[#This Row],[HH]]-testdata4[[#This Row],[LL]])</f>
        <v>47.812971342383094</v>
      </c>
      <c r="K635" s="22">
        <f>testdata4[[#This Row],[K(14)'']]</f>
        <v>47.812971342383094</v>
      </c>
      <c r="L635" s="22">
        <f>testdata4[[#This Row],[%K]]-100</f>
        <v>-52.187028657616906</v>
      </c>
      <c r="N635" s="12">
        <v>633</v>
      </c>
      <c r="O635" s="13">
        <v>45832</v>
      </c>
      <c r="P635" s="23" t="s">
        <v>636</v>
      </c>
      <c r="Q635" s="22">
        <f>IF(testdata4[[#This Row],[%R]]&lt;&gt;Table25[[#This Row],[%R]],testdata4[[#This Row],[%R]]-Table25[[#This Row],[%R]],"")</f>
        <v>-7.1054273576010019E-15</v>
      </c>
      <c r="R635" s="11" t="str">
        <f>IF(OR(Table25[[#This Row],[%R]]&lt;-100,Table25[[#This Row],[%R]]&gt;0),"RANGE_ERR","")</f>
        <v>RANGE_ERR</v>
      </c>
    </row>
    <row r="636" spans="1:18" x14ac:dyDescent="0.35">
      <c r="A636" s="6">
        <v>634</v>
      </c>
      <c r="B636" s="3">
        <v>45833</v>
      </c>
      <c r="C636" s="2">
        <v>117.11</v>
      </c>
      <c r="D636" s="2">
        <v>119.78</v>
      </c>
      <c r="E636" s="2">
        <v>116.97</v>
      </c>
      <c r="F636" s="2">
        <v>118.62</v>
      </c>
      <c r="G636" s="1">
        <v>1690325</v>
      </c>
      <c r="H636" s="2">
        <f t="shared" si="22"/>
        <v>113.64</v>
      </c>
      <c r="I636" s="2">
        <f t="shared" si="23"/>
        <v>122.83</v>
      </c>
      <c r="J636" s="22">
        <f>100*(testdata4[[#This Row],[close]]-testdata4[[#This Row],[LL]])/(testdata4[[#This Row],[HH]]-testdata4[[#This Row],[LL]])</f>
        <v>54.189336235038141</v>
      </c>
      <c r="K636" s="22">
        <f>testdata4[[#This Row],[K(14)'']]</f>
        <v>54.189336235038141</v>
      </c>
      <c r="L636" s="22">
        <f>testdata4[[#This Row],[%K]]-100</f>
        <v>-45.810663764961859</v>
      </c>
      <c r="N636" s="12">
        <v>634</v>
      </c>
      <c r="O636" s="13">
        <v>45833</v>
      </c>
      <c r="P636" s="23" t="s">
        <v>637</v>
      </c>
      <c r="Q636" s="22">
        <f>IF(testdata4[[#This Row],[%R]]&lt;&gt;Table25[[#This Row],[%R]],testdata4[[#This Row],[%R]]-Table25[[#This Row],[%R]],"")</f>
        <v>-5.6843418860808015E-14</v>
      </c>
      <c r="R636" s="11" t="str">
        <f>IF(OR(Table25[[#This Row],[%R]]&lt;-100,Table25[[#This Row],[%R]]&gt;0),"RANGE_ERR","")</f>
        <v>RANGE_ERR</v>
      </c>
    </row>
    <row r="637" spans="1:18" x14ac:dyDescent="0.35">
      <c r="A637" s="6">
        <v>635</v>
      </c>
      <c r="B637" s="3">
        <v>45834</v>
      </c>
      <c r="C637" s="2">
        <v>119.18</v>
      </c>
      <c r="D637" s="2">
        <v>120.54</v>
      </c>
      <c r="E637" s="2">
        <v>118.04</v>
      </c>
      <c r="F637" s="2">
        <v>119.42</v>
      </c>
      <c r="G637" s="1">
        <v>1487991</v>
      </c>
      <c r="H637" s="2">
        <f t="shared" si="22"/>
        <v>113.7</v>
      </c>
      <c r="I637" s="2">
        <f t="shared" si="23"/>
        <v>122.83</v>
      </c>
      <c r="J637" s="22">
        <f>100*(testdata4[[#This Row],[close]]-testdata4[[#This Row],[LL]])/(testdata4[[#This Row],[HH]]-testdata4[[#This Row],[LL]])</f>
        <v>62.650602409638573</v>
      </c>
      <c r="K637" s="22">
        <f>testdata4[[#This Row],[K(14)'']]</f>
        <v>62.650602409638573</v>
      </c>
      <c r="L637" s="22">
        <f>testdata4[[#This Row],[%K]]-100</f>
        <v>-37.349397590361427</v>
      </c>
      <c r="N637" s="12">
        <v>635</v>
      </c>
      <c r="O637" s="13">
        <v>45834</v>
      </c>
      <c r="P637" s="23" t="s">
        <v>638</v>
      </c>
      <c r="Q637" s="22">
        <f>IF(testdata4[[#This Row],[%R]]&lt;&gt;Table25[[#This Row],[%R]],testdata4[[#This Row],[%R]]-Table25[[#This Row],[%R]],"")</f>
        <v>-2.8421709430404007E-14</v>
      </c>
      <c r="R637" s="11" t="str">
        <f>IF(OR(Table25[[#This Row],[%R]]&lt;-100,Table25[[#This Row],[%R]]&gt;0),"RANGE_ERR","")</f>
        <v>RANGE_ERR</v>
      </c>
    </row>
    <row r="638" spans="1:18" x14ac:dyDescent="0.35">
      <c r="A638" s="6">
        <v>636</v>
      </c>
      <c r="B638" s="3">
        <v>45835</v>
      </c>
      <c r="C638" s="2">
        <v>120</v>
      </c>
      <c r="D638" s="2">
        <v>120.21</v>
      </c>
      <c r="E638" s="2">
        <v>118.18</v>
      </c>
      <c r="F638" s="2">
        <v>119.17</v>
      </c>
      <c r="G638" s="1">
        <v>1734703</v>
      </c>
      <c r="H638" s="2">
        <f t="shared" ref="H638:H701" si="24">MIN(E625:E638)</f>
        <v>113.7</v>
      </c>
      <c r="I638" s="2">
        <f t="shared" ref="I638:I701" si="25">MAX(D625:D638)</f>
        <v>122.83</v>
      </c>
      <c r="J638" s="22">
        <f>100*(testdata4[[#This Row],[close]]-testdata4[[#This Row],[LL]])/(testdata4[[#This Row],[HH]]-testdata4[[#This Row],[LL]])</f>
        <v>59.912376779846674</v>
      </c>
      <c r="K638" s="22">
        <f>testdata4[[#This Row],[K(14)'']]</f>
        <v>59.912376779846674</v>
      </c>
      <c r="L638" s="22">
        <f>testdata4[[#This Row],[%K]]-100</f>
        <v>-40.087623220153326</v>
      </c>
      <c r="N638" s="12">
        <v>636</v>
      </c>
      <c r="O638" s="13">
        <v>45835</v>
      </c>
      <c r="P638" s="23" t="s">
        <v>639</v>
      </c>
      <c r="Q638" s="22">
        <f>IF(testdata4[[#This Row],[%R]]&lt;&gt;Table25[[#This Row],[%R]],testdata4[[#This Row],[%R]]-Table25[[#This Row],[%R]],"")</f>
        <v>-2.8421709430404007E-14</v>
      </c>
      <c r="R638" s="11" t="str">
        <f>IF(OR(Table25[[#This Row],[%R]]&lt;-100,Table25[[#This Row],[%R]]&gt;0),"RANGE_ERR","")</f>
        <v>RANGE_ERR</v>
      </c>
    </row>
    <row r="639" spans="1:18" x14ac:dyDescent="0.35">
      <c r="A639" s="6">
        <v>637</v>
      </c>
      <c r="B639" s="3">
        <v>45838</v>
      </c>
      <c r="C639" s="2">
        <v>119.19</v>
      </c>
      <c r="D639" s="2">
        <v>119.66</v>
      </c>
      <c r="E639" s="2">
        <v>117.44499999999999</v>
      </c>
      <c r="F639" s="2">
        <v>118.01</v>
      </c>
      <c r="G639" s="1">
        <v>1602496</v>
      </c>
      <c r="H639" s="2">
        <f t="shared" si="24"/>
        <v>113.7</v>
      </c>
      <c r="I639" s="2">
        <f t="shared" si="25"/>
        <v>122.83</v>
      </c>
      <c r="J639" s="22">
        <f>100*(testdata4[[#This Row],[close]]-testdata4[[#This Row],[LL]])/(testdata4[[#This Row],[HH]]-testdata4[[#This Row],[LL]])</f>
        <v>47.207009857612313</v>
      </c>
      <c r="K639" s="22">
        <f>testdata4[[#This Row],[K(14)'']]</f>
        <v>47.207009857612313</v>
      </c>
      <c r="L639" s="22">
        <f>testdata4[[#This Row],[%K]]-100</f>
        <v>-52.792990142387687</v>
      </c>
      <c r="N639" s="12">
        <v>637</v>
      </c>
      <c r="O639" s="13">
        <v>45838</v>
      </c>
      <c r="P639" s="23" t="s">
        <v>640</v>
      </c>
      <c r="Q639" s="22">
        <f>IF(testdata4[[#This Row],[%R]]&lt;&gt;Table25[[#This Row],[%R]],testdata4[[#This Row],[%R]]-Table25[[#This Row],[%R]],"")</f>
        <v>-8.5265128291212022E-14</v>
      </c>
      <c r="R639" s="11" t="str">
        <f>IF(OR(Table25[[#This Row],[%R]]&lt;-100,Table25[[#This Row],[%R]]&gt;0),"RANGE_ERR","")</f>
        <v>RANGE_ERR</v>
      </c>
    </row>
    <row r="640" spans="1:18" x14ac:dyDescent="0.35">
      <c r="A640" s="6">
        <v>638</v>
      </c>
      <c r="B640" s="3">
        <v>45839</v>
      </c>
      <c r="C640" s="2">
        <v>117.44</v>
      </c>
      <c r="D640" s="2">
        <v>123.16</v>
      </c>
      <c r="E640" s="2">
        <v>116.83499999999999</v>
      </c>
      <c r="F640" s="2">
        <v>120.45</v>
      </c>
      <c r="G640" s="1">
        <v>1935742</v>
      </c>
      <c r="H640" s="2">
        <f t="shared" si="24"/>
        <v>113.7</v>
      </c>
      <c r="I640" s="2">
        <f t="shared" si="25"/>
        <v>123.16</v>
      </c>
      <c r="J640" s="22">
        <f>100*(testdata4[[#This Row],[close]]-testdata4[[#This Row],[LL]])/(testdata4[[#This Row],[HH]]-testdata4[[#This Row],[LL]])</f>
        <v>71.353065539112094</v>
      </c>
      <c r="K640" s="22">
        <f>testdata4[[#This Row],[K(14)'']]</f>
        <v>71.353065539112094</v>
      </c>
      <c r="L640" s="22">
        <f>testdata4[[#This Row],[%K]]-100</f>
        <v>-28.646934460887906</v>
      </c>
      <c r="N640" s="12">
        <v>638</v>
      </c>
      <c r="O640" s="13">
        <v>45839</v>
      </c>
      <c r="P640" s="23" t="s">
        <v>641</v>
      </c>
      <c r="Q640" s="22">
        <f>IF(testdata4[[#This Row],[%R]]&lt;&gt;Table25[[#This Row],[%R]],testdata4[[#This Row],[%R]]-Table25[[#This Row],[%R]],"")</f>
        <v>-7.1054273576010019E-15</v>
      </c>
      <c r="R640" s="11" t="str">
        <f>IF(OR(Table25[[#This Row],[%R]]&lt;-100,Table25[[#This Row],[%R]]&gt;0),"RANGE_ERR","")</f>
        <v>RANGE_ERR</v>
      </c>
    </row>
    <row r="641" spans="1:18" x14ac:dyDescent="0.35">
      <c r="A641" s="6">
        <v>639</v>
      </c>
      <c r="B641" s="3">
        <v>45840</v>
      </c>
      <c r="C641" s="2">
        <v>121</v>
      </c>
      <c r="D641" s="2">
        <v>121.58499999999999</v>
      </c>
      <c r="E641" s="2">
        <v>119.46129999999999</v>
      </c>
      <c r="F641" s="2">
        <v>120.66</v>
      </c>
      <c r="G641" s="1">
        <v>1467147</v>
      </c>
      <c r="H641" s="2">
        <f t="shared" si="24"/>
        <v>113.7</v>
      </c>
      <c r="I641" s="2">
        <f t="shared" si="25"/>
        <v>123.16</v>
      </c>
      <c r="J641" s="22">
        <f>100*(testdata4[[#This Row],[close]]-testdata4[[#This Row],[LL]])/(testdata4[[#This Row],[HH]]-testdata4[[#This Row],[LL]])</f>
        <v>73.572938689217736</v>
      </c>
      <c r="K641" s="22">
        <f>testdata4[[#This Row],[K(14)'']]</f>
        <v>73.572938689217736</v>
      </c>
      <c r="L641" s="22">
        <f>testdata4[[#This Row],[%K]]-100</f>
        <v>-26.427061310782264</v>
      </c>
      <c r="N641" s="12">
        <v>639</v>
      </c>
      <c r="O641" s="13">
        <v>45840</v>
      </c>
      <c r="P641" s="23" t="s">
        <v>642</v>
      </c>
      <c r="Q641" s="22">
        <f>IF(testdata4[[#This Row],[%R]]&lt;&gt;Table25[[#This Row],[%R]],testdata4[[#This Row],[%R]]-Table25[[#This Row],[%R]],"")</f>
        <v>-6.3948846218409017E-14</v>
      </c>
      <c r="R641" s="11" t="str">
        <f>IF(OR(Table25[[#This Row],[%R]]&lt;-100,Table25[[#This Row],[%R]]&gt;0),"RANGE_ERR","")</f>
        <v>RANGE_ERR</v>
      </c>
    </row>
    <row r="642" spans="1:18" x14ac:dyDescent="0.35">
      <c r="A642" s="6">
        <v>640</v>
      </c>
      <c r="B642" s="3">
        <v>45841</v>
      </c>
      <c r="C642" s="2">
        <v>121</v>
      </c>
      <c r="D642" s="2">
        <v>121.75</v>
      </c>
      <c r="E642" s="2">
        <v>120.67</v>
      </c>
      <c r="F642" s="2">
        <v>121.38</v>
      </c>
      <c r="G642" s="1">
        <v>944958</v>
      </c>
      <c r="H642" s="2">
        <f t="shared" si="24"/>
        <v>113.7</v>
      </c>
      <c r="I642" s="2">
        <f t="shared" si="25"/>
        <v>123.16</v>
      </c>
      <c r="J642" s="22">
        <f>100*(testdata4[[#This Row],[close]]-testdata4[[#This Row],[LL]])/(testdata4[[#This Row],[HH]]-testdata4[[#This Row],[LL]])</f>
        <v>81.183932346723026</v>
      </c>
      <c r="K642" s="22">
        <f>testdata4[[#This Row],[K(14)'']]</f>
        <v>81.183932346723026</v>
      </c>
      <c r="L642" s="22">
        <f>testdata4[[#This Row],[%K]]-100</f>
        <v>-18.816067653276974</v>
      </c>
      <c r="N642" s="12">
        <v>640</v>
      </c>
      <c r="O642" s="13">
        <v>45841</v>
      </c>
      <c r="P642" s="23" t="s">
        <v>643</v>
      </c>
      <c r="Q642" s="22">
        <f>IF(testdata4[[#This Row],[%R]]&lt;&gt;Table25[[#This Row],[%R]],testdata4[[#This Row],[%R]]-Table25[[#This Row],[%R]],"")</f>
        <v>-7.460698725481052E-14</v>
      </c>
      <c r="R642" s="11" t="str">
        <f>IF(OR(Table25[[#This Row],[%R]]&lt;-100,Table25[[#This Row],[%R]]&gt;0),"RANGE_ERR","")</f>
        <v>RANGE_ERR</v>
      </c>
    </row>
    <row r="643" spans="1:18" x14ac:dyDescent="0.35">
      <c r="A643" s="6">
        <v>641</v>
      </c>
      <c r="B643" s="3">
        <v>45845</v>
      </c>
      <c r="C643" s="2">
        <v>120.4</v>
      </c>
      <c r="D643" s="2">
        <v>120.75</v>
      </c>
      <c r="E643" s="2">
        <v>118.1</v>
      </c>
      <c r="F643" s="2">
        <v>119.25</v>
      </c>
      <c r="G643" s="1">
        <v>1459911</v>
      </c>
      <c r="H643" s="2">
        <f t="shared" si="24"/>
        <v>113.7</v>
      </c>
      <c r="I643" s="2">
        <f t="shared" si="25"/>
        <v>123.16</v>
      </c>
      <c r="J643" s="22">
        <f>100*(testdata4[[#This Row],[close]]-testdata4[[#This Row],[LL]])/(testdata4[[#This Row],[HH]]-testdata4[[#This Row],[LL]])</f>
        <v>58.668076109936592</v>
      </c>
      <c r="K643" s="22">
        <f>testdata4[[#This Row],[K(14)'']]</f>
        <v>58.668076109936592</v>
      </c>
      <c r="L643" s="22">
        <f>testdata4[[#This Row],[%K]]-100</f>
        <v>-41.331923890063408</v>
      </c>
      <c r="N643" s="12">
        <v>641</v>
      </c>
      <c r="O643" s="13">
        <v>45845</v>
      </c>
      <c r="P643" s="23" t="s">
        <v>644</v>
      </c>
      <c r="Q643" s="22">
        <f>IF(testdata4[[#This Row],[%R]]&lt;&gt;Table25[[#This Row],[%R]],testdata4[[#This Row],[%R]]-Table25[[#This Row],[%R]],"")</f>
        <v>-7.1054273576010019E-15</v>
      </c>
      <c r="R643" s="11" t="str">
        <f>IF(OR(Table25[[#This Row],[%R]]&lt;-100,Table25[[#This Row],[%R]]&gt;0),"RANGE_ERR","")</f>
        <v>RANGE_ERR</v>
      </c>
    </row>
    <row r="644" spans="1:18" x14ac:dyDescent="0.35">
      <c r="A644" s="6">
        <v>642</v>
      </c>
      <c r="B644" s="3">
        <v>45846</v>
      </c>
      <c r="C644" s="2">
        <v>119.58</v>
      </c>
      <c r="D644" s="2">
        <v>123.11</v>
      </c>
      <c r="E644" s="2">
        <v>119.28</v>
      </c>
      <c r="F644" s="2">
        <v>121.01</v>
      </c>
      <c r="G644" s="1">
        <v>1917086</v>
      </c>
      <c r="H644" s="2">
        <f t="shared" si="24"/>
        <v>113.7</v>
      </c>
      <c r="I644" s="2">
        <f t="shared" si="25"/>
        <v>123.16</v>
      </c>
      <c r="J644" s="22">
        <f>100*(testdata4[[#This Row],[close]]-testdata4[[#This Row],[LL]])/(testdata4[[#This Row],[HH]]-testdata4[[#This Row],[LL]])</f>
        <v>77.272727272727352</v>
      </c>
      <c r="K644" s="22">
        <f>testdata4[[#This Row],[K(14)'']]</f>
        <v>77.272727272727352</v>
      </c>
      <c r="L644" s="22">
        <f>testdata4[[#This Row],[%K]]-100</f>
        <v>-22.727272727272648</v>
      </c>
      <c r="N644" s="12">
        <v>642</v>
      </c>
      <c r="O644" s="13">
        <v>45846</v>
      </c>
      <c r="P644" s="23" t="s">
        <v>645</v>
      </c>
      <c r="Q644" s="22">
        <f>IF(testdata4[[#This Row],[%R]]&lt;&gt;Table25[[#This Row],[%R]],testdata4[[#This Row],[%R]]-Table25[[#This Row],[%R]],"")</f>
        <v>-4.9737991503207013E-14</v>
      </c>
      <c r="R644" s="11" t="str">
        <f>IF(OR(Table25[[#This Row],[%R]]&lt;-100,Table25[[#This Row],[%R]]&gt;0),"RANGE_ERR","")</f>
        <v>RANGE_ERR</v>
      </c>
    </row>
    <row r="645" spans="1:18" x14ac:dyDescent="0.35">
      <c r="A645" s="6">
        <v>643</v>
      </c>
      <c r="B645" s="3">
        <v>45847</v>
      </c>
      <c r="C645" s="2">
        <v>121.4</v>
      </c>
      <c r="D645" s="2">
        <v>122.35</v>
      </c>
      <c r="E645" s="2">
        <v>118.9</v>
      </c>
      <c r="F645" s="2">
        <v>121.3</v>
      </c>
      <c r="G645" s="1">
        <v>1806744</v>
      </c>
      <c r="H645" s="2">
        <f t="shared" si="24"/>
        <v>113.7</v>
      </c>
      <c r="I645" s="2">
        <f t="shared" si="25"/>
        <v>123.16</v>
      </c>
      <c r="J645" s="22">
        <f>100*(testdata4[[#This Row],[close]]-testdata4[[#This Row],[LL]])/(testdata4[[#This Row],[HH]]-testdata4[[#This Row],[LL]])</f>
        <v>80.338266384778009</v>
      </c>
      <c r="K645" s="22">
        <f>testdata4[[#This Row],[K(14)'']]</f>
        <v>80.338266384778009</v>
      </c>
      <c r="L645" s="22">
        <f>testdata4[[#This Row],[%K]]-100</f>
        <v>-19.661733615221991</v>
      </c>
      <c r="N645" s="12">
        <v>643</v>
      </c>
      <c r="O645" s="13">
        <v>45847</v>
      </c>
      <c r="P645" s="23" t="s">
        <v>646</v>
      </c>
      <c r="Q645" s="22">
        <f>IF(testdata4[[#This Row],[%R]]&lt;&gt;Table25[[#This Row],[%R]],testdata4[[#This Row],[%R]]-Table25[[#This Row],[%R]],"")</f>
        <v>-8.8817841970012523E-14</v>
      </c>
      <c r="R645" s="11" t="str">
        <f>IF(OR(Table25[[#This Row],[%R]]&lt;-100,Table25[[#This Row],[%R]]&gt;0),"RANGE_ERR","")</f>
        <v>RANGE_ERR</v>
      </c>
    </row>
    <row r="646" spans="1:18" x14ac:dyDescent="0.35">
      <c r="A646" s="6">
        <v>644</v>
      </c>
      <c r="B646" s="3">
        <v>45848</v>
      </c>
      <c r="C646" s="2">
        <v>121.63</v>
      </c>
      <c r="D646" s="2">
        <v>126.435</v>
      </c>
      <c r="E646" s="2">
        <v>120.94</v>
      </c>
      <c r="F646" s="2">
        <v>124.17</v>
      </c>
      <c r="G646" s="1">
        <v>2269535</v>
      </c>
      <c r="H646" s="2">
        <f t="shared" si="24"/>
        <v>113.7</v>
      </c>
      <c r="I646" s="2">
        <f t="shared" si="25"/>
        <v>126.435</v>
      </c>
      <c r="J646" s="22">
        <f>100*(testdata4[[#This Row],[close]]-testdata4[[#This Row],[LL]])/(testdata4[[#This Row],[HH]]-testdata4[[#This Row],[LL]])</f>
        <v>82.214369846878682</v>
      </c>
      <c r="K646" s="22">
        <f>testdata4[[#This Row],[K(14)'']]</f>
        <v>82.214369846878682</v>
      </c>
      <c r="L646" s="22">
        <f>testdata4[[#This Row],[%K]]-100</f>
        <v>-17.785630153121318</v>
      </c>
      <c r="N646" s="12">
        <v>644</v>
      </c>
      <c r="O646" s="13">
        <v>45848</v>
      </c>
      <c r="P646" s="23" t="s">
        <v>647</v>
      </c>
      <c r="Q646" s="22">
        <f>IF(testdata4[[#This Row],[%R]]&lt;&gt;Table25[[#This Row],[%R]],testdata4[[#This Row],[%R]]-Table25[[#This Row],[%R]],"")</f>
        <v>-1.7763568394002505E-14</v>
      </c>
      <c r="R646" s="11" t="str">
        <f>IF(OR(Table25[[#This Row],[%R]]&lt;-100,Table25[[#This Row],[%R]]&gt;0),"RANGE_ERR","")</f>
        <v>RANGE_ERR</v>
      </c>
    </row>
    <row r="647" spans="1:18" x14ac:dyDescent="0.35">
      <c r="A647" s="6">
        <v>645</v>
      </c>
      <c r="B647" s="3">
        <v>45849</v>
      </c>
      <c r="C647" s="2">
        <v>122.93</v>
      </c>
      <c r="D647" s="2">
        <v>123.66</v>
      </c>
      <c r="E647" s="2">
        <v>122.33499999999999</v>
      </c>
      <c r="F647" s="2">
        <v>123.28</v>
      </c>
      <c r="G647" s="1">
        <v>1382971</v>
      </c>
      <c r="H647" s="2">
        <f t="shared" si="24"/>
        <v>113.7</v>
      </c>
      <c r="I647" s="2">
        <f t="shared" si="25"/>
        <v>126.435</v>
      </c>
      <c r="J647" s="22">
        <f>100*(testdata4[[#This Row],[close]]-testdata4[[#This Row],[LL]])/(testdata4[[#This Row],[HH]]-testdata4[[#This Row],[LL]])</f>
        <v>75.225755791126801</v>
      </c>
      <c r="K647" s="22">
        <f>testdata4[[#This Row],[K(14)'']]</f>
        <v>75.225755791126801</v>
      </c>
      <c r="L647" s="22">
        <f>testdata4[[#This Row],[%K]]-100</f>
        <v>-24.774244208873199</v>
      </c>
      <c r="N647" s="12">
        <v>645</v>
      </c>
      <c r="O647" s="13">
        <v>45849</v>
      </c>
      <c r="P647" s="23" t="s">
        <v>648</v>
      </c>
      <c r="Q647" s="22">
        <f>IF(testdata4[[#This Row],[%R]]&lt;&gt;Table25[[#This Row],[%R]],testdata4[[#This Row],[%R]]-Table25[[#This Row],[%R]],"")</f>
        <v>-9.9475983006414026E-14</v>
      </c>
      <c r="R647" s="11" t="str">
        <f>IF(OR(Table25[[#This Row],[%R]]&lt;-100,Table25[[#This Row],[%R]]&gt;0),"RANGE_ERR","")</f>
        <v>RANGE_ERR</v>
      </c>
    </row>
    <row r="648" spans="1:18" x14ac:dyDescent="0.35">
      <c r="A648" s="6">
        <v>646</v>
      </c>
      <c r="B648" s="3">
        <v>45852</v>
      </c>
      <c r="C648" s="2">
        <v>121.84</v>
      </c>
      <c r="D648" s="2">
        <v>121.86</v>
      </c>
      <c r="E648" s="2">
        <v>119.27</v>
      </c>
      <c r="F648" s="2">
        <v>120.08</v>
      </c>
      <c r="G648" s="1">
        <v>2028729</v>
      </c>
      <c r="H648" s="2">
        <f t="shared" si="24"/>
        <v>116.57</v>
      </c>
      <c r="I648" s="2">
        <f t="shared" si="25"/>
        <v>126.435</v>
      </c>
      <c r="J648" s="22">
        <f>100*(testdata4[[#This Row],[close]]-testdata4[[#This Row],[LL]])/(testdata4[[#This Row],[HH]]-testdata4[[#This Row],[LL]])</f>
        <v>35.580334515965554</v>
      </c>
      <c r="K648" s="22">
        <f>testdata4[[#This Row],[K(14)'']]</f>
        <v>35.580334515965554</v>
      </c>
      <c r="L648" s="22">
        <f>testdata4[[#This Row],[%K]]-100</f>
        <v>-64.419665484034454</v>
      </c>
      <c r="N648" s="12">
        <v>646</v>
      </c>
      <c r="O648" s="13">
        <v>45852</v>
      </c>
      <c r="P648" s="23" t="s">
        <v>649</v>
      </c>
      <c r="Q648" s="22">
        <f>IF(testdata4[[#This Row],[%R]]&lt;&gt;Table25[[#This Row],[%R]],testdata4[[#This Row],[%R]]-Table25[[#This Row],[%R]],"")</f>
        <v>-5.6843418860808015E-14</v>
      </c>
      <c r="R648" s="11" t="str">
        <f>IF(OR(Table25[[#This Row],[%R]]&lt;-100,Table25[[#This Row],[%R]]&gt;0),"RANGE_ERR","")</f>
        <v>RANGE_ERR</v>
      </c>
    </row>
    <row r="649" spans="1:18" x14ac:dyDescent="0.35">
      <c r="A649" s="6">
        <v>647</v>
      </c>
      <c r="B649" s="3">
        <v>45853</v>
      </c>
      <c r="C649" s="2">
        <v>118</v>
      </c>
      <c r="D649" s="2">
        <v>119.76</v>
      </c>
      <c r="E649" s="2">
        <v>111.93</v>
      </c>
      <c r="F649" s="2">
        <v>112.94</v>
      </c>
      <c r="G649" s="1">
        <v>3950858</v>
      </c>
      <c r="H649" s="2">
        <f t="shared" si="24"/>
        <v>111.93</v>
      </c>
      <c r="I649" s="2">
        <f t="shared" si="25"/>
        <v>126.435</v>
      </c>
      <c r="J649" s="22">
        <f>100*(testdata4[[#This Row],[close]]-testdata4[[#This Row],[LL]])/(testdata4[[#This Row],[HH]]-testdata4[[#This Row],[LL]])</f>
        <v>6.9631161668389607</v>
      </c>
      <c r="K649" s="22">
        <f>testdata4[[#This Row],[K(14)'']]</f>
        <v>6.9631161668389607</v>
      </c>
      <c r="L649" s="22">
        <f>testdata4[[#This Row],[%K]]-100</f>
        <v>-93.036883833161042</v>
      </c>
      <c r="N649" s="12">
        <v>647</v>
      </c>
      <c r="O649" s="13">
        <v>45853</v>
      </c>
      <c r="P649" s="23" t="s">
        <v>650</v>
      </c>
      <c r="Q649" s="22">
        <f>IF(testdata4[[#This Row],[%R]]&lt;&gt;Table25[[#This Row],[%R]],testdata4[[#This Row],[%R]]-Table25[[#This Row],[%R]],"")</f>
        <v>-4.2632564145606011E-14</v>
      </c>
      <c r="R649" s="11" t="str">
        <f>IF(OR(Table25[[#This Row],[%R]]&lt;-100,Table25[[#This Row],[%R]]&gt;0),"RANGE_ERR","")</f>
        <v>RANGE_ERR</v>
      </c>
    </row>
    <row r="650" spans="1:18" x14ac:dyDescent="0.35">
      <c r="A650" s="6">
        <v>648</v>
      </c>
      <c r="B650" s="3">
        <v>45854</v>
      </c>
      <c r="C650" s="2">
        <v>113.46</v>
      </c>
      <c r="D650" s="2">
        <v>114.46</v>
      </c>
      <c r="E650" s="2">
        <v>111.86</v>
      </c>
      <c r="F650" s="2">
        <v>113.43</v>
      </c>
      <c r="G650" s="1">
        <v>2248825</v>
      </c>
      <c r="H650" s="2">
        <f t="shared" si="24"/>
        <v>111.86</v>
      </c>
      <c r="I650" s="2">
        <f t="shared" si="25"/>
        <v>126.435</v>
      </c>
      <c r="J650" s="22">
        <f>100*(testdata4[[#This Row],[close]]-testdata4[[#This Row],[LL]])/(testdata4[[#This Row],[HH]]-testdata4[[#This Row],[LL]])</f>
        <v>10.771869639794216</v>
      </c>
      <c r="K650" s="22">
        <f>testdata4[[#This Row],[K(14)'']]</f>
        <v>10.771869639794216</v>
      </c>
      <c r="L650" s="22">
        <f>testdata4[[#This Row],[%K]]-100</f>
        <v>-89.228130360205782</v>
      </c>
      <c r="N650" s="12">
        <v>648</v>
      </c>
      <c r="O650" s="13">
        <v>45854</v>
      </c>
      <c r="P650" s="23" t="s">
        <v>651</v>
      </c>
      <c r="Q650" s="22">
        <f>IF(testdata4[[#This Row],[%R]]&lt;&gt;Table25[[#This Row],[%R]],testdata4[[#This Row],[%R]]-Table25[[#This Row],[%R]],"")</f>
        <v>-8.5265128291212022E-14</v>
      </c>
      <c r="R650" s="11" t="str">
        <f>IF(OR(Table25[[#This Row],[%R]]&lt;-100,Table25[[#This Row],[%R]]&gt;0),"RANGE_ERR","")</f>
        <v>RANGE_ERR</v>
      </c>
    </row>
    <row r="651" spans="1:18" x14ac:dyDescent="0.35">
      <c r="A651" s="6">
        <v>649</v>
      </c>
      <c r="B651" s="3">
        <v>45855</v>
      </c>
      <c r="C651" s="2">
        <v>114.1</v>
      </c>
      <c r="D651" s="2">
        <v>116.57</v>
      </c>
      <c r="E651" s="2">
        <v>113.25</v>
      </c>
      <c r="F651" s="2">
        <v>116.36</v>
      </c>
      <c r="G651" s="1">
        <v>1552869</v>
      </c>
      <c r="H651" s="2">
        <f t="shared" si="24"/>
        <v>111.86</v>
      </c>
      <c r="I651" s="2">
        <f t="shared" si="25"/>
        <v>126.435</v>
      </c>
      <c r="J651" s="22">
        <f>100*(testdata4[[#This Row],[close]]-testdata4[[#This Row],[LL]])/(testdata4[[#This Row],[HH]]-testdata4[[#This Row],[LL]])</f>
        <v>30.874785591766717</v>
      </c>
      <c r="K651" s="22">
        <f>testdata4[[#This Row],[K(14)'']]</f>
        <v>30.874785591766717</v>
      </c>
      <c r="L651" s="22">
        <f>testdata4[[#This Row],[%K]]-100</f>
        <v>-69.12521440823329</v>
      </c>
      <c r="N651" s="12">
        <v>649</v>
      </c>
      <c r="O651" s="13">
        <v>45855</v>
      </c>
      <c r="P651" s="23" t="s">
        <v>652</v>
      </c>
      <c r="Q651" s="22">
        <f>IF(testdata4[[#This Row],[%R]]&lt;&gt;Table25[[#This Row],[%R]],testdata4[[#This Row],[%R]]-Table25[[#This Row],[%R]],"")</f>
        <v>-8.5265128291212022E-14</v>
      </c>
      <c r="R651" s="11" t="str">
        <f>IF(OR(Table25[[#This Row],[%R]]&lt;-100,Table25[[#This Row],[%R]]&gt;0),"RANGE_ERR","")</f>
        <v>RANGE_ERR</v>
      </c>
    </row>
    <row r="652" spans="1:18" x14ac:dyDescent="0.35">
      <c r="A652" s="6">
        <v>650</v>
      </c>
      <c r="B652" s="3">
        <v>45856</v>
      </c>
      <c r="C652" s="2">
        <v>116.82</v>
      </c>
      <c r="D652" s="2">
        <v>117.2</v>
      </c>
      <c r="E652" s="2">
        <v>113.53</v>
      </c>
      <c r="F652" s="2">
        <v>113.99</v>
      </c>
      <c r="G652" s="1">
        <v>1521861</v>
      </c>
      <c r="H652" s="2">
        <f t="shared" si="24"/>
        <v>111.86</v>
      </c>
      <c r="I652" s="2">
        <f t="shared" si="25"/>
        <v>126.435</v>
      </c>
      <c r="J652" s="22">
        <f>100*(testdata4[[#This Row],[close]]-testdata4[[#This Row],[LL]])/(testdata4[[#This Row],[HH]]-testdata4[[#This Row],[LL]])</f>
        <v>14.614065180102882</v>
      </c>
      <c r="K652" s="22">
        <f>testdata4[[#This Row],[K(14)'']]</f>
        <v>14.614065180102882</v>
      </c>
      <c r="L652" s="22">
        <f>testdata4[[#This Row],[%K]]-100</f>
        <v>-85.385934819897116</v>
      </c>
      <c r="N652" s="12">
        <v>650</v>
      </c>
      <c r="O652" s="13">
        <v>45856</v>
      </c>
      <c r="P652" s="23" t="s">
        <v>653</v>
      </c>
      <c r="Q652" s="22">
        <f>IF(testdata4[[#This Row],[%R]]&lt;&gt;Table25[[#This Row],[%R]],testdata4[[#This Row],[%R]]-Table25[[#This Row],[%R]],"")</f>
        <v>-1.4210854715202004E-14</v>
      </c>
      <c r="R652" s="11" t="str">
        <f>IF(OR(Table25[[#This Row],[%R]]&lt;-100,Table25[[#This Row],[%R]]&gt;0),"RANGE_ERR","")</f>
        <v>RANGE_ERR</v>
      </c>
    </row>
    <row r="653" spans="1:18" x14ac:dyDescent="0.35">
      <c r="A653" s="6">
        <v>651</v>
      </c>
      <c r="B653" s="3">
        <v>45859</v>
      </c>
      <c r="C653" s="2">
        <v>113.23</v>
      </c>
      <c r="D653" s="2">
        <v>113.66</v>
      </c>
      <c r="E653" s="2">
        <v>110.75</v>
      </c>
      <c r="F653" s="2">
        <v>112.04</v>
      </c>
      <c r="G653" s="1">
        <v>2060791</v>
      </c>
      <c r="H653" s="2">
        <f t="shared" si="24"/>
        <v>110.75</v>
      </c>
      <c r="I653" s="2">
        <f t="shared" si="25"/>
        <v>126.435</v>
      </c>
      <c r="J653" s="22">
        <f>100*(testdata4[[#This Row],[close]]-testdata4[[#This Row],[LL]])/(testdata4[[#This Row],[HH]]-testdata4[[#This Row],[LL]])</f>
        <v>8.2244182339815488</v>
      </c>
      <c r="K653" s="22">
        <f>testdata4[[#This Row],[K(14)'']]</f>
        <v>8.2244182339815488</v>
      </c>
      <c r="L653" s="22">
        <f>testdata4[[#This Row],[%K]]-100</f>
        <v>-91.775581766018448</v>
      </c>
      <c r="N653" s="12">
        <v>651</v>
      </c>
      <c r="O653" s="13">
        <v>45859</v>
      </c>
      <c r="P653" s="23" t="s">
        <v>654</v>
      </c>
      <c r="Q653" s="22">
        <f>IF(testdata4[[#This Row],[%R]]&lt;&gt;Table25[[#This Row],[%R]],testdata4[[#This Row],[%R]]-Table25[[#This Row],[%R]],"")</f>
        <v>-4.2632564145606011E-14</v>
      </c>
      <c r="R653" s="11" t="str">
        <f>IF(OR(Table25[[#This Row],[%R]]&lt;-100,Table25[[#This Row],[%R]]&gt;0),"RANGE_ERR","")</f>
        <v>RANGE_ERR</v>
      </c>
    </row>
    <row r="654" spans="1:18" x14ac:dyDescent="0.35">
      <c r="A654" s="6">
        <v>652</v>
      </c>
      <c r="B654" s="3">
        <v>45860</v>
      </c>
      <c r="C654" s="2">
        <v>112.85</v>
      </c>
      <c r="D654" s="2">
        <v>117.05</v>
      </c>
      <c r="E654" s="2">
        <v>112.14</v>
      </c>
      <c r="F654" s="2">
        <v>116.19</v>
      </c>
      <c r="G654" s="1">
        <v>1692114</v>
      </c>
      <c r="H654" s="2">
        <f t="shared" si="24"/>
        <v>110.75</v>
      </c>
      <c r="I654" s="2">
        <f t="shared" si="25"/>
        <v>126.435</v>
      </c>
      <c r="J654" s="22">
        <f>100*(testdata4[[#This Row],[close]]-testdata4[[#This Row],[LL]])/(testdata4[[#This Row],[HH]]-testdata4[[#This Row],[LL]])</f>
        <v>34.68281797896077</v>
      </c>
      <c r="K654" s="22">
        <f>testdata4[[#This Row],[K(14)'']]</f>
        <v>34.68281797896077</v>
      </c>
      <c r="L654" s="22">
        <f>testdata4[[#This Row],[%K]]-100</f>
        <v>-65.31718202103923</v>
      </c>
      <c r="N654" s="12">
        <v>652</v>
      </c>
      <c r="O654" s="13">
        <v>45860</v>
      </c>
      <c r="P654" s="23" t="s">
        <v>655</v>
      </c>
      <c r="Q654" s="22">
        <f>IF(testdata4[[#This Row],[%R]]&lt;&gt;Table25[[#This Row],[%R]],testdata4[[#This Row],[%R]]-Table25[[#This Row],[%R]],"")</f>
        <v>-2.8421709430404007E-14</v>
      </c>
      <c r="R654" s="11" t="str">
        <f>IF(OR(Table25[[#This Row],[%R]]&lt;-100,Table25[[#This Row],[%R]]&gt;0),"RANGE_ERR","")</f>
        <v>RANGE_ERR</v>
      </c>
    </row>
    <row r="655" spans="1:18" x14ac:dyDescent="0.35">
      <c r="A655" s="6">
        <v>653</v>
      </c>
      <c r="B655" s="3">
        <v>45861</v>
      </c>
      <c r="C655" s="2">
        <v>119.38</v>
      </c>
      <c r="D655" s="2">
        <v>120.79</v>
      </c>
      <c r="E655" s="2">
        <v>117.48</v>
      </c>
      <c r="F655" s="2">
        <v>119.47</v>
      </c>
      <c r="G655" s="1">
        <v>1939728</v>
      </c>
      <c r="H655" s="2">
        <f t="shared" si="24"/>
        <v>110.75</v>
      </c>
      <c r="I655" s="2">
        <f t="shared" si="25"/>
        <v>126.435</v>
      </c>
      <c r="J655" s="22">
        <f>100*(testdata4[[#This Row],[close]]-testdata4[[#This Row],[LL]])/(testdata4[[#This Row],[HH]]-testdata4[[#This Row],[LL]])</f>
        <v>55.594517054510661</v>
      </c>
      <c r="K655" s="22">
        <f>testdata4[[#This Row],[K(14)'']]</f>
        <v>55.594517054510661</v>
      </c>
      <c r="L655" s="22">
        <f>testdata4[[#This Row],[%K]]-100</f>
        <v>-44.405482945489339</v>
      </c>
      <c r="N655" s="12">
        <v>653</v>
      </c>
      <c r="O655" s="13">
        <v>45861</v>
      </c>
      <c r="P655" s="23" t="s">
        <v>656</v>
      </c>
      <c r="Q655" s="22">
        <f>IF(testdata4[[#This Row],[%R]]&lt;&gt;Table25[[#This Row],[%R]],testdata4[[#This Row],[%R]]-Table25[[#This Row],[%R]],"")</f>
        <v>-4.2632564145606011E-14</v>
      </c>
      <c r="R655" s="11" t="str">
        <f>IF(OR(Table25[[#This Row],[%R]]&lt;-100,Table25[[#This Row],[%R]]&gt;0),"RANGE_ERR","")</f>
        <v>RANGE_ERR</v>
      </c>
    </row>
    <row r="656" spans="1:18" x14ac:dyDescent="0.35">
      <c r="A656" s="6">
        <v>654</v>
      </c>
      <c r="B656" s="3">
        <v>45862</v>
      </c>
      <c r="C656" s="2">
        <v>119.43</v>
      </c>
      <c r="D656" s="2">
        <v>122.75</v>
      </c>
      <c r="E656" s="2">
        <v>119.43</v>
      </c>
      <c r="F656" s="2">
        <v>120.35</v>
      </c>
      <c r="G656" s="1">
        <v>1602812</v>
      </c>
      <c r="H656" s="2">
        <f t="shared" si="24"/>
        <v>110.75</v>
      </c>
      <c r="I656" s="2">
        <f t="shared" si="25"/>
        <v>126.435</v>
      </c>
      <c r="J656" s="22">
        <f>100*(testdata4[[#This Row],[close]]-testdata4[[#This Row],[LL]])/(testdata4[[#This Row],[HH]]-testdata4[[#This Row],[LL]])</f>
        <v>61.204972904048411</v>
      </c>
      <c r="K656" s="22">
        <f>testdata4[[#This Row],[K(14)'']]</f>
        <v>61.204972904048411</v>
      </c>
      <c r="L656" s="22">
        <f>testdata4[[#This Row],[%K]]-100</f>
        <v>-38.795027095951589</v>
      </c>
      <c r="N656" s="12">
        <v>654</v>
      </c>
      <c r="O656" s="13">
        <v>45862</v>
      </c>
      <c r="P656" s="23" t="s">
        <v>657</v>
      </c>
      <c r="Q656" s="22">
        <f>IF(testdata4[[#This Row],[%R]]&lt;&gt;Table25[[#This Row],[%R]],testdata4[[#This Row],[%R]]-Table25[[#This Row],[%R]],"")</f>
        <v>-9.2370555648813024E-14</v>
      </c>
      <c r="R656" s="11" t="str">
        <f>IF(OR(Table25[[#This Row],[%R]]&lt;-100,Table25[[#This Row],[%R]]&gt;0),"RANGE_ERR","")</f>
        <v>RANGE_ERR</v>
      </c>
    </row>
    <row r="657" spans="1:18" x14ac:dyDescent="0.35">
      <c r="A657" s="6">
        <v>655</v>
      </c>
      <c r="B657" s="3">
        <v>45863</v>
      </c>
      <c r="C657" s="2">
        <v>120.5</v>
      </c>
      <c r="D657" s="2">
        <v>121.01</v>
      </c>
      <c r="E657" s="2">
        <v>119.02</v>
      </c>
      <c r="F657" s="2">
        <v>120.18</v>
      </c>
      <c r="G657" s="1">
        <v>1972730</v>
      </c>
      <c r="H657" s="2">
        <f t="shared" si="24"/>
        <v>110.75</v>
      </c>
      <c r="I657" s="2">
        <f t="shared" si="25"/>
        <v>126.435</v>
      </c>
      <c r="J657" s="22">
        <f>100*(testdata4[[#This Row],[close]]-testdata4[[#This Row],[LL]])/(testdata4[[#This Row],[HH]]-testdata4[[#This Row],[LL]])</f>
        <v>60.121134842205961</v>
      </c>
      <c r="K657" s="22">
        <f>testdata4[[#This Row],[K(14)'']]</f>
        <v>60.121134842205961</v>
      </c>
      <c r="L657" s="22">
        <f>testdata4[[#This Row],[%K]]-100</f>
        <v>-39.878865157794039</v>
      </c>
      <c r="N657" s="12">
        <v>655</v>
      </c>
      <c r="O657" s="13">
        <v>45863</v>
      </c>
      <c r="P657" s="23" t="s">
        <v>658</v>
      </c>
      <c r="Q657" s="22">
        <f>IF(testdata4[[#This Row],[%R]]&lt;&gt;Table25[[#This Row],[%R]],testdata4[[#This Row],[%R]]-Table25[[#This Row],[%R]],"")</f>
        <v>-3.5527136788005009E-14</v>
      </c>
      <c r="R657" s="11" t="str">
        <f>IF(OR(Table25[[#This Row],[%R]]&lt;-100,Table25[[#This Row],[%R]]&gt;0),"RANGE_ERR","")</f>
        <v>RANGE_ERR</v>
      </c>
    </row>
    <row r="658" spans="1:18" x14ac:dyDescent="0.35">
      <c r="A658" s="6">
        <v>656</v>
      </c>
      <c r="B658" s="3">
        <v>45866</v>
      </c>
      <c r="C658" s="2">
        <v>119.41</v>
      </c>
      <c r="D658" s="2">
        <v>120.77</v>
      </c>
      <c r="E658" s="2">
        <v>118.72</v>
      </c>
      <c r="F658" s="2">
        <v>119.54</v>
      </c>
      <c r="G658" s="1">
        <v>1679152</v>
      </c>
      <c r="H658" s="2">
        <f t="shared" si="24"/>
        <v>110.75</v>
      </c>
      <c r="I658" s="2">
        <f t="shared" si="25"/>
        <v>126.435</v>
      </c>
      <c r="J658" s="22">
        <f>100*(testdata4[[#This Row],[close]]-testdata4[[#This Row],[LL]])/(testdata4[[#This Row],[HH]]-testdata4[[#This Row],[LL]])</f>
        <v>56.0408033152694</v>
      </c>
      <c r="K658" s="22">
        <f>testdata4[[#This Row],[K(14)'']]</f>
        <v>56.0408033152694</v>
      </c>
      <c r="L658" s="22">
        <f>testdata4[[#This Row],[%K]]-100</f>
        <v>-43.9591966847306</v>
      </c>
      <c r="N658" s="12">
        <v>656</v>
      </c>
      <c r="O658" s="13">
        <v>45866</v>
      </c>
      <c r="P658" s="23" t="s">
        <v>659</v>
      </c>
      <c r="Q658" s="22">
        <f>IF(testdata4[[#This Row],[%R]]&lt;&gt;Table25[[#This Row],[%R]],testdata4[[#This Row],[%R]]-Table25[[#This Row],[%R]],"")</f>
        <v>-9.9475983006414026E-14</v>
      </c>
      <c r="R658" s="11" t="str">
        <f>IF(OR(Table25[[#This Row],[%R]]&lt;-100,Table25[[#This Row],[%R]]&gt;0),"RANGE_ERR","")</f>
        <v>RANGE_ERR</v>
      </c>
    </row>
    <row r="659" spans="1:18" x14ac:dyDescent="0.35">
      <c r="A659" s="6">
        <v>657</v>
      </c>
      <c r="B659" s="3">
        <v>45867</v>
      </c>
      <c r="C659" s="2">
        <v>119.75</v>
      </c>
      <c r="D659" s="2">
        <v>120.505</v>
      </c>
      <c r="E659" s="2">
        <v>118.855</v>
      </c>
      <c r="F659" s="2">
        <v>119.84</v>
      </c>
      <c r="G659" s="1">
        <v>1212204</v>
      </c>
      <c r="H659" s="2">
        <f t="shared" si="24"/>
        <v>110.75</v>
      </c>
      <c r="I659" s="2">
        <f t="shared" si="25"/>
        <v>126.435</v>
      </c>
      <c r="J659" s="22">
        <f>100*(testdata4[[#This Row],[close]]-testdata4[[#This Row],[LL]])/(testdata4[[#This Row],[HH]]-testdata4[[#This Row],[LL]])</f>
        <v>57.953458718520892</v>
      </c>
      <c r="K659" s="22">
        <f>testdata4[[#This Row],[K(14)'']]</f>
        <v>57.953458718520892</v>
      </c>
      <c r="L659" s="22">
        <f>testdata4[[#This Row],[%K]]-100</f>
        <v>-42.046541281479108</v>
      </c>
      <c r="N659" s="12">
        <v>657</v>
      </c>
      <c r="O659" s="13">
        <v>45867</v>
      </c>
      <c r="P659" s="23" t="s">
        <v>660</v>
      </c>
      <c r="Q659" s="22">
        <f>IF(testdata4[[#This Row],[%R]]&lt;&gt;Table25[[#This Row],[%R]],testdata4[[#This Row],[%R]]-Table25[[#This Row],[%R]],"")</f>
        <v>-7.1054273576010019E-15</v>
      </c>
      <c r="R659" s="11" t="str">
        <f>IF(OR(Table25[[#This Row],[%R]]&lt;-100,Table25[[#This Row],[%R]]&gt;0),"RANGE_ERR","")</f>
        <v>RANGE_ERR</v>
      </c>
    </row>
    <row r="660" spans="1:18" x14ac:dyDescent="0.35">
      <c r="A660" s="6">
        <v>658</v>
      </c>
      <c r="B660" s="3">
        <v>45868</v>
      </c>
      <c r="C660" s="2">
        <v>120.24</v>
      </c>
      <c r="D660" s="2">
        <v>120.46</v>
      </c>
      <c r="E660" s="2">
        <v>117.23</v>
      </c>
      <c r="F660" s="2">
        <v>118.05</v>
      </c>
      <c r="G660" s="1">
        <v>979111</v>
      </c>
      <c r="H660" s="2">
        <f t="shared" si="24"/>
        <v>110.75</v>
      </c>
      <c r="I660" s="2">
        <f t="shared" si="25"/>
        <v>123.66</v>
      </c>
      <c r="J660" s="22">
        <f>100*(testdata4[[#This Row],[close]]-testdata4[[#This Row],[LL]])/(testdata4[[#This Row],[HH]]-testdata4[[#This Row],[LL]])</f>
        <v>56.545313710302089</v>
      </c>
      <c r="K660" s="22">
        <f>testdata4[[#This Row],[K(14)'']]</f>
        <v>56.545313710302089</v>
      </c>
      <c r="L660" s="22">
        <f>testdata4[[#This Row],[%K]]-100</f>
        <v>-43.454686289697911</v>
      </c>
      <c r="N660" s="12">
        <v>658</v>
      </c>
      <c r="O660" s="13">
        <v>45868</v>
      </c>
      <c r="P660" s="23" t="s">
        <v>661</v>
      </c>
      <c r="Q660" s="22">
        <f>IF(testdata4[[#This Row],[%R]]&lt;&gt;Table25[[#This Row],[%R]],testdata4[[#This Row],[%R]]-Table25[[#This Row],[%R]],"")</f>
        <v>-1.4210854715202004E-14</v>
      </c>
      <c r="R660" s="11" t="str">
        <f>IF(OR(Table25[[#This Row],[%R]]&lt;-100,Table25[[#This Row],[%R]]&gt;0),"RANGE_ERR","")</f>
        <v>RANGE_ERR</v>
      </c>
    </row>
    <row r="661" spans="1:18" x14ac:dyDescent="0.35">
      <c r="A661" s="6">
        <v>659</v>
      </c>
      <c r="B661" s="3">
        <v>45869</v>
      </c>
      <c r="C661" s="2">
        <v>116.57</v>
      </c>
      <c r="D661" s="2">
        <v>118.34</v>
      </c>
      <c r="E661" s="2">
        <v>114.47</v>
      </c>
      <c r="F661" s="2">
        <v>114.81</v>
      </c>
      <c r="G661" s="1">
        <v>2339514</v>
      </c>
      <c r="H661" s="2">
        <f t="shared" si="24"/>
        <v>110.75</v>
      </c>
      <c r="I661" s="2">
        <f t="shared" si="25"/>
        <v>122.75</v>
      </c>
      <c r="J661" s="22">
        <f>100*(testdata4[[#This Row],[close]]-testdata4[[#This Row],[LL]])/(testdata4[[#This Row],[HH]]-testdata4[[#This Row],[LL]])</f>
        <v>33.83333333333335</v>
      </c>
      <c r="K661" s="22">
        <f>testdata4[[#This Row],[K(14)'']]</f>
        <v>33.83333333333335</v>
      </c>
      <c r="L661" s="22">
        <f>testdata4[[#This Row],[%K]]-100</f>
        <v>-66.166666666666657</v>
      </c>
      <c r="N661" s="12">
        <v>659</v>
      </c>
      <c r="O661" s="13">
        <v>45869</v>
      </c>
      <c r="P661" s="23" t="s">
        <v>662</v>
      </c>
      <c r="Q661" s="22">
        <f>IF(testdata4[[#This Row],[%R]]&lt;&gt;Table25[[#This Row],[%R]],testdata4[[#This Row],[%R]]-Table25[[#This Row],[%R]],"")</f>
        <v>-5.6843418860808015E-14</v>
      </c>
      <c r="R661" s="11" t="str">
        <f>IF(OR(Table25[[#This Row],[%R]]&lt;-100,Table25[[#This Row],[%R]]&gt;0),"RANGE_ERR","")</f>
        <v>RANGE_ERR</v>
      </c>
    </row>
    <row r="662" spans="1:18" x14ac:dyDescent="0.35">
      <c r="A662" s="6">
        <v>660</v>
      </c>
      <c r="B662" s="3">
        <v>45870</v>
      </c>
      <c r="C662" s="2">
        <v>113.45</v>
      </c>
      <c r="D662" s="2">
        <v>114.32</v>
      </c>
      <c r="E662" s="2">
        <v>111.19</v>
      </c>
      <c r="F662" s="2">
        <v>113.5</v>
      </c>
      <c r="G662" s="1">
        <v>1888649</v>
      </c>
      <c r="H662" s="2">
        <f t="shared" si="24"/>
        <v>110.75</v>
      </c>
      <c r="I662" s="2">
        <f t="shared" si="25"/>
        <v>122.75</v>
      </c>
      <c r="J662" s="22">
        <f>100*(testdata4[[#This Row],[close]]-testdata4[[#This Row],[LL]])/(testdata4[[#This Row],[HH]]-testdata4[[#This Row],[LL]])</f>
        <v>22.916666666666668</v>
      </c>
      <c r="K662" s="22">
        <f>testdata4[[#This Row],[K(14)'']]</f>
        <v>22.916666666666668</v>
      </c>
      <c r="L662" s="22">
        <f>testdata4[[#This Row],[%K]]-100</f>
        <v>-77.083333333333329</v>
      </c>
      <c r="N662" s="12">
        <v>660</v>
      </c>
      <c r="O662" s="13">
        <v>45870</v>
      </c>
      <c r="P662" s="23" t="s">
        <v>663</v>
      </c>
      <c r="Q662" s="22">
        <f>IF(testdata4[[#This Row],[%R]]&lt;&gt;Table25[[#This Row],[%R]],testdata4[[#This Row],[%R]]-Table25[[#This Row],[%R]],"")</f>
        <v>-2.8421709430404007E-14</v>
      </c>
      <c r="R662" s="11" t="str">
        <f>IF(OR(Table25[[#This Row],[%R]]&lt;-100,Table25[[#This Row],[%R]]&gt;0),"RANGE_ERR","")</f>
        <v>RANGE_ERR</v>
      </c>
    </row>
    <row r="663" spans="1:18" x14ac:dyDescent="0.35">
      <c r="A663" s="6">
        <v>661</v>
      </c>
      <c r="B663" s="3">
        <v>45873</v>
      </c>
      <c r="C663" s="2">
        <v>113.17</v>
      </c>
      <c r="D663" s="2">
        <v>115.03</v>
      </c>
      <c r="E663" s="2">
        <v>112.01</v>
      </c>
      <c r="F663" s="2">
        <v>114.84</v>
      </c>
      <c r="G663" s="1">
        <v>1343207</v>
      </c>
      <c r="H663" s="2">
        <f t="shared" si="24"/>
        <v>110.75</v>
      </c>
      <c r="I663" s="2">
        <f t="shared" si="25"/>
        <v>122.75</v>
      </c>
      <c r="J663" s="22">
        <f>100*(testdata4[[#This Row],[close]]-testdata4[[#This Row],[LL]])/(testdata4[[#This Row],[HH]]-testdata4[[#This Row],[LL]])</f>
        <v>34.083333333333364</v>
      </c>
      <c r="K663" s="22">
        <f>testdata4[[#This Row],[K(14)'']]</f>
        <v>34.083333333333364</v>
      </c>
      <c r="L663" s="22">
        <f>testdata4[[#This Row],[%K]]-100</f>
        <v>-65.916666666666629</v>
      </c>
      <c r="N663" s="12">
        <v>661</v>
      </c>
      <c r="O663" s="13">
        <v>45873</v>
      </c>
      <c r="P663" s="23" t="s">
        <v>664</v>
      </c>
      <c r="Q663" s="22">
        <f>IF(testdata4[[#This Row],[%R]]&lt;&gt;Table25[[#This Row],[%R]],testdata4[[#This Row],[%R]]-Table25[[#This Row],[%R]],"")</f>
        <v>-2.8421709430404007E-14</v>
      </c>
      <c r="R663" s="11" t="str">
        <f>IF(OR(Table25[[#This Row],[%R]]&lt;-100,Table25[[#This Row],[%R]]&gt;0),"RANGE_ERR","")</f>
        <v>RANGE_ERR</v>
      </c>
    </row>
    <row r="664" spans="1:18" x14ac:dyDescent="0.35">
      <c r="A664" s="6">
        <v>662</v>
      </c>
      <c r="B664" s="3">
        <v>45874</v>
      </c>
      <c r="C664" s="2">
        <v>114.81</v>
      </c>
      <c r="D664" s="2">
        <v>115.43</v>
      </c>
      <c r="E664" s="2">
        <v>114.25</v>
      </c>
      <c r="F664" s="2">
        <v>114.89</v>
      </c>
      <c r="G664" s="1">
        <v>1271053</v>
      </c>
      <c r="H664" s="2">
        <f t="shared" si="24"/>
        <v>110.75</v>
      </c>
      <c r="I664" s="2">
        <f t="shared" si="25"/>
        <v>122.75</v>
      </c>
      <c r="J664" s="22">
        <f>100*(testdata4[[#This Row],[close]]-testdata4[[#This Row],[LL]])/(testdata4[[#This Row],[HH]]-testdata4[[#This Row],[LL]])</f>
        <v>34.500000000000007</v>
      </c>
      <c r="K664" s="22">
        <f>testdata4[[#This Row],[K(14)'']]</f>
        <v>34.500000000000007</v>
      </c>
      <c r="L664" s="22">
        <f>testdata4[[#This Row],[%K]]-100</f>
        <v>-65.5</v>
      </c>
      <c r="N664" s="12">
        <v>662</v>
      </c>
      <c r="O664" s="13">
        <v>45874</v>
      </c>
      <c r="P664" s="23" t="s">
        <v>665</v>
      </c>
      <c r="Q664" s="22">
        <f>IF(testdata4[[#This Row],[%R]]&lt;&gt;Table25[[#This Row],[%R]],testdata4[[#This Row],[%R]]-Table25[[#This Row],[%R]],"")</f>
        <v>0</v>
      </c>
      <c r="R664" s="11" t="str">
        <f>IF(OR(Table25[[#This Row],[%R]]&lt;-100,Table25[[#This Row],[%R]]&gt;0),"RANGE_ERR","")</f>
        <v>RANGE_ERR</v>
      </c>
    </row>
    <row r="665" spans="1:18" x14ac:dyDescent="0.35">
      <c r="A665" s="6">
        <v>663</v>
      </c>
      <c r="B665" s="3">
        <v>45875</v>
      </c>
      <c r="C665" s="2">
        <v>115.08</v>
      </c>
      <c r="D665" s="2">
        <v>115.08</v>
      </c>
      <c r="E665" s="2">
        <v>112.56</v>
      </c>
      <c r="F665" s="2">
        <v>113.23</v>
      </c>
      <c r="G665" s="1">
        <v>1058665</v>
      </c>
      <c r="H665" s="2">
        <f t="shared" si="24"/>
        <v>110.75</v>
      </c>
      <c r="I665" s="2">
        <f t="shared" si="25"/>
        <v>122.75</v>
      </c>
      <c r="J665" s="22">
        <f>100*(testdata4[[#This Row],[close]]-testdata4[[#This Row],[LL]])/(testdata4[[#This Row],[HH]]-testdata4[[#This Row],[LL]])</f>
        <v>20.6666666666667</v>
      </c>
      <c r="K665" s="22">
        <f>testdata4[[#This Row],[K(14)'']]</f>
        <v>20.6666666666667</v>
      </c>
      <c r="L665" s="22">
        <f>testdata4[[#This Row],[%K]]-100</f>
        <v>-79.3333333333333</v>
      </c>
      <c r="N665" s="12">
        <v>663</v>
      </c>
      <c r="O665" s="13">
        <v>45875</v>
      </c>
      <c r="P665" s="23" t="s">
        <v>666</v>
      </c>
      <c r="Q665" s="22">
        <f>IF(testdata4[[#This Row],[%R]]&lt;&gt;Table25[[#This Row],[%R]],testdata4[[#This Row],[%R]]-Table25[[#This Row],[%R]],"")</f>
        <v>0</v>
      </c>
      <c r="R665" s="11" t="str">
        <f>IF(OR(Table25[[#This Row],[%R]]&lt;-100,Table25[[#This Row],[%R]]&gt;0),"RANGE_ERR","")</f>
        <v>RANGE_ERR</v>
      </c>
    </row>
    <row r="666" spans="1:18" x14ac:dyDescent="0.35">
      <c r="A666" s="6">
        <v>664</v>
      </c>
      <c r="B666" s="3">
        <v>45876</v>
      </c>
      <c r="C666" s="2">
        <v>114.5</v>
      </c>
      <c r="D666" s="2">
        <v>114.92</v>
      </c>
      <c r="E666" s="2">
        <v>113.16</v>
      </c>
      <c r="F666" s="2">
        <v>113.98</v>
      </c>
      <c r="G666" s="1">
        <v>1157465</v>
      </c>
      <c r="H666" s="2">
        <f t="shared" si="24"/>
        <v>110.75</v>
      </c>
      <c r="I666" s="2">
        <f t="shared" si="25"/>
        <v>122.75</v>
      </c>
      <c r="J666" s="22">
        <f>100*(testdata4[[#This Row],[close]]-testdata4[[#This Row],[LL]])/(testdata4[[#This Row],[HH]]-testdata4[[#This Row],[LL]])</f>
        <v>26.9166666666667</v>
      </c>
      <c r="K666" s="22">
        <f>testdata4[[#This Row],[K(14)'']]</f>
        <v>26.9166666666667</v>
      </c>
      <c r="L666" s="22">
        <f>testdata4[[#This Row],[%K]]-100</f>
        <v>-73.0833333333333</v>
      </c>
      <c r="N666" s="12">
        <v>664</v>
      </c>
      <c r="O666" s="13">
        <v>45876</v>
      </c>
      <c r="P666" s="23" t="s">
        <v>667</v>
      </c>
      <c r="Q666" s="22">
        <f>IF(testdata4[[#This Row],[%R]]&lt;&gt;Table25[[#This Row],[%R]],testdata4[[#This Row],[%R]]-Table25[[#This Row],[%R]],"")</f>
        <v>0</v>
      </c>
      <c r="R666" s="11" t="str">
        <f>IF(OR(Table25[[#This Row],[%R]]&lt;-100,Table25[[#This Row],[%R]]&gt;0),"RANGE_ERR","")</f>
        <v>RANGE_ERR</v>
      </c>
    </row>
    <row r="667" spans="1:18" x14ac:dyDescent="0.35">
      <c r="A667" s="6">
        <v>665</v>
      </c>
      <c r="B667" s="3">
        <v>45877</v>
      </c>
      <c r="C667" s="2">
        <v>114.31</v>
      </c>
      <c r="D667" s="2">
        <v>115</v>
      </c>
      <c r="E667" s="2">
        <v>113.39</v>
      </c>
      <c r="F667" s="2">
        <v>114.62</v>
      </c>
      <c r="G667" s="1">
        <v>1129762</v>
      </c>
      <c r="H667" s="2">
        <f t="shared" si="24"/>
        <v>111.19</v>
      </c>
      <c r="I667" s="2">
        <f t="shared" si="25"/>
        <v>122.75</v>
      </c>
      <c r="J667" s="22">
        <f>100*(testdata4[[#This Row],[close]]-testdata4[[#This Row],[LL]])/(testdata4[[#This Row],[HH]]-testdata4[[#This Row],[LL]])</f>
        <v>29.671280276816663</v>
      </c>
      <c r="K667" s="22">
        <f>testdata4[[#This Row],[K(14)'']]</f>
        <v>29.671280276816663</v>
      </c>
      <c r="L667" s="22">
        <f>testdata4[[#This Row],[%K]]-100</f>
        <v>-70.32871972318334</v>
      </c>
      <c r="N667" s="12">
        <v>665</v>
      </c>
      <c r="O667" s="13">
        <v>45877</v>
      </c>
      <c r="P667" s="23" t="s">
        <v>668</v>
      </c>
      <c r="Q667" s="22">
        <f>IF(testdata4[[#This Row],[%R]]&lt;&gt;Table25[[#This Row],[%R]],testdata4[[#This Row],[%R]]-Table25[[#This Row],[%R]],"")</f>
        <v>-4.2632564145606011E-14</v>
      </c>
      <c r="R667" s="11" t="str">
        <f>IF(OR(Table25[[#This Row],[%R]]&lt;-100,Table25[[#This Row],[%R]]&gt;0),"RANGE_ERR","")</f>
        <v>RANGE_ERR</v>
      </c>
    </row>
    <row r="668" spans="1:18" x14ac:dyDescent="0.35">
      <c r="A668" s="6">
        <v>666</v>
      </c>
      <c r="B668" s="3">
        <v>45880</v>
      </c>
      <c r="C668" s="2">
        <v>115.04</v>
      </c>
      <c r="D668" s="2">
        <v>115.67</v>
      </c>
      <c r="E668" s="2">
        <v>113.73</v>
      </c>
      <c r="F668" s="2">
        <v>114.13</v>
      </c>
      <c r="G668" s="1">
        <v>1082339</v>
      </c>
      <c r="H668" s="2">
        <f t="shared" si="24"/>
        <v>111.19</v>
      </c>
      <c r="I668" s="2">
        <f t="shared" si="25"/>
        <v>122.75</v>
      </c>
      <c r="J668" s="22">
        <f>100*(testdata4[[#This Row],[close]]-testdata4[[#This Row],[LL]])/(testdata4[[#This Row],[HH]]-testdata4[[#This Row],[LL]])</f>
        <v>25.432525951557068</v>
      </c>
      <c r="K668" s="22">
        <f>testdata4[[#This Row],[K(14)'']]</f>
        <v>25.432525951557068</v>
      </c>
      <c r="L668" s="22">
        <f>testdata4[[#This Row],[%K]]-100</f>
        <v>-74.567474048442932</v>
      </c>
      <c r="N668" s="12">
        <v>666</v>
      </c>
      <c r="O668" s="13">
        <v>45880</v>
      </c>
      <c r="P668" s="23" t="s">
        <v>669</v>
      </c>
      <c r="Q668" s="22">
        <f>IF(testdata4[[#This Row],[%R]]&lt;&gt;Table25[[#This Row],[%R]],testdata4[[#This Row],[%R]]-Table25[[#This Row],[%R]],"")</f>
        <v>-2.8421709430404007E-14</v>
      </c>
      <c r="R668" s="11" t="str">
        <f>IF(OR(Table25[[#This Row],[%R]]&lt;-100,Table25[[#This Row],[%R]]&gt;0),"RANGE_ERR","")</f>
        <v>RANGE_ERR</v>
      </c>
    </row>
    <row r="669" spans="1:18" x14ac:dyDescent="0.35">
      <c r="A669" s="6">
        <v>667</v>
      </c>
      <c r="B669" s="3">
        <v>45881</v>
      </c>
      <c r="C669" s="2">
        <v>114.51</v>
      </c>
      <c r="D669" s="2">
        <v>117.37</v>
      </c>
      <c r="E669" s="2">
        <v>114.395</v>
      </c>
      <c r="F669" s="2">
        <v>117.32</v>
      </c>
      <c r="G669" s="1">
        <v>917388</v>
      </c>
      <c r="H669" s="2">
        <f t="shared" si="24"/>
        <v>111.19</v>
      </c>
      <c r="I669" s="2">
        <f t="shared" si="25"/>
        <v>122.75</v>
      </c>
      <c r="J669" s="22">
        <f>100*(testdata4[[#This Row],[close]]-testdata4[[#This Row],[LL]])/(testdata4[[#This Row],[HH]]-testdata4[[#This Row],[LL]])</f>
        <v>53.027681660899603</v>
      </c>
      <c r="K669" s="22">
        <f>testdata4[[#This Row],[K(14)'']]</f>
        <v>53.027681660899603</v>
      </c>
      <c r="L669" s="22">
        <f>testdata4[[#This Row],[%K]]-100</f>
        <v>-46.972318339100397</v>
      </c>
      <c r="N669" s="12">
        <v>667</v>
      </c>
      <c r="O669" s="13">
        <v>45881</v>
      </c>
      <c r="P669" s="23" t="s">
        <v>670</v>
      </c>
      <c r="Q669" s="22">
        <f>IF(testdata4[[#This Row],[%R]]&lt;&gt;Table25[[#This Row],[%R]],testdata4[[#This Row],[%R]]-Table25[[#This Row],[%R]],"")</f>
        <v>-9.9475983006414026E-14</v>
      </c>
      <c r="R669" s="11" t="str">
        <f>IF(OR(Table25[[#This Row],[%R]]&lt;-100,Table25[[#This Row],[%R]]&gt;0),"RANGE_ERR","")</f>
        <v>RANGE_ERR</v>
      </c>
    </row>
    <row r="670" spans="1:18" x14ac:dyDescent="0.35">
      <c r="A670" s="6">
        <v>668</v>
      </c>
      <c r="B670" s="3">
        <v>45882</v>
      </c>
      <c r="C670" s="2">
        <v>118.06</v>
      </c>
      <c r="D670" s="2">
        <v>120.395</v>
      </c>
      <c r="E670" s="2">
        <v>117.86</v>
      </c>
      <c r="F670" s="2">
        <v>120.29</v>
      </c>
      <c r="G670" s="1">
        <v>983597</v>
      </c>
      <c r="H670" s="2">
        <f t="shared" si="24"/>
        <v>111.19</v>
      </c>
      <c r="I670" s="2">
        <f t="shared" si="25"/>
        <v>121.01</v>
      </c>
      <c r="J670" s="22">
        <f>100*(testdata4[[#This Row],[close]]-testdata4[[#This Row],[LL]])/(testdata4[[#This Row],[HH]]-testdata4[[#This Row],[LL]])</f>
        <v>92.668024439918554</v>
      </c>
      <c r="K670" s="22">
        <f>testdata4[[#This Row],[K(14)'']]</f>
        <v>92.668024439918554</v>
      </c>
      <c r="L670" s="22">
        <f>testdata4[[#This Row],[%K]]-100</f>
        <v>-7.331975560081446</v>
      </c>
      <c r="N670" s="12">
        <v>668</v>
      </c>
      <c r="O670" s="13">
        <v>45882</v>
      </c>
      <c r="P670" s="23" t="s">
        <v>671</v>
      </c>
      <c r="Q670" s="22">
        <f>IF(testdata4[[#This Row],[%R]]&lt;&gt;Table25[[#This Row],[%R]],testdata4[[#This Row],[%R]]-Table25[[#This Row],[%R]],"")</f>
        <v>-6.2172489379008766E-15</v>
      </c>
      <c r="R670" s="11" t="str">
        <f>IF(OR(Table25[[#This Row],[%R]]&lt;-100,Table25[[#This Row],[%R]]&gt;0),"RANGE_ERR","")</f>
        <v>RANGE_ERR</v>
      </c>
    </row>
    <row r="671" spans="1:18" x14ac:dyDescent="0.35">
      <c r="A671" s="6">
        <v>669</v>
      </c>
      <c r="B671" s="3">
        <v>45883</v>
      </c>
      <c r="C671" s="2">
        <v>119.23</v>
      </c>
      <c r="D671" s="2">
        <v>119.405</v>
      </c>
      <c r="E671" s="2">
        <v>118.15</v>
      </c>
      <c r="F671" s="2">
        <v>118.87</v>
      </c>
      <c r="G671" s="1">
        <v>926367</v>
      </c>
      <c r="H671" s="2">
        <f t="shared" si="24"/>
        <v>111.19</v>
      </c>
      <c r="I671" s="2">
        <f t="shared" si="25"/>
        <v>120.77</v>
      </c>
      <c r="J671" s="22">
        <f>100*(testdata4[[#This Row],[close]]-testdata4[[#This Row],[LL]])/(testdata4[[#This Row],[HH]]-testdata4[[#This Row],[LL]])</f>
        <v>80.16701461377879</v>
      </c>
      <c r="K671" s="22">
        <f>testdata4[[#This Row],[K(14)'']]</f>
        <v>80.16701461377879</v>
      </c>
      <c r="L671" s="22">
        <f>testdata4[[#This Row],[%K]]-100</f>
        <v>-19.83298538622121</v>
      </c>
      <c r="N671" s="12">
        <v>669</v>
      </c>
      <c r="O671" s="13">
        <v>45883</v>
      </c>
      <c r="P671" s="23" t="s">
        <v>672</v>
      </c>
      <c r="Q671" s="22">
        <f>IF(testdata4[[#This Row],[%R]]&lt;&gt;Table25[[#This Row],[%R]],testdata4[[#This Row],[%R]]-Table25[[#This Row],[%R]],"")</f>
        <v>-1.0658141036401503E-14</v>
      </c>
      <c r="R671" s="11" t="str">
        <f>IF(OR(Table25[[#This Row],[%R]]&lt;-100,Table25[[#This Row],[%R]]&gt;0),"RANGE_ERR","")</f>
        <v>RANGE_ERR</v>
      </c>
    </row>
    <row r="672" spans="1:18" x14ac:dyDescent="0.35">
      <c r="A672" s="6">
        <v>670</v>
      </c>
      <c r="B672" s="3">
        <v>45884</v>
      </c>
      <c r="C672" s="2">
        <v>119.61</v>
      </c>
      <c r="D672" s="2">
        <v>119.96</v>
      </c>
      <c r="E672" s="2">
        <v>118.49</v>
      </c>
      <c r="F672" s="2">
        <v>119.2</v>
      </c>
      <c r="G672" s="1">
        <v>1238471</v>
      </c>
      <c r="H672" s="2">
        <f t="shared" si="24"/>
        <v>111.19</v>
      </c>
      <c r="I672" s="2">
        <f t="shared" si="25"/>
        <v>120.505</v>
      </c>
      <c r="J672" s="22">
        <f>100*(testdata4[[#This Row],[close]]-testdata4[[#This Row],[LL]])/(testdata4[[#This Row],[HH]]-testdata4[[#This Row],[LL]])</f>
        <v>85.990338164251284</v>
      </c>
      <c r="K672" s="22">
        <f>testdata4[[#This Row],[K(14)'']]</f>
        <v>85.990338164251284</v>
      </c>
      <c r="L672" s="22">
        <f>testdata4[[#This Row],[%K]]-100</f>
        <v>-14.009661835748716</v>
      </c>
      <c r="N672" s="12">
        <v>670</v>
      </c>
      <c r="O672" s="13">
        <v>45884</v>
      </c>
      <c r="P672" s="23" t="s">
        <v>673</v>
      </c>
      <c r="Q672" s="22">
        <f>IF(testdata4[[#This Row],[%R]]&lt;&gt;Table25[[#This Row],[%R]],testdata4[[#This Row],[%R]]-Table25[[#This Row],[%R]],"")</f>
        <v>-1.5987211554602254E-14</v>
      </c>
      <c r="R672" s="11" t="str">
        <f>IF(OR(Table25[[#This Row],[%R]]&lt;-100,Table25[[#This Row],[%R]]&gt;0),"RANGE_ERR","")</f>
        <v>RANGE_ERR</v>
      </c>
    </row>
    <row r="673" spans="1:18" x14ac:dyDescent="0.35">
      <c r="A673" s="6">
        <v>671</v>
      </c>
      <c r="B673" s="3">
        <v>45887</v>
      </c>
      <c r="C673" s="2">
        <v>119.12</v>
      </c>
      <c r="D673" s="2">
        <v>119.6</v>
      </c>
      <c r="E673" s="2">
        <v>118.15</v>
      </c>
      <c r="F673" s="2">
        <v>118.15</v>
      </c>
      <c r="G673" s="1">
        <v>1021103</v>
      </c>
      <c r="H673" s="2">
        <f t="shared" si="24"/>
        <v>111.19</v>
      </c>
      <c r="I673" s="2">
        <f t="shared" si="25"/>
        <v>120.46</v>
      </c>
      <c r="J673" s="22">
        <f>100*(testdata4[[#This Row],[close]]-testdata4[[#This Row],[LL]])/(testdata4[[#This Row],[HH]]-testdata4[[#This Row],[LL]])</f>
        <v>75.080906148867427</v>
      </c>
      <c r="K673" s="22">
        <f>testdata4[[#This Row],[K(14)'']]</f>
        <v>75.080906148867427</v>
      </c>
      <c r="L673" s="22">
        <f>testdata4[[#This Row],[%K]]-100</f>
        <v>-24.919093851132573</v>
      </c>
      <c r="N673" s="12">
        <v>671</v>
      </c>
      <c r="O673" s="13">
        <v>45887</v>
      </c>
      <c r="P673" s="23" t="s">
        <v>674</v>
      </c>
      <c r="Q673" s="22">
        <f>IF(testdata4[[#This Row],[%R]]&lt;&gt;Table25[[#This Row],[%R]],testdata4[[#This Row],[%R]]-Table25[[#This Row],[%R]],"")</f>
        <v>-7.1054273576010019E-14</v>
      </c>
      <c r="R673" s="11" t="str">
        <f>IF(OR(Table25[[#This Row],[%R]]&lt;-100,Table25[[#This Row],[%R]]&gt;0),"RANGE_ERR","")</f>
        <v>RANGE_ERR</v>
      </c>
    </row>
    <row r="674" spans="1:18" x14ac:dyDescent="0.35">
      <c r="A674" s="6">
        <v>672</v>
      </c>
      <c r="B674" s="3">
        <v>45888</v>
      </c>
      <c r="C674" s="2">
        <v>118.5</v>
      </c>
      <c r="D674" s="2">
        <v>120.59</v>
      </c>
      <c r="E674" s="2">
        <v>118.145</v>
      </c>
      <c r="F674" s="2">
        <v>120.11</v>
      </c>
      <c r="G674" s="1">
        <v>1313481</v>
      </c>
      <c r="H674" s="2">
        <f t="shared" si="24"/>
        <v>111.19</v>
      </c>
      <c r="I674" s="2">
        <f t="shared" si="25"/>
        <v>120.59</v>
      </c>
      <c r="J674" s="22">
        <f>100*(testdata4[[#This Row],[close]]-testdata4[[#This Row],[LL]])/(testdata4[[#This Row],[HH]]-testdata4[[#This Row],[LL]])</f>
        <v>94.893617021276569</v>
      </c>
      <c r="K674" s="22">
        <f>testdata4[[#This Row],[K(14)'']]</f>
        <v>94.893617021276569</v>
      </c>
      <c r="L674" s="22">
        <f>testdata4[[#This Row],[%K]]-100</f>
        <v>-5.1063829787234312</v>
      </c>
      <c r="N674" s="12">
        <v>672</v>
      </c>
      <c r="O674" s="13">
        <v>45888</v>
      </c>
      <c r="P674" s="23" t="s">
        <v>675</v>
      </c>
      <c r="Q674" s="22">
        <f>IF(testdata4[[#This Row],[%R]]&lt;&gt;Table25[[#This Row],[%R]],testdata4[[#This Row],[%R]]-Table25[[#This Row],[%R]],"")</f>
        <v>-8.8817841970012523E-16</v>
      </c>
      <c r="R674" s="11" t="str">
        <f>IF(OR(Table25[[#This Row],[%R]]&lt;-100,Table25[[#This Row],[%R]]&gt;0),"RANGE_ERR","")</f>
        <v>RANGE_ERR</v>
      </c>
    </row>
    <row r="675" spans="1:18" x14ac:dyDescent="0.35">
      <c r="A675" s="6">
        <v>673</v>
      </c>
      <c r="B675" s="3">
        <v>45889</v>
      </c>
      <c r="C675" s="2">
        <v>119.87</v>
      </c>
      <c r="D675" s="2">
        <v>120.46</v>
      </c>
      <c r="E675" s="2">
        <v>118.2801</v>
      </c>
      <c r="F675" s="2">
        <v>119.11</v>
      </c>
      <c r="G675" s="1">
        <v>1431859</v>
      </c>
      <c r="H675" s="2">
        <f t="shared" si="24"/>
        <v>111.19</v>
      </c>
      <c r="I675" s="2">
        <f t="shared" si="25"/>
        <v>120.59</v>
      </c>
      <c r="J675" s="22">
        <f>100*(testdata4[[#This Row],[close]]-testdata4[[#This Row],[LL]])/(testdata4[[#This Row],[HH]]-testdata4[[#This Row],[LL]])</f>
        <v>84.255319148936138</v>
      </c>
      <c r="K675" s="22">
        <f>testdata4[[#This Row],[K(14)'']]</f>
        <v>84.255319148936138</v>
      </c>
      <c r="L675" s="22">
        <f>testdata4[[#This Row],[%K]]-100</f>
        <v>-15.744680851063862</v>
      </c>
      <c r="N675" s="12">
        <v>673</v>
      </c>
      <c r="O675" s="13">
        <v>45889</v>
      </c>
      <c r="P675" s="23" t="s">
        <v>676</v>
      </c>
      <c r="Q675" s="22">
        <f>IF(testdata4[[#This Row],[%R]]&lt;&gt;Table25[[#This Row],[%R]],testdata4[[#This Row],[%R]]-Table25[[#This Row],[%R]],"")</f>
        <v>-6.2172489379008766E-14</v>
      </c>
      <c r="R675" s="11" t="str">
        <f>IF(OR(Table25[[#This Row],[%R]]&lt;-100,Table25[[#This Row],[%R]]&gt;0),"RANGE_ERR","")</f>
        <v>RANGE_ERR</v>
      </c>
    </row>
    <row r="676" spans="1:18" x14ac:dyDescent="0.35">
      <c r="A676" s="6">
        <v>674</v>
      </c>
      <c r="B676" s="3">
        <v>45890</v>
      </c>
      <c r="C676" s="2">
        <v>118.49</v>
      </c>
      <c r="D676" s="2">
        <v>118.7</v>
      </c>
      <c r="E676" s="2">
        <v>117.03</v>
      </c>
      <c r="F676" s="2">
        <v>117.15</v>
      </c>
      <c r="G676" s="1">
        <v>744734</v>
      </c>
      <c r="H676" s="2">
        <f t="shared" si="24"/>
        <v>112.01</v>
      </c>
      <c r="I676" s="2">
        <f t="shared" si="25"/>
        <v>120.59</v>
      </c>
      <c r="J676" s="22">
        <f>100*(testdata4[[#This Row],[close]]-testdata4[[#This Row],[LL]])/(testdata4[[#This Row],[HH]]-testdata4[[#This Row],[LL]])</f>
        <v>59.906759906759916</v>
      </c>
      <c r="K676" s="22">
        <f>testdata4[[#This Row],[K(14)'']]</f>
        <v>59.906759906759916</v>
      </c>
      <c r="L676" s="22">
        <f>testdata4[[#This Row],[%K]]-100</f>
        <v>-40.093240093240084</v>
      </c>
      <c r="N676" s="12">
        <v>674</v>
      </c>
      <c r="O676" s="13">
        <v>45890</v>
      </c>
      <c r="P676" s="23" t="s">
        <v>677</v>
      </c>
      <c r="Q676" s="22">
        <f>IF(testdata4[[#This Row],[%R]]&lt;&gt;Table25[[#This Row],[%R]],testdata4[[#This Row],[%R]]-Table25[[#This Row],[%R]],"")</f>
        <v>-8.5265128291212022E-14</v>
      </c>
      <c r="R676" s="11" t="str">
        <f>IF(OR(Table25[[#This Row],[%R]]&lt;-100,Table25[[#This Row],[%R]]&gt;0),"RANGE_ERR","")</f>
        <v>RANGE_ERR</v>
      </c>
    </row>
    <row r="677" spans="1:18" x14ac:dyDescent="0.35">
      <c r="A677" s="6">
        <v>675</v>
      </c>
      <c r="B677" s="3">
        <v>45891</v>
      </c>
      <c r="C677" s="2">
        <v>118.27</v>
      </c>
      <c r="D677" s="2">
        <v>122.41</v>
      </c>
      <c r="E677" s="2">
        <v>117.465</v>
      </c>
      <c r="F677" s="2">
        <v>121.63</v>
      </c>
      <c r="G677" s="1">
        <v>1290989</v>
      </c>
      <c r="H677" s="2">
        <f t="shared" si="24"/>
        <v>112.56</v>
      </c>
      <c r="I677" s="2">
        <f t="shared" si="25"/>
        <v>122.41</v>
      </c>
      <c r="J677" s="22">
        <f>100*(testdata4[[#This Row],[close]]-testdata4[[#This Row],[LL]])/(testdata4[[#This Row],[HH]]-testdata4[[#This Row],[LL]])</f>
        <v>92.081218274111663</v>
      </c>
      <c r="K677" s="22">
        <f>testdata4[[#This Row],[K(14)'']]</f>
        <v>92.081218274111663</v>
      </c>
      <c r="L677" s="22">
        <f>testdata4[[#This Row],[%K]]-100</f>
        <v>-7.9187817258883371</v>
      </c>
      <c r="N677" s="12">
        <v>675</v>
      </c>
      <c r="O677" s="13">
        <v>45891</v>
      </c>
      <c r="P677" s="23" t="s">
        <v>678</v>
      </c>
      <c r="Q677" s="22">
        <f>IF(testdata4[[#This Row],[%R]]&lt;&gt;Table25[[#This Row],[%R]],testdata4[[#This Row],[%R]]-Table25[[#This Row],[%R]],"")</f>
        <v>-7.1054273576010019E-15</v>
      </c>
      <c r="R677" s="11" t="str">
        <f>IF(OR(Table25[[#This Row],[%R]]&lt;-100,Table25[[#This Row],[%R]]&gt;0),"RANGE_ERR","")</f>
        <v>RANGE_ERR</v>
      </c>
    </row>
    <row r="678" spans="1:18" x14ac:dyDescent="0.35">
      <c r="A678" s="6">
        <v>676</v>
      </c>
      <c r="B678" s="3">
        <v>45894</v>
      </c>
      <c r="C678" s="2">
        <v>121.5</v>
      </c>
      <c r="D678" s="2">
        <v>121.685</v>
      </c>
      <c r="E678" s="2">
        <v>118.48</v>
      </c>
      <c r="F678" s="2">
        <v>119.15</v>
      </c>
      <c r="G678" s="1">
        <v>1482531</v>
      </c>
      <c r="H678" s="2">
        <f t="shared" si="24"/>
        <v>112.56</v>
      </c>
      <c r="I678" s="2">
        <f t="shared" si="25"/>
        <v>122.41</v>
      </c>
      <c r="J678" s="22">
        <f>100*(testdata4[[#This Row],[close]]-testdata4[[#This Row],[LL]])/(testdata4[[#This Row],[HH]]-testdata4[[#This Row],[LL]])</f>
        <v>66.903553299492458</v>
      </c>
      <c r="K678" s="22">
        <f>testdata4[[#This Row],[K(14)'']]</f>
        <v>66.903553299492458</v>
      </c>
      <c r="L678" s="22">
        <f>testdata4[[#This Row],[%K]]-100</f>
        <v>-33.096446700507542</v>
      </c>
      <c r="N678" s="12">
        <v>676</v>
      </c>
      <c r="O678" s="13">
        <v>45894</v>
      </c>
      <c r="P678" s="23" t="s">
        <v>679</v>
      </c>
      <c r="Q678" s="22">
        <f>IF(testdata4[[#This Row],[%R]]&lt;&gt;Table25[[#This Row],[%R]],testdata4[[#This Row],[%R]]-Table25[[#This Row],[%R]],"")</f>
        <v>-4.2632564145606011E-14</v>
      </c>
      <c r="R678" s="11" t="str">
        <f>IF(OR(Table25[[#This Row],[%R]]&lt;-100,Table25[[#This Row],[%R]]&gt;0),"RANGE_ERR","")</f>
        <v>RANGE_ERR</v>
      </c>
    </row>
    <row r="679" spans="1:18" x14ac:dyDescent="0.35">
      <c r="A679" s="6">
        <v>677</v>
      </c>
      <c r="B679" s="3">
        <v>45895</v>
      </c>
      <c r="C679" s="2">
        <v>119.23</v>
      </c>
      <c r="D679" s="2">
        <v>119.63</v>
      </c>
      <c r="E679" s="2">
        <v>118.105</v>
      </c>
      <c r="F679" s="2">
        <v>118.3</v>
      </c>
      <c r="G679" s="1">
        <v>1898309</v>
      </c>
      <c r="H679" s="2">
        <f t="shared" si="24"/>
        <v>113.16</v>
      </c>
      <c r="I679" s="2">
        <f t="shared" si="25"/>
        <v>122.41</v>
      </c>
      <c r="J679" s="22">
        <f>100*(testdata4[[#This Row],[close]]-testdata4[[#This Row],[LL]])/(testdata4[[#This Row],[HH]]-testdata4[[#This Row],[LL]])</f>
        <v>55.567567567567565</v>
      </c>
      <c r="K679" s="22">
        <f>testdata4[[#This Row],[K(14)'']]</f>
        <v>55.567567567567565</v>
      </c>
      <c r="L679" s="22">
        <f>testdata4[[#This Row],[%K]]-100</f>
        <v>-44.432432432432435</v>
      </c>
      <c r="N679" s="12">
        <v>677</v>
      </c>
      <c r="O679" s="13">
        <v>45895</v>
      </c>
      <c r="P679" s="23" t="s">
        <v>680</v>
      </c>
      <c r="Q679" s="22">
        <f>IF(testdata4[[#This Row],[%R]]&lt;&gt;Table25[[#This Row],[%R]],testdata4[[#This Row],[%R]]-Table25[[#This Row],[%R]],"")</f>
        <v>-3.5527136788005009E-14</v>
      </c>
      <c r="R679" s="11" t="str">
        <f>IF(OR(Table25[[#This Row],[%R]]&lt;-100,Table25[[#This Row],[%R]]&gt;0),"RANGE_ERR","")</f>
        <v>RANGE_ERR</v>
      </c>
    </row>
    <row r="680" spans="1:18" x14ac:dyDescent="0.35">
      <c r="A680" s="6">
        <v>678</v>
      </c>
      <c r="B680" s="3">
        <v>45896</v>
      </c>
      <c r="C680" s="2">
        <v>118.5</v>
      </c>
      <c r="D680" s="2">
        <v>119.2</v>
      </c>
      <c r="E680" s="2">
        <v>117.51</v>
      </c>
      <c r="F680" s="2">
        <v>118.69</v>
      </c>
      <c r="G680" s="1">
        <v>1698630</v>
      </c>
      <c r="H680" s="2">
        <f t="shared" si="24"/>
        <v>113.39</v>
      </c>
      <c r="I680" s="2">
        <f t="shared" si="25"/>
        <v>122.41</v>
      </c>
      <c r="J680" s="22">
        <f>100*(testdata4[[#This Row],[close]]-testdata4[[#This Row],[LL]])/(testdata4[[#This Row],[HH]]-testdata4[[#This Row],[LL]])</f>
        <v>58.758314855875831</v>
      </c>
      <c r="K680" s="22">
        <f>testdata4[[#This Row],[K(14)'']]</f>
        <v>58.758314855875831</v>
      </c>
      <c r="L680" s="22">
        <f>testdata4[[#This Row],[%K]]-100</f>
        <v>-41.241685144124169</v>
      </c>
      <c r="N680" s="12">
        <v>678</v>
      </c>
      <c r="O680" s="13">
        <v>45896</v>
      </c>
      <c r="P680" s="23" t="s">
        <v>681</v>
      </c>
      <c r="Q680" s="22">
        <f>IF(testdata4[[#This Row],[%R]]&lt;&gt;Table25[[#This Row],[%R]],testdata4[[#This Row],[%R]]-Table25[[#This Row],[%R]],"")</f>
        <v>-7.1054273576010019E-14</v>
      </c>
      <c r="R680" s="11" t="str">
        <f>IF(OR(Table25[[#This Row],[%R]]&lt;-100,Table25[[#This Row],[%R]]&gt;0),"RANGE_ERR","")</f>
        <v>RANGE_ERR</v>
      </c>
    </row>
    <row r="681" spans="1:18" x14ac:dyDescent="0.35">
      <c r="A681" s="6">
        <v>679</v>
      </c>
      <c r="B681" s="3">
        <v>45897</v>
      </c>
      <c r="C681" s="2">
        <v>118.8</v>
      </c>
      <c r="D681" s="2">
        <v>125.4204</v>
      </c>
      <c r="E681" s="2">
        <v>118.2</v>
      </c>
      <c r="F681" s="2">
        <v>124.96</v>
      </c>
      <c r="G681" s="1">
        <v>3886441</v>
      </c>
      <c r="H681" s="2">
        <f t="shared" si="24"/>
        <v>113.73</v>
      </c>
      <c r="I681" s="2">
        <f t="shared" si="25"/>
        <v>125.4204</v>
      </c>
      <c r="J681" s="22">
        <f>100*(testdata4[[#This Row],[close]]-testdata4[[#This Row],[LL]])/(testdata4[[#This Row],[HH]]-testdata4[[#This Row],[LL]])</f>
        <v>96.061725860535091</v>
      </c>
      <c r="K681" s="22">
        <f>testdata4[[#This Row],[K(14)'']]</f>
        <v>96.061725860535091</v>
      </c>
      <c r="L681" s="22">
        <f>testdata4[[#This Row],[%K]]-100</f>
        <v>-3.9382741394649088</v>
      </c>
      <c r="N681" s="12">
        <v>679</v>
      </c>
      <c r="O681" s="13">
        <v>45897</v>
      </c>
      <c r="P681" s="23" t="s">
        <v>682</v>
      </c>
      <c r="Q681" s="22">
        <f>IF(testdata4[[#This Row],[%R]]&lt;&gt;Table25[[#This Row],[%R]],testdata4[[#This Row],[%R]]-Table25[[#This Row],[%R]],"")</f>
        <v>-8.8817841970012523E-15</v>
      </c>
      <c r="R681" s="11" t="str">
        <f>IF(OR(Table25[[#This Row],[%R]]&lt;-100,Table25[[#This Row],[%R]]&gt;0),"RANGE_ERR","")</f>
        <v>RANGE_ERR</v>
      </c>
    </row>
    <row r="682" spans="1:18" x14ac:dyDescent="0.35">
      <c r="A682" s="6">
        <v>680</v>
      </c>
      <c r="B682" s="3">
        <v>45898</v>
      </c>
      <c r="C682" s="2">
        <v>125</v>
      </c>
      <c r="D682" s="2">
        <v>126.3</v>
      </c>
      <c r="E682" s="2">
        <v>124.11</v>
      </c>
      <c r="F682" s="2">
        <v>125.66</v>
      </c>
      <c r="G682" s="1">
        <v>1780665</v>
      </c>
      <c r="H682" s="2">
        <f t="shared" si="24"/>
        <v>114.395</v>
      </c>
      <c r="I682" s="2">
        <f t="shared" si="25"/>
        <v>126.3</v>
      </c>
      <c r="J682" s="22">
        <f>100*(testdata4[[#This Row],[close]]-testdata4[[#This Row],[LL]])/(testdata4[[#This Row],[HH]]-testdata4[[#This Row],[LL]])</f>
        <v>94.624107517849637</v>
      </c>
      <c r="K682" s="22">
        <f>testdata4[[#This Row],[K(14)'']]</f>
        <v>94.624107517849637</v>
      </c>
      <c r="L682" s="22">
        <f>testdata4[[#This Row],[%K]]-100</f>
        <v>-5.3758924821503626</v>
      </c>
      <c r="N682" s="12">
        <v>680</v>
      </c>
      <c r="O682" s="13">
        <v>45898</v>
      </c>
      <c r="P682" s="23" t="s">
        <v>683</v>
      </c>
      <c r="Q682" s="22">
        <f>IF(testdata4[[#This Row],[%R]]&lt;&gt;Table25[[#This Row],[%R]],testdata4[[#This Row],[%R]]-Table25[[#This Row],[%R]],"")</f>
        <v>-2.6645352591003757E-15</v>
      </c>
      <c r="R682" s="11" t="str">
        <f>IF(OR(Table25[[#This Row],[%R]]&lt;-100,Table25[[#This Row],[%R]]&gt;0),"RANGE_ERR","")</f>
        <v>RANGE_ERR</v>
      </c>
    </row>
    <row r="683" spans="1:18" x14ac:dyDescent="0.35">
      <c r="A683" s="6">
        <v>681</v>
      </c>
      <c r="B683" s="3">
        <v>45902</v>
      </c>
      <c r="C683" s="2">
        <v>124.88</v>
      </c>
      <c r="D683" s="2">
        <v>125.52</v>
      </c>
      <c r="E683" s="2">
        <v>121.8</v>
      </c>
      <c r="F683" s="2">
        <v>125.21</v>
      </c>
      <c r="G683" s="1">
        <v>2412797</v>
      </c>
      <c r="H683" s="2">
        <f t="shared" si="24"/>
        <v>117.03</v>
      </c>
      <c r="I683" s="2">
        <f t="shared" si="25"/>
        <v>126.3</v>
      </c>
      <c r="J683" s="22">
        <f>100*(testdata4[[#This Row],[close]]-testdata4[[#This Row],[LL]])/(testdata4[[#This Row],[HH]]-testdata4[[#This Row],[LL]])</f>
        <v>88.241639697950347</v>
      </c>
      <c r="K683" s="22">
        <f>testdata4[[#This Row],[K(14)'']]</f>
        <v>88.241639697950347</v>
      </c>
      <c r="L683" s="22">
        <f>testdata4[[#This Row],[%K]]-100</f>
        <v>-11.758360302049653</v>
      </c>
      <c r="N683" s="12">
        <v>681</v>
      </c>
      <c r="O683" s="13">
        <v>45902</v>
      </c>
      <c r="P683" s="23" t="s">
        <v>684</v>
      </c>
      <c r="Q683" s="22">
        <f>IF(testdata4[[#This Row],[%R]]&lt;&gt;Table25[[#This Row],[%R]],testdata4[[#This Row],[%R]]-Table25[[#This Row],[%R]],"")</f>
        <v>-5.3290705182007514E-14</v>
      </c>
      <c r="R683" s="11" t="str">
        <f>IF(OR(Table25[[#This Row],[%R]]&lt;-100,Table25[[#This Row],[%R]]&gt;0),"RANGE_ERR","")</f>
        <v>RANGE_ERR</v>
      </c>
    </row>
    <row r="684" spans="1:18" x14ac:dyDescent="0.35">
      <c r="A684" s="6">
        <v>682</v>
      </c>
      <c r="B684" s="3">
        <v>45903</v>
      </c>
      <c r="C684" s="2">
        <v>124.96</v>
      </c>
      <c r="D684" s="2">
        <v>125.83</v>
      </c>
      <c r="E684" s="2">
        <v>123.72</v>
      </c>
      <c r="F684" s="2">
        <v>125.22</v>
      </c>
      <c r="G684" s="1">
        <v>2497362</v>
      </c>
      <c r="H684" s="2">
        <f t="shared" si="24"/>
        <v>117.03</v>
      </c>
      <c r="I684" s="2">
        <f t="shared" si="25"/>
        <v>126.3</v>
      </c>
      <c r="J684" s="22">
        <f>100*(testdata4[[#This Row],[close]]-testdata4[[#This Row],[LL]])/(testdata4[[#This Row],[HH]]-testdata4[[#This Row],[LL]])</f>
        <v>88.349514563106808</v>
      </c>
      <c r="K684" s="22">
        <f>testdata4[[#This Row],[K(14)'']]</f>
        <v>88.349514563106808</v>
      </c>
      <c r="L684" s="22">
        <f>testdata4[[#This Row],[%K]]-100</f>
        <v>-11.650485436893192</v>
      </c>
      <c r="N684" s="12">
        <v>682</v>
      </c>
      <c r="O684" s="13">
        <v>45903</v>
      </c>
      <c r="P684" s="23" t="s">
        <v>685</v>
      </c>
      <c r="Q684" s="22">
        <f>IF(testdata4[[#This Row],[%R]]&lt;&gt;Table25[[#This Row],[%R]],testdata4[[#This Row],[%R]]-Table25[[#This Row],[%R]],"")</f>
        <v>-9.2370555648813024E-14</v>
      </c>
      <c r="R684" s="11" t="str">
        <f>IF(OR(Table25[[#This Row],[%R]]&lt;-100,Table25[[#This Row],[%R]]&gt;0),"RANGE_ERR","")</f>
        <v>RANGE_ERR</v>
      </c>
    </row>
    <row r="685" spans="1:18" x14ac:dyDescent="0.35">
      <c r="A685" s="6">
        <v>683</v>
      </c>
      <c r="B685" s="3">
        <v>45904</v>
      </c>
      <c r="C685" s="2">
        <v>125</v>
      </c>
      <c r="D685" s="2">
        <v>128.83000000000001</v>
      </c>
      <c r="E685" s="2">
        <v>123.8</v>
      </c>
      <c r="F685" s="2">
        <v>128.47999999999999</v>
      </c>
      <c r="G685" s="1">
        <v>2715490</v>
      </c>
      <c r="H685" s="2">
        <f t="shared" si="24"/>
        <v>117.03</v>
      </c>
      <c r="I685" s="2">
        <f t="shared" si="25"/>
        <v>128.83000000000001</v>
      </c>
      <c r="J685" s="22">
        <f>100*(testdata4[[#This Row],[close]]-testdata4[[#This Row],[LL]])/(testdata4[[#This Row],[HH]]-testdata4[[#This Row],[LL]])</f>
        <v>97.033898305084563</v>
      </c>
      <c r="K685" s="22">
        <f>testdata4[[#This Row],[K(14)'']]</f>
        <v>97.033898305084563</v>
      </c>
      <c r="L685" s="22">
        <f>testdata4[[#This Row],[%K]]-100</f>
        <v>-2.9661016949154373</v>
      </c>
      <c r="N685" s="12">
        <v>683</v>
      </c>
      <c r="O685" s="13">
        <v>45904</v>
      </c>
      <c r="P685" s="23" t="s">
        <v>686</v>
      </c>
      <c r="Q685" s="22">
        <f>IF(testdata4[[#This Row],[%R]]&lt;&gt;Table25[[#This Row],[%R]],testdata4[[#This Row],[%R]]-Table25[[#This Row],[%R]],"")</f>
        <v>-7.1054273576010019E-15</v>
      </c>
      <c r="R685" s="11" t="str">
        <f>IF(OR(Table25[[#This Row],[%R]]&lt;-100,Table25[[#This Row],[%R]]&gt;0),"RANGE_ERR","")</f>
        <v>RANGE_ERR</v>
      </c>
    </row>
    <row r="686" spans="1:18" x14ac:dyDescent="0.35">
      <c r="A686" s="6">
        <v>684</v>
      </c>
      <c r="B686" s="3">
        <v>45905</v>
      </c>
      <c r="C686" s="2">
        <v>128.72</v>
      </c>
      <c r="D686" s="2">
        <v>131</v>
      </c>
      <c r="E686" s="2">
        <v>128.38999999999999</v>
      </c>
      <c r="F686" s="2">
        <v>128.75</v>
      </c>
      <c r="G686" s="1">
        <v>1633186</v>
      </c>
      <c r="H686" s="2">
        <f t="shared" si="24"/>
        <v>117.03</v>
      </c>
      <c r="I686" s="2">
        <f t="shared" si="25"/>
        <v>131</v>
      </c>
      <c r="J686" s="22">
        <f>100*(testdata4[[#This Row],[close]]-testdata4[[#This Row],[LL]])/(testdata4[[#This Row],[HH]]-testdata4[[#This Row],[LL]])</f>
        <v>83.894058697208308</v>
      </c>
      <c r="K686" s="22">
        <f>testdata4[[#This Row],[K(14)'']]</f>
        <v>83.894058697208308</v>
      </c>
      <c r="L686" s="22">
        <f>testdata4[[#This Row],[%K]]-100</f>
        <v>-16.105941302791692</v>
      </c>
      <c r="N686" s="12">
        <v>684</v>
      </c>
      <c r="O686" s="13">
        <v>45905</v>
      </c>
      <c r="P686" s="23" t="s">
        <v>687</v>
      </c>
      <c r="Q686" s="22">
        <f>IF(testdata4[[#This Row],[%R]]&lt;&gt;Table25[[#This Row],[%R]],testdata4[[#This Row],[%R]]-Table25[[#This Row],[%R]],"")</f>
        <v>-9.2370555648813024E-14</v>
      </c>
      <c r="R686" s="11" t="str">
        <f>IF(OR(Table25[[#This Row],[%R]]&lt;-100,Table25[[#This Row],[%R]]&gt;0),"RANGE_ERR","")</f>
        <v>RANGE_ERR</v>
      </c>
    </row>
    <row r="687" spans="1:18" x14ac:dyDescent="0.35">
      <c r="A687" s="6">
        <v>685</v>
      </c>
      <c r="B687" s="3">
        <v>45908</v>
      </c>
      <c r="C687" s="2">
        <v>127.47499999999999</v>
      </c>
      <c r="D687" s="2">
        <v>128.41999999999999</v>
      </c>
      <c r="E687" s="2">
        <v>126.28</v>
      </c>
      <c r="F687" s="2">
        <v>128.13</v>
      </c>
      <c r="G687" s="1">
        <v>2136444</v>
      </c>
      <c r="H687" s="2">
        <f t="shared" si="24"/>
        <v>117.03</v>
      </c>
      <c r="I687" s="2">
        <f t="shared" si="25"/>
        <v>131</v>
      </c>
      <c r="J687" s="22">
        <f>100*(testdata4[[#This Row],[close]]-testdata4[[#This Row],[LL]])/(testdata4[[#This Row],[HH]]-testdata4[[#This Row],[LL]])</f>
        <v>79.455977093772347</v>
      </c>
      <c r="K687" s="22">
        <f>testdata4[[#This Row],[K(14)'']]</f>
        <v>79.455977093772347</v>
      </c>
      <c r="L687" s="22">
        <f>testdata4[[#This Row],[%K]]-100</f>
        <v>-20.544022906227653</v>
      </c>
      <c r="N687" s="12">
        <v>685</v>
      </c>
      <c r="O687" s="13">
        <v>45908</v>
      </c>
      <c r="P687" s="23" t="s">
        <v>688</v>
      </c>
      <c r="Q687" s="22">
        <f>IF(testdata4[[#This Row],[%R]]&lt;&gt;Table25[[#This Row],[%R]],testdata4[[#This Row],[%R]]-Table25[[#This Row],[%R]],"")</f>
        <v>-5.3290705182007514E-14</v>
      </c>
      <c r="R687" s="11" t="str">
        <f>IF(OR(Table25[[#This Row],[%R]]&lt;-100,Table25[[#This Row],[%R]]&gt;0),"RANGE_ERR","")</f>
        <v>RANGE_ERR</v>
      </c>
    </row>
    <row r="688" spans="1:18" x14ac:dyDescent="0.35">
      <c r="A688" s="6">
        <v>686</v>
      </c>
      <c r="B688" s="3">
        <v>45909</v>
      </c>
      <c r="C688" s="2">
        <v>128.1</v>
      </c>
      <c r="D688" s="2">
        <v>128.26499999999999</v>
      </c>
      <c r="E688" s="2">
        <v>125.85</v>
      </c>
      <c r="F688" s="2">
        <v>126.25</v>
      </c>
      <c r="G688" s="1">
        <v>1470310</v>
      </c>
      <c r="H688" s="2">
        <f t="shared" si="24"/>
        <v>117.03</v>
      </c>
      <c r="I688" s="2">
        <f t="shared" si="25"/>
        <v>131</v>
      </c>
      <c r="J688" s="22">
        <f>100*(testdata4[[#This Row],[close]]-testdata4[[#This Row],[LL]])/(testdata4[[#This Row],[HH]]-testdata4[[#This Row],[LL]])</f>
        <v>65.998568360773078</v>
      </c>
      <c r="K688" s="22">
        <f>testdata4[[#This Row],[K(14)'']]</f>
        <v>65.998568360773078</v>
      </c>
      <c r="L688" s="22">
        <f>testdata4[[#This Row],[%K]]-100</f>
        <v>-34.001431639226922</v>
      </c>
      <c r="N688" s="12">
        <v>686</v>
      </c>
      <c r="O688" s="13">
        <v>45909</v>
      </c>
      <c r="P688" s="23" t="s">
        <v>689</v>
      </c>
      <c r="Q688" s="22">
        <f>IF(testdata4[[#This Row],[%R]]&lt;&gt;Table25[[#This Row],[%R]],testdata4[[#This Row],[%R]]-Table25[[#This Row],[%R]],"")</f>
        <v>-2.1316282072803006E-14</v>
      </c>
      <c r="R688" s="11" t="str">
        <f>IF(OR(Table25[[#This Row],[%R]]&lt;-100,Table25[[#This Row],[%R]]&gt;0),"RANGE_ERR","")</f>
        <v>RANGE_ERR</v>
      </c>
    </row>
    <row r="689" spans="1:18" x14ac:dyDescent="0.35">
      <c r="A689" s="6">
        <v>687</v>
      </c>
      <c r="B689" s="3">
        <v>45910</v>
      </c>
      <c r="C689" s="2">
        <v>125.92</v>
      </c>
      <c r="D689" s="2">
        <v>126.72</v>
      </c>
      <c r="E689" s="2">
        <v>124.01</v>
      </c>
      <c r="F689" s="2">
        <v>124.12</v>
      </c>
      <c r="G689" s="1">
        <v>1669516</v>
      </c>
      <c r="H689" s="2">
        <f t="shared" si="24"/>
        <v>117.03</v>
      </c>
      <c r="I689" s="2">
        <f t="shared" si="25"/>
        <v>131</v>
      </c>
      <c r="J689" s="22">
        <f>100*(testdata4[[#This Row],[close]]-testdata4[[#This Row],[LL]])/(testdata4[[#This Row],[HH]]-testdata4[[#This Row],[LL]])</f>
        <v>50.751610594130305</v>
      </c>
      <c r="K689" s="22">
        <f>testdata4[[#This Row],[K(14)'']]</f>
        <v>50.751610594130305</v>
      </c>
      <c r="L689" s="22">
        <f>testdata4[[#This Row],[%K]]-100</f>
        <v>-49.248389405869695</v>
      </c>
      <c r="N689" s="12">
        <v>687</v>
      </c>
      <c r="O689" s="13">
        <v>45910</v>
      </c>
      <c r="P689" s="23" t="s">
        <v>690</v>
      </c>
      <c r="Q689" s="22">
        <f>IF(testdata4[[#This Row],[%R]]&lt;&gt;Table25[[#This Row],[%R]],testdata4[[#This Row],[%R]]-Table25[[#This Row],[%R]],"")</f>
        <v>-9.2370555648813024E-14</v>
      </c>
      <c r="R689" s="11" t="str">
        <f>IF(OR(Table25[[#This Row],[%R]]&lt;-100,Table25[[#This Row],[%R]]&gt;0),"RANGE_ERR","")</f>
        <v>RANGE_ERR</v>
      </c>
    </row>
    <row r="690" spans="1:18" x14ac:dyDescent="0.35">
      <c r="A690" s="6">
        <v>688</v>
      </c>
      <c r="B690" s="3">
        <v>45911</v>
      </c>
      <c r="C690" s="2">
        <v>125.51</v>
      </c>
      <c r="D690" s="2">
        <v>127.045</v>
      </c>
      <c r="E690" s="2">
        <v>124.87</v>
      </c>
      <c r="F690" s="2">
        <v>126.73</v>
      </c>
      <c r="G690" s="1">
        <v>1473502</v>
      </c>
      <c r="H690" s="2">
        <f t="shared" si="24"/>
        <v>117.465</v>
      </c>
      <c r="I690" s="2">
        <f t="shared" si="25"/>
        <v>131</v>
      </c>
      <c r="J690" s="22">
        <f>100*(testdata4[[#This Row],[close]]-testdata4[[#This Row],[LL]])/(testdata4[[#This Row],[HH]]-testdata4[[#This Row],[LL]])</f>
        <v>68.452161063908406</v>
      </c>
      <c r="K690" s="22">
        <f>testdata4[[#This Row],[K(14)'']]</f>
        <v>68.452161063908406</v>
      </c>
      <c r="L690" s="22">
        <f>testdata4[[#This Row],[%K]]-100</f>
        <v>-31.547838936091594</v>
      </c>
      <c r="N690" s="12">
        <v>688</v>
      </c>
      <c r="O690" s="13">
        <v>45911</v>
      </c>
      <c r="P690" s="23" t="s">
        <v>691</v>
      </c>
      <c r="Q690" s="22">
        <f>IF(testdata4[[#This Row],[%R]]&lt;&gt;Table25[[#This Row],[%R]],testdata4[[#This Row],[%R]]-Table25[[#This Row],[%R]],"")</f>
        <v>-9.2370555648813024E-14</v>
      </c>
      <c r="R690" s="11" t="str">
        <f>IF(OR(Table25[[#This Row],[%R]]&lt;-100,Table25[[#This Row],[%R]]&gt;0),"RANGE_ERR","")</f>
        <v>RANGE_ERR</v>
      </c>
    </row>
    <row r="691" spans="1:18" x14ac:dyDescent="0.35">
      <c r="A691" s="6">
        <v>689</v>
      </c>
      <c r="B691" s="3">
        <v>45912</v>
      </c>
      <c r="C691" s="2">
        <v>126.45</v>
      </c>
      <c r="D691" s="2">
        <v>126.52500000000001</v>
      </c>
      <c r="E691" s="2">
        <v>123.13</v>
      </c>
      <c r="F691" s="2">
        <v>123.24</v>
      </c>
      <c r="G691" s="1">
        <v>1250891</v>
      </c>
      <c r="H691" s="2">
        <f t="shared" si="24"/>
        <v>117.51</v>
      </c>
      <c r="I691" s="2">
        <f t="shared" si="25"/>
        <v>131</v>
      </c>
      <c r="J691" s="22">
        <f>100*(testdata4[[#This Row],[close]]-testdata4[[#This Row],[LL]])/(testdata4[[#This Row],[HH]]-testdata4[[#This Row],[LL]])</f>
        <v>42.475908080059241</v>
      </c>
      <c r="K691" s="22">
        <f>testdata4[[#This Row],[K(14)'']]</f>
        <v>42.475908080059241</v>
      </c>
      <c r="L691" s="22">
        <f>testdata4[[#This Row],[%K]]-100</f>
        <v>-57.524091919940759</v>
      </c>
      <c r="N691" s="12">
        <v>689</v>
      </c>
      <c r="O691" s="13">
        <v>45912</v>
      </c>
      <c r="P691" s="23" t="s">
        <v>692</v>
      </c>
      <c r="Q691" s="22">
        <f>IF(testdata4[[#This Row],[%R]]&lt;&gt;Table25[[#This Row],[%R]],testdata4[[#This Row],[%R]]-Table25[[#This Row],[%R]],"")</f>
        <v>-5.6843418860808015E-14</v>
      </c>
      <c r="R691" s="11" t="str">
        <f>IF(OR(Table25[[#This Row],[%R]]&lt;-100,Table25[[#This Row],[%R]]&gt;0),"RANGE_ERR","")</f>
        <v>RANGE_ERR</v>
      </c>
    </row>
    <row r="692" spans="1:18" x14ac:dyDescent="0.35">
      <c r="A692" s="6">
        <v>690</v>
      </c>
      <c r="B692" s="3">
        <v>45915</v>
      </c>
      <c r="C692" s="2">
        <v>123.99</v>
      </c>
      <c r="D692" s="2">
        <v>126.41</v>
      </c>
      <c r="E692" s="2">
        <v>123.7</v>
      </c>
      <c r="F692" s="2">
        <v>125.63</v>
      </c>
      <c r="G692" s="1">
        <v>2084922</v>
      </c>
      <c r="H692" s="2">
        <f t="shared" si="24"/>
        <v>117.51</v>
      </c>
      <c r="I692" s="2">
        <f t="shared" si="25"/>
        <v>131</v>
      </c>
      <c r="J692" s="22">
        <f>100*(testdata4[[#This Row],[close]]-testdata4[[#This Row],[LL]])/(testdata4[[#This Row],[HH]]-testdata4[[#This Row],[LL]])</f>
        <v>60.192735359525528</v>
      </c>
      <c r="K692" s="22">
        <f>testdata4[[#This Row],[K(14)'']]</f>
        <v>60.192735359525528</v>
      </c>
      <c r="L692" s="22">
        <f>testdata4[[#This Row],[%K]]-100</f>
        <v>-39.807264640474472</v>
      </c>
      <c r="N692" s="12">
        <v>690</v>
      </c>
      <c r="O692" s="13">
        <v>45915</v>
      </c>
      <c r="P692" s="23" t="s">
        <v>693</v>
      </c>
      <c r="Q692" s="22">
        <f>IF(testdata4[[#This Row],[%R]]&lt;&gt;Table25[[#This Row],[%R]],testdata4[[#This Row],[%R]]-Table25[[#This Row],[%R]],"")</f>
        <v>-7.1054273576010019E-14</v>
      </c>
      <c r="R692" s="11" t="str">
        <f>IF(OR(Table25[[#This Row],[%R]]&lt;-100,Table25[[#This Row],[%R]]&gt;0),"RANGE_ERR","")</f>
        <v>RANGE_ERR</v>
      </c>
    </row>
    <row r="693" spans="1:18" x14ac:dyDescent="0.35">
      <c r="A693" s="6">
        <v>691</v>
      </c>
      <c r="B693" s="3">
        <v>45916</v>
      </c>
      <c r="C693" s="2">
        <v>125.63</v>
      </c>
      <c r="D693" s="2">
        <v>127.5814</v>
      </c>
      <c r="E693" s="2">
        <v>125.02</v>
      </c>
      <c r="F693" s="2">
        <v>127.19</v>
      </c>
      <c r="G693" s="1">
        <v>1721123</v>
      </c>
      <c r="H693" s="2">
        <f t="shared" si="24"/>
        <v>117.51</v>
      </c>
      <c r="I693" s="2">
        <f t="shared" si="25"/>
        <v>131</v>
      </c>
      <c r="J693" s="22">
        <f>100*(testdata4[[#This Row],[close]]-testdata4[[#This Row],[LL]])/(testdata4[[#This Row],[HH]]-testdata4[[#This Row],[LL]])</f>
        <v>71.756856931060028</v>
      </c>
      <c r="K693" s="22">
        <f>testdata4[[#This Row],[K(14)'']]</f>
        <v>71.756856931060028</v>
      </c>
      <c r="L693" s="22">
        <f>testdata4[[#This Row],[%K]]-100</f>
        <v>-28.243143068939972</v>
      </c>
      <c r="N693" s="12">
        <v>691</v>
      </c>
      <c r="O693" s="13">
        <v>45916</v>
      </c>
      <c r="P693" s="23" t="s">
        <v>694</v>
      </c>
      <c r="Q693" s="22">
        <f>IF(testdata4[[#This Row],[%R]]&lt;&gt;Table25[[#This Row],[%R]],testdata4[[#This Row],[%R]]-Table25[[#This Row],[%R]],"")</f>
        <v>-7.1054273576010019E-14</v>
      </c>
      <c r="R693" s="11" t="str">
        <f>IF(OR(Table25[[#This Row],[%R]]&lt;-100,Table25[[#This Row],[%R]]&gt;0),"RANGE_ERR","")</f>
        <v>RANGE_ERR</v>
      </c>
    </row>
    <row r="694" spans="1:18" x14ac:dyDescent="0.35">
      <c r="A694" s="6">
        <v>692</v>
      </c>
      <c r="B694" s="3">
        <v>45917</v>
      </c>
      <c r="C694" s="2">
        <v>127.72</v>
      </c>
      <c r="D694" s="2">
        <v>130.08000000000001</v>
      </c>
      <c r="E694" s="2">
        <v>126.38</v>
      </c>
      <c r="F694" s="2">
        <v>126.72</v>
      </c>
      <c r="G694" s="1">
        <v>1921728</v>
      </c>
      <c r="H694" s="2">
        <f t="shared" si="24"/>
        <v>118.2</v>
      </c>
      <c r="I694" s="2">
        <f t="shared" si="25"/>
        <v>131</v>
      </c>
      <c r="J694" s="22">
        <f>100*(testdata4[[#This Row],[close]]-testdata4[[#This Row],[LL]])/(testdata4[[#This Row],[HH]]-testdata4[[#This Row],[LL]])</f>
        <v>66.562499999999986</v>
      </c>
      <c r="K694" s="22">
        <f>testdata4[[#This Row],[K(14)'']]</f>
        <v>66.562499999999986</v>
      </c>
      <c r="L694" s="22">
        <f>testdata4[[#This Row],[%K]]-100</f>
        <v>-33.437500000000014</v>
      </c>
      <c r="N694" s="12">
        <v>692</v>
      </c>
      <c r="O694" s="13">
        <v>45917</v>
      </c>
      <c r="P694" s="23" t="s">
        <v>695</v>
      </c>
      <c r="Q694" s="22">
        <f>IF(testdata4[[#This Row],[%R]]&lt;&gt;Table25[[#This Row],[%R]],testdata4[[#This Row],[%R]]-Table25[[#This Row],[%R]],"")</f>
        <v>-1.4210854715202004E-14</v>
      </c>
      <c r="R694" s="11" t="str">
        <f>IF(OR(Table25[[#This Row],[%R]]&lt;-100,Table25[[#This Row],[%R]]&gt;0),"RANGE_ERR","")</f>
        <v>RANGE_ERR</v>
      </c>
    </row>
    <row r="695" spans="1:18" x14ac:dyDescent="0.35">
      <c r="A695" s="6">
        <v>693</v>
      </c>
      <c r="B695" s="3">
        <v>45918</v>
      </c>
      <c r="C695" s="2">
        <v>127.76</v>
      </c>
      <c r="D695" s="2">
        <v>128.54</v>
      </c>
      <c r="E695" s="2">
        <v>126.76</v>
      </c>
      <c r="F695" s="2">
        <v>127.62</v>
      </c>
      <c r="G695" s="1">
        <v>1513336</v>
      </c>
      <c r="H695" s="2">
        <f t="shared" si="24"/>
        <v>121.8</v>
      </c>
      <c r="I695" s="2">
        <f t="shared" si="25"/>
        <v>131</v>
      </c>
      <c r="J695" s="22">
        <f>100*(testdata4[[#This Row],[close]]-testdata4[[#This Row],[LL]])/(testdata4[[#This Row],[HH]]-testdata4[[#This Row],[LL]])</f>
        <v>63.260869565217448</v>
      </c>
      <c r="K695" s="22">
        <f>testdata4[[#This Row],[K(14)'']]</f>
        <v>63.260869565217448</v>
      </c>
      <c r="L695" s="22">
        <f>testdata4[[#This Row],[%K]]-100</f>
        <v>-36.739130434782552</v>
      </c>
      <c r="N695" s="12">
        <v>693</v>
      </c>
      <c r="O695" s="13">
        <v>45918</v>
      </c>
      <c r="P695" s="23" t="s">
        <v>696</v>
      </c>
      <c r="Q695" s="22">
        <f>IF(testdata4[[#This Row],[%R]]&lt;&gt;Table25[[#This Row],[%R]],testdata4[[#This Row],[%R]]-Table25[[#This Row],[%R]],"")</f>
        <v>-4.9737991503207013E-14</v>
      </c>
      <c r="R695" s="11" t="str">
        <f>IF(OR(Table25[[#This Row],[%R]]&lt;-100,Table25[[#This Row],[%R]]&gt;0),"RANGE_ERR","")</f>
        <v>RANGE_ERR</v>
      </c>
    </row>
    <row r="696" spans="1:18" x14ac:dyDescent="0.35">
      <c r="A696" s="6">
        <v>694</v>
      </c>
      <c r="B696" s="3">
        <v>45919</v>
      </c>
      <c r="C696" s="2">
        <v>128.28</v>
      </c>
      <c r="D696" s="2">
        <v>128.55000000000001</v>
      </c>
      <c r="E696" s="2">
        <v>126.015</v>
      </c>
      <c r="F696" s="2">
        <v>126.32</v>
      </c>
      <c r="G696" s="1">
        <v>2844313</v>
      </c>
      <c r="H696" s="2">
        <f t="shared" si="24"/>
        <v>121.8</v>
      </c>
      <c r="I696" s="2">
        <f t="shared" si="25"/>
        <v>131</v>
      </c>
      <c r="J696" s="22">
        <f>100*(testdata4[[#This Row],[close]]-testdata4[[#This Row],[LL]])/(testdata4[[#This Row],[HH]]-testdata4[[#This Row],[LL]])</f>
        <v>49.130434782608638</v>
      </c>
      <c r="K696" s="22">
        <f>testdata4[[#This Row],[K(14)'']]</f>
        <v>49.130434782608638</v>
      </c>
      <c r="L696" s="22">
        <f>testdata4[[#This Row],[%K]]-100</f>
        <v>-50.869565217391362</v>
      </c>
      <c r="N696" s="12">
        <v>694</v>
      </c>
      <c r="O696" s="13">
        <v>45919</v>
      </c>
      <c r="P696" s="23" t="s">
        <v>697</v>
      </c>
      <c r="Q696" s="22">
        <f>IF(testdata4[[#This Row],[%R]]&lt;&gt;Table25[[#This Row],[%R]],testdata4[[#This Row],[%R]]-Table25[[#This Row],[%R]],"")</f>
        <v>-6.3948846218409017E-14</v>
      </c>
      <c r="R696" s="11" t="str">
        <f>IF(OR(Table25[[#This Row],[%R]]&lt;-100,Table25[[#This Row],[%R]]&gt;0),"RANGE_ERR","")</f>
        <v>RANGE_ERR</v>
      </c>
    </row>
    <row r="697" spans="1:18" x14ac:dyDescent="0.35">
      <c r="A697" s="6">
        <v>695</v>
      </c>
      <c r="B697" s="3">
        <v>45922</v>
      </c>
      <c r="C697" s="2">
        <v>125.5</v>
      </c>
      <c r="D697" s="2">
        <v>126.62</v>
      </c>
      <c r="E697" s="2">
        <v>125.17</v>
      </c>
      <c r="F697" s="2">
        <v>126.33</v>
      </c>
      <c r="G697" s="1">
        <v>976668</v>
      </c>
      <c r="H697" s="2">
        <f t="shared" si="24"/>
        <v>123.13</v>
      </c>
      <c r="I697" s="2">
        <f t="shared" si="25"/>
        <v>131</v>
      </c>
      <c r="J697" s="22">
        <f>100*(testdata4[[#This Row],[close]]-testdata4[[#This Row],[LL]])/(testdata4[[#This Row],[HH]]-testdata4[[#This Row],[LL]])</f>
        <v>40.660736975857702</v>
      </c>
      <c r="K697" s="22">
        <f>testdata4[[#This Row],[K(14)'']]</f>
        <v>40.660736975857702</v>
      </c>
      <c r="L697" s="22">
        <f>testdata4[[#This Row],[%K]]-100</f>
        <v>-59.339263024142298</v>
      </c>
      <c r="N697" s="12">
        <v>695</v>
      </c>
      <c r="O697" s="13">
        <v>45922</v>
      </c>
      <c r="P697" s="23" t="s">
        <v>698</v>
      </c>
      <c r="Q697" s="22">
        <f>IF(testdata4[[#This Row],[%R]]&lt;&gt;Table25[[#This Row],[%R]],testdata4[[#This Row],[%R]]-Table25[[#This Row],[%R]],"")</f>
        <v>-9.9475983006414026E-14</v>
      </c>
      <c r="R697" s="11" t="str">
        <f>IF(OR(Table25[[#This Row],[%R]]&lt;-100,Table25[[#This Row],[%R]]&gt;0),"RANGE_ERR","")</f>
        <v>RANGE_ERR</v>
      </c>
    </row>
    <row r="698" spans="1:18" x14ac:dyDescent="0.35">
      <c r="A698" s="6">
        <v>696</v>
      </c>
      <c r="B698" s="3">
        <v>45923</v>
      </c>
      <c r="C698" s="2">
        <v>126.17</v>
      </c>
      <c r="D698" s="2">
        <v>126.985</v>
      </c>
      <c r="E698" s="2">
        <v>125.89749999999999</v>
      </c>
      <c r="F698" s="2">
        <v>125.94</v>
      </c>
      <c r="G698" s="1">
        <v>1281537</v>
      </c>
      <c r="H698" s="2">
        <f t="shared" si="24"/>
        <v>123.13</v>
      </c>
      <c r="I698" s="2">
        <f t="shared" si="25"/>
        <v>131</v>
      </c>
      <c r="J698" s="22">
        <f>100*(testdata4[[#This Row],[close]]-testdata4[[#This Row],[LL]])/(testdata4[[#This Row],[HH]]-testdata4[[#This Row],[LL]])</f>
        <v>35.705209656925042</v>
      </c>
      <c r="K698" s="22">
        <f>testdata4[[#This Row],[K(14)'']]</f>
        <v>35.705209656925042</v>
      </c>
      <c r="L698" s="22">
        <f>testdata4[[#This Row],[%K]]-100</f>
        <v>-64.294790343074965</v>
      </c>
      <c r="N698" s="12">
        <v>696</v>
      </c>
      <c r="O698" s="13">
        <v>45923</v>
      </c>
      <c r="P698" s="23" t="s">
        <v>699</v>
      </c>
      <c r="Q698" s="22">
        <f>IF(testdata4[[#This Row],[%R]]&lt;&gt;Table25[[#This Row],[%R]],testdata4[[#This Row],[%R]]-Table25[[#This Row],[%R]],"")</f>
        <v>-7.1054273576010019E-14</v>
      </c>
      <c r="R698" s="11" t="str">
        <f>IF(OR(Table25[[#This Row],[%R]]&lt;-100,Table25[[#This Row],[%R]]&gt;0),"RANGE_ERR","")</f>
        <v>RANGE_ERR</v>
      </c>
    </row>
    <row r="699" spans="1:18" x14ac:dyDescent="0.35">
      <c r="A699" s="6">
        <v>697</v>
      </c>
      <c r="B699" s="3">
        <v>45924</v>
      </c>
      <c r="C699" s="2">
        <v>125.17</v>
      </c>
      <c r="D699" s="2">
        <v>125.96</v>
      </c>
      <c r="E699" s="2">
        <v>124.075</v>
      </c>
      <c r="F699" s="2">
        <v>124.38</v>
      </c>
      <c r="G699" s="1">
        <v>1239935</v>
      </c>
      <c r="H699" s="2">
        <f t="shared" si="24"/>
        <v>123.13</v>
      </c>
      <c r="I699" s="2">
        <f t="shared" si="25"/>
        <v>131</v>
      </c>
      <c r="J699" s="22">
        <f>100*(testdata4[[#This Row],[close]]-testdata4[[#This Row],[LL]])/(testdata4[[#This Row],[HH]]-testdata4[[#This Row],[LL]])</f>
        <v>15.883100381194399</v>
      </c>
      <c r="K699" s="22">
        <f>testdata4[[#This Row],[K(14)'']]</f>
        <v>15.883100381194399</v>
      </c>
      <c r="L699" s="22">
        <f>testdata4[[#This Row],[%K]]-100</f>
        <v>-84.116899618805604</v>
      </c>
      <c r="N699" s="12">
        <v>697</v>
      </c>
      <c r="O699" s="13">
        <v>45924</v>
      </c>
      <c r="P699" s="23" t="s">
        <v>700</v>
      </c>
      <c r="Q699" s="22">
        <f>IF(testdata4[[#This Row],[%R]]&lt;&gt;Table25[[#This Row],[%R]],testdata4[[#This Row],[%R]]-Table25[[#This Row],[%R]],"")</f>
        <v>0</v>
      </c>
      <c r="R699" s="11" t="str">
        <f>IF(OR(Table25[[#This Row],[%R]]&lt;-100,Table25[[#This Row],[%R]]&gt;0),"RANGE_ERR","")</f>
        <v>RANGE_ERR</v>
      </c>
    </row>
    <row r="700" spans="1:18" x14ac:dyDescent="0.35">
      <c r="A700" s="6">
        <v>698</v>
      </c>
      <c r="B700" s="3">
        <v>45925</v>
      </c>
      <c r="C700" s="2">
        <v>123.66</v>
      </c>
      <c r="D700" s="2">
        <v>123.66</v>
      </c>
      <c r="E700" s="2">
        <v>120.78</v>
      </c>
      <c r="F700" s="2">
        <v>121.89</v>
      </c>
      <c r="G700" s="1">
        <v>1411798</v>
      </c>
      <c r="H700" s="2">
        <f t="shared" si="24"/>
        <v>120.78</v>
      </c>
      <c r="I700" s="2">
        <f t="shared" si="25"/>
        <v>130.08000000000001</v>
      </c>
      <c r="J700" s="22">
        <f>100*(testdata4[[#This Row],[close]]-testdata4[[#This Row],[LL]])/(testdata4[[#This Row],[HH]]-testdata4[[#This Row],[LL]])</f>
        <v>11.935483870967721</v>
      </c>
      <c r="K700" s="22">
        <f>testdata4[[#This Row],[K(14)'']]</f>
        <v>11.935483870967721</v>
      </c>
      <c r="L700" s="22">
        <f>testdata4[[#This Row],[%K]]-100</f>
        <v>-88.064516129032285</v>
      </c>
      <c r="N700" s="12">
        <v>698</v>
      </c>
      <c r="O700" s="13">
        <v>45925</v>
      </c>
      <c r="P700" s="23" t="s">
        <v>701</v>
      </c>
      <c r="Q700" s="22">
        <f>IF(testdata4[[#This Row],[%R]]&lt;&gt;Table25[[#This Row],[%R]],testdata4[[#This Row],[%R]]-Table25[[#This Row],[%R]],"")</f>
        <v>-8.5265128291212022E-14</v>
      </c>
      <c r="R700" s="11" t="str">
        <f>IF(OR(Table25[[#This Row],[%R]]&lt;-100,Table25[[#This Row],[%R]]&gt;0),"RANGE_ERR","")</f>
        <v>RANGE_ERR</v>
      </c>
    </row>
    <row r="701" spans="1:18" x14ac:dyDescent="0.35">
      <c r="A701" s="6">
        <v>699</v>
      </c>
      <c r="B701" s="3">
        <v>45926</v>
      </c>
      <c r="C701" s="2">
        <v>122.05</v>
      </c>
      <c r="D701" s="2">
        <v>124.05</v>
      </c>
      <c r="E701" s="2">
        <v>121.55</v>
      </c>
      <c r="F701" s="2">
        <v>123.39</v>
      </c>
      <c r="G701" s="1">
        <v>1167127</v>
      </c>
      <c r="H701" s="2">
        <f t="shared" si="24"/>
        <v>120.78</v>
      </c>
      <c r="I701" s="2">
        <f t="shared" si="25"/>
        <v>130.08000000000001</v>
      </c>
      <c r="J701" s="22">
        <f>100*(testdata4[[#This Row],[close]]-testdata4[[#This Row],[LL]])/(testdata4[[#This Row],[HH]]-testdata4[[#This Row],[LL]])</f>
        <v>28.064516129032217</v>
      </c>
      <c r="K701" s="22">
        <f>testdata4[[#This Row],[K(14)'']]</f>
        <v>28.064516129032217</v>
      </c>
      <c r="L701" s="22">
        <f>testdata4[[#This Row],[%K]]-100</f>
        <v>-71.935483870967786</v>
      </c>
      <c r="N701" s="12">
        <v>699</v>
      </c>
      <c r="O701" s="13">
        <v>45926</v>
      </c>
      <c r="P701" s="23" t="s">
        <v>702</v>
      </c>
      <c r="Q701" s="22">
        <f>IF(testdata4[[#This Row],[%R]]&lt;&gt;Table25[[#This Row],[%R]],testdata4[[#This Row],[%R]]-Table25[[#This Row],[%R]],"")</f>
        <v>-8.5265128291212022E-14</v>
      </c>
      <c r="R701" s="11" t="str">
        <f>IF(OR(Table25[[#This Row],[%R]]&lt;-100,Table25[[#This Row],[%R]]&gt;0),"RANGE_ERR","")</f>
        <v>RANGE_ERR</v>
      </c>
    </row>
    <row r="702" spans="1:18" x14ac:dyDescent="0.35">
      <c r="A702" s="6">
        <v>700</v>
      </c>
      <c r="B702" s="3">
        <v>45929</v>
      </c>
      <c r="C702" s="2">
        <v>123.76</v>
      </c>
      <c r="D702" s="2">
        <v>124.23</v>
      </c>
      <c r="E702" s="2">
        <v>122.57250000000001</v>
      </c>
      <c r="F702" s="2">
        <v>123.75</v>
      </c>
      <c r="G702" s="1">
        <v>1486050</v>
      </c>
      <c r="H702" s="2">
        <f t="shared" ref="H702:H750" si="26">MIN(E689:E702)</f>
        <v>120.78</v>
      </c>
      <c r="I702" s="2">
        <f t="shared" ref="I702:I750" si="27">MAX(D689:D702)</f>
        <v>130.08000000000001</v>
      </c>
      <c r="J702" s="22">
        <f>100*(testdata4[[#This Row],[close]]-testdata4[[#This Row],[LL]])/(testdata4[[#This Row],[HH]]-testdata4[[#This Row],[LL]])</f>
        <v>31.93548387096769</v>
      </c>
      <c r="K702" s="22">
        <f>testdata4[[#This Row],[K(14)'']]</f>
        <v>31.93548387096769</v>
      </c>
      <c r="L702" s="22">
        <f>testdata4[[#This Row],[%K]]-100</f>
        <v>-68.064516129032313</v>
      </c>
      <c r="N702" s="12">
        <v>700</v>
      </c>
      <c r="O702" s="13">
        <v>45929</v>
      </c>
      <c r="P702" s="23" t="s">
        <v>703</v>
      </c>
      <c r="Q702" s="22">
        <f>IF(testdata4[[#This Row],[%R]]&lt;&gt;Table25[[#This Row],[%R]],testdata4[[#This Row],[%R]]-Table25[[#This Row],[%R]],"")</f>
        <v>-1.4210854715202004E-14</v>
      </c>
      <c r="R702" s="11" t="str">
        <f>IF(OR(Table25[[#This Row],[%R]]&lt;-100,Table25[[#This Row],[%R]]&gt;0),"RANGE_ERR","")</f>
        <v>RANGE_ERR</v>
      </c>
    </row>
    <row r="703" spans="1:18" x14ac:dyDescent="0.35">
      <c r="A703" s="6">
        <v>701</v>
      </c>
      <c r="B703" s="3">
        <v>45930</v>
      </c>
      <c r="C703" s="2">
        <v>123.42</v>
      </c>
      <c r="D703" s="2">
        <v>128.38999999999999</v>
      </c>
      <c r="E703" s="2">
        <v>123.0138</v>
      </c>
      <c r="F703" s="2">
        <v>128.35</v>
      </c>
      <c r="G703" s="1">
        <v>2417880</v>
      </c>
      <c r="H703" s="2">
        <f t="shared" si="26"/>
        <v>120.78</v>
      </c>
      <c r="I703" s="2">
        <f t="shared" si="27"/>
        <v>130.08000000000001</v>
      </c>
      <c r="J703" s="22">
        <f>100*(testdata4[[#This Row],[close]]-testdata4[[#This Row],[LL]])/(testdata4[[#This Row],[HH]]-testdata4[[#This Row],[LL]])</f>
        <v>81.397849462365414</v>
      </c>
      <c r="K703" s="22">
        <f>testdata4[[#This Row],[K(14)'']]</f>
        <v>81.397849462365414</v>
      </c>
      <c r="L703" s="22">
        <f>testdata4[[#This Row],[%K]]-100</f>
        <v>-18.602150537634586</v>
      </c>
      <c r="N703" s="12">
        <v>701</v>
      </c>
      <c r="O703" s="13">
        <v>45930</v>
      </c>
      <c r="P703" s="23" t="s">
        <v>704</v>
      </c>
      <c r="Q703" s="22">
        <f>IF(testdata4[[#This Row],[%R]]&lt;&gt;Table25[[#This Row],[%R]],testdata4[[#This Row],[%R]]-Table25[[#This Row],[%R]],"")</f>
        <v>-8.5265128291212022E-14</v>
      </c>
      <c r="R703" s="11" t="str">
        <f>IF(OR(Table25[[#This Row],[%R]]&lt;-100,Table25[[#This Row],[%R]]&gt;0),"RANGE_ERR","")</f>
        <v>RANGE_ERR</v>
      </c>
    </row>
    <row r="704" spans="1:18" x14ac:dyDescent="0.35">
      <c r="A704" s="6">
        <v>702</v>
      </c>
      <c r="B704" s="3">
        <v>45931</v>
      </c>
      <c r="C704" s="2">
        <v>128.34</v>
      </c>
      <c r="D704" s="2">
        <v>138.97999999999999</v>
      </c>
      <c r="E704" s="2">
        <v>128.18510000000001</v>
      </c>
      <c r="F704" s="2">
        <v>138.58000000000001</v>
      </c>
      <c r="G704" s="1">
        <v>4333406</v>
      </c>
      <c r="H704" s="2">
        <f t="shared" si="26"/>
        <v>120.78</v>
      </c>
      <c r="I704" s="2">
        <f t="shared" si="27"/>
        <v>138.97999999999999</v>
      </c>
      <c r="J704" s="22">
        <f>100*(testdata4[[#This Row],[close]]-testdata4[[#This Row],[LL]])/(testdata4[[#This Row],[HH]]-testdata4[[#This Row],[LL]])</f>
        <v>97.802197802197924</v>
      </c>
      <c r="K704" s="22">
        <f>testdata4[[#This Row],[K(14)'']]</f>
        <v>97.802197802197924</v>
      </c>
      <c r="L704" s="22">
        <f>testdata4[[#This Row],[%K]]-100</f>
        <v>-2.1978021978020763</v>
      </c>
      <c r="N704" s="12">
        <v>702</v>
      </c>
      <c r="O704" s="13">
        <v>45931</v>
      </c>
      <c r="P704" s="23" t="s">
        <v>705</v>
      </c>
      <c r="Q704" s="22">
        <f>IF(testdata4[[#This Row],[%R]]&lt;&gt;Table25[[#This Row],[%R]],testdata4[[#This Row],[%R]]-Table25[[#This Row],[%R]],"")</f>
        <v>-6.2172489379008766E-15</v>
      </c>
      <c r="R704" s="11" t="str">
        <f>IF(OR(Table25[[#This Row],[%R]]&lt;-100,Table25[[#This Row],[%R]]&gt;0),"RANGE_ERR","")</f>
        <v>RANGE_ERR</v>
      </c>
    </row>
    <row r="705" spans="1:18" x14ac:dyDescent="0.35">
      <c r="A705" s="6">
        <v>703</v>
      </c>
      <c r="B705" s="3">
        <v>45932</v>
      </c>
      <c r="C705" s="2">
        <v>137.55000000000001</v>
      </c>
      <c r="D705" s="2">
        <v>140.63999999999999</v>
      </c>
      <c r="E705" s="2">
        <v>136.9</v>
      </c>
      <c r="F705" s="2">
        <v>138.69999999999999</v>
      </c>
      <c r="G705" s="1">
        <v>2228754</v>
      </c>
      <c r="H705" s="2">
        <f t="shared" si="26"/>
        <v>120.78</v>
      </c>
      <c r="I705" s="2">
        <f t="shared" si="27"/>
        <v>140.63999999999999</v>
      </c>
      <c r="J705" s="22">
        <f>100*(testdata4[[#This Row],[close]]-testdata4[[#This Row],[LL]])/(testdata4[[#This Row],[HH]]-testdata4[[#This Row],[LL]])</f>
        <v>90.231621349446115</v>
      </c>
      <c r="K705" s="22">
        <f>testdata4[[#This Row],[K(14)'']]</f>
        <v>90.231621349446115</v>
      </c>
      <c r="L705" s="22">
        <f>testdata4[[#This Row],[%K]]-100</f>
        <v>-9.7683786505538848</v>
      </c>
      <c r="N705" s="12">
        <v>703</v>
      </c>
      <c r="O705" s="13">
        <v>45932</v>
      </c>
      <c r="P705" s="23" t="s">
        <v>706</v>
      </c>
      <c r="Q705" s="22">
        <f>IF(testdata4[[#This Row],[%R]]&lt;&gt;Table25[[#This Row],[%R]],testdata4[[#This Row],[%R]]-Table25[[#This Row],[%R]],"")</f>
        <v>-5.3290705182007514E-15</v>
      </c>
      <c r="R705" s="11" t="str">
        <f>IF(OR(Table25[[#This Row],[%R]]&lt;-100,Table25[[#This Row],[%R]]&gt;0),"RANGE_ERR","")</f>
        <v>RANGE_ERR</v>
      </c>
    </row>
    <row r="706" spans="1:18" x14ac:dyDescent="0.35">
      <c r="A706" s="6">
        <v>704</v>
      </c>
      <c r="B706" s="3">
        <v>45933</v>
      </c>
      <c r="C706" s="2">
        <v>139</v>
      </c>
      <c r="D706" s="2">
        <v>143.09</v>
      </c>
      <c r="E706" s="2">
        <v>138.85499999999999</v>
      </c>
      <c r="F706" s="2">
        <v>141.63999999999999</v>
      </c>
      <c r="G706" s="1">
        <v>2345960</v>
      </c>
      <c r="H706" s="2">
        <f t="shared" si="26"/>
        <v>120.78</v>
      </c>
      <c r="I706" s="2">
        <f t="shared" si="27"/>
        <v>143.09</v>
      </c>
      <c r="J706" s="22">
        <f>100*(testdata4[[#This Row],[close]]-testdata4[[#This Row],[LL]])/(testdata4[[#This Row],[HH]]-testdata4[[#This Row],[LL]])</f>
        <v>93.500672344240186</v>
      </c>
      <c r="K706" s="22">
        <f>testdata4[[#This Row],[K(14)'']]</f>
        <v>93.500672344240186</v>
      </c>
      <c r="L706" s="22">
        <f>testdata4[[#This Row],[%K]]-100</f>
        <v>-6.4993276557598136</v>
      </c>
      <c r="N706" s="12">
        <v>704</v>
      </c>
      <c r="O706" s="13">
        <v>45933</v>
      </c>
      <c r="P706" s="23" t="s">
        <v>707</v>
      </c>
      <c r="Q706" s="22">
        <f>IF(testdata4[[#This Row],[%R]]&lt;&gt;Table25[[#This Row],[%R]],testdata4[[#This Row],[%R]]-Table25[[#This Row],[%R]],"")</f>
        <v>-3.5527136788005009E-15</v>
      </c>
      <c r="R706" s="11" t="str">
        <f>IF(OR(Table25[[#This Row],[%R]]&lt;-100,Table25[[#This Row],[%R]]&gt;0),"RANGE_ERR","")</f>
        <v>RANGE_ERR</v>
      </c>
    </row>
    <row r="707" spans="1:18" x14ac:dyDescent="0.35">
      <c r="A707" s="6">
        <v>705</v>
      </c>
      <c r="B707" s="3">
        <v>45936</v>
      </c>
      <c r="C707" s="2">
        <v>141.51</v>
      </c>
      <c r="D707" s="2">
        <v>141.935</v>
      </c>
      <c r="E707" s="2">
        <v>139.9</v>
      </c>
      <c r="F707" s="2">
        <v>141.61000000000001</v>
      </c>
      <c r="G707" s="1">
        <v>1538402</v>
      </c>
      <c r="H707" s="2">
        <f t="shared" si="26"/>
        <v>120.78</v>
      </c>
      <c r="I707" s="2">
        <f t="shared" si="27"/>
        <v>143.09</v>
      </c>
      <c r="J707" s="22">
        <f>100*(testdata4[[#This Row],[close]]-testdata4[[#This Row],[LL]])/(testdata4[[#This Row],[HH]]-testdata4[[#This Row],[LL]])</f>
        <v>93.366203496190096</v>
      </c>
      <c r="K707" s="22">
        <f>testdata4[[#This Row],[K(14)'']]</f>
        <v>93.366203496190096</v>
      </c>
      <c r="L707" s="22">
        <f>testdata4[[#This Row],[%K]]-100</f>
        <v>-6.6337965038099043</v>
      </c>
      <c r="N707" s="12">
        <v>705</v>
      </c>
      <c r="O707" s="13">
        <v>45936</v>
      </c>
      <c r="P707" s="23" t="s">
        <v>708</v>
      </c>
      <c r="Q707" s="22">
        <f>IF(testdata4[[#This Row],[%R]]&lt;&gt;Table25[[#This Row],[%R]],testdata4[[#This Row],[%R]]-Table25[[#This Row],[%R]],"")</f>
        <v>-4.4408920985006262E-15</v>
      </c>
      <c r="R707" s="11" t="str">
        <f>IF(OR(Table25[[#This Row],[%R]]&lt;-100,Table25[[#This Row],[%R]]&gt;0),"RANGE_ERR","")</f>
        <v>RANGE_ERR</v>
      </c>
    </row>
    <row r="708" spans="1:18" x14ac:dyDescent="0.35">
      <c r="A708" s="6">
        <v>706</v>
      </c>
      <c r="B708" s="3">
        <v>45937</v>
      </c>
      <c r="C708" s="2">
        <v>141.86000000000001</v>
      </c>
      <c r="D708" s="2">
        <v>142.27000000000001</v>
      </c>
      <c r="E708" s="2">
        <v>138.44</v>
      </c>
      <c r="F708" s="2">
        <v>138.56</v>
      </c>
      <c r="G708" s="1">
        <v>1444593</v>
      </c>
      <c r="H708" s="2">
        <f t="shared" si="26"/>
        <v>120.78</v>
      </c>
      <c r="I708" s="2">
        <f t="shared" si="27"/>
        <v>143.09</v>
      </c>
      <c r="J708" s="22">
        <f>100*(testdata4[[#This Row],[close]]-testdata4[[#This Row],[LL]])/(testdata4[[#This Row],[HH]]-testdata4[[#This Row],[LL]])</f>
        <v>79.695203944419532</v>
      </c>
      <c r="K708" s="22">
        <f>testdata4[[#This Row],[K(14)'']]</f>
        <v>79.695203944419532</v>
      </c>
      <c r="L708" s="22">
        <f>testdata4[[#This Row],[%K]]-100</f>
        <v>-20.304796055580468</v>
      </c>
      <c r="N708" s="12">
        <v>706</v>
      </c>
      <c r="O708" s="13">
        <v>45937</v>
      </c>
      <c r="P708" s="23" t="s">
        <v>709</v>
      </c>
      <c r="Q708" s="22">
        <f>IF(testdata4[[#This Row],[%R]]&lt;&gt;Table25[[#This Row],[%R]],testdata4[[#This Row],[%R]]-Table25[[#This Row],[%R]],"")</f>
        <v>-6.7501559897209518E-14</v>
      </c>
      <c r="R708" s="11" t="str">
        <f>IF(OR(Table25[[#This Row],[%R]]&lt;-100,Table25[[#This Row],[%R]]&gt;0),"RANGE_ERR","")</f>
        <v>RANGE_ERR</v>
      </c>
    </row>
    <row r="709" spans="1:18" x14ac:dyDescent="0.35">
      <c r="A709" s="6">
        <v>707</v>
      </c>
      <c r="B709" s="3">
        <v>45938</v>
      </c>
      <c r="C709" s="2">
        <v>140.36000000000001</v>
      </c>
      <c r="D709" s="2">
        <v>142.44</v>
      </c>
      <c r="E709" s="2">
        <v>138.97</v>
      </c>
      <c r="F709" s="2">
        <v>140.81</v>
      </c>
      <c r="G709" s="1">
        <v>1698819</v>
      </c>
      <c r="H709" s="2">
        <f t="shared" si="26"/>
        <v>120.78</v>
      </c>
      <c r="I709" s="2">
        <f t="shared" si="27"/>
        <v>143.09</v>
      </c>
      <c r="J709" s="22">
        <f>100*(testdata4[[#This Row],[close]]-testdata4[[#This Row],[LL]])/(testdata4[[#This Row],[HH]]-testdata4[[#This Row],[LL]])</f>
        <v>89.780367548184657</v>
      </c>
      <c r="K709" s="22">
        <f>testdata4[[#This Row],[K(14)'']]</f>
        <v>89.780367548184657</v>
      </c>
      <c r="L709" s="22">
        <f>testdata4[[#This Row],[%K]]-100</f>
        <v>-10.219632451815343</v>
      </c>
      <c r="N709" s="12">
        <v>707</v>
      </c>
      <c r="O709" s="13">
        <v>45938</v>
      </c>
      <c r="P709" s="23" t="s">
        <v>710</v>
      </c>
      <c r="Q709" s="22">
        <f>IF(testdata4[[#This Row],[%R]]&lt;&gt;Table25[[#This Row],[%R]],testdata4[[#This Row],[%R]]-Table25[[#This Row],[%R]],"")</f>
        <v>-4.2632564145606011E-14</v>
      </c>
      <c r="R709" s="11" t="str">
        <f>IF(OR(Table25[[#This Row],[%R]]&lt;-100,Table25[[#This Row],[%R]]&gt;0),"RANGE_ERR","")</f>
        <v>RANGE_ERR</v>
      </c>
    </row>
    <row r="710" spans="1:18" x14ac:dyDescent="0.35">
      <c r="A710" s="6">
        <v>708</v>
      </c>
      <c r="B710" s="3">
        <v>45939</v>
      </c>
      <c r="C710" s="2">
        <v>140.28</v>
      </c>
      <c r="D710" s="2">
        <v>140.94</v>
      </c>
      <c r="E710" s="2">
        <v>138.47999999999999</v>
      </c>
      <c r="F710" s="2">
        <v>140.11000000000001</v>
      </c>
      <c r="G710" s="1">
        <v>1149998</v>
      </c>
      <c r="H710" s="2">
        <f t="shared" si="26"/>
        <v>120.78</v>
      </c>
      <c r="I710" s="2">
        <f t="shared" si="27"/>
        <v>143.09</v>
      </c>
      <c r="J710" s="22">
        <f>100*(testdata4[[#This Row],[close]]-testdata4[[#This Row],[LL]])/(testdata4[[#This Row],[HH]]-testdata4[[#This Row],[LL]])</f>
        <v>86.642761093680022</v>
      </c>
      <c r="K710" s="22">
        <f>testdata4[[#This Row],[K(14)'']]</f>
        <v>86.642761093680022</v>
      </c>
      <c r="L710" s="22">
        <f>testdata4[[#This Row],[%K]]-100</f>
        <v>-13.357238906319978</v>
      </c>
      <c r="N710" s="12">
        <v>708</v>
      </c>
      <c r="O710" s="13">
        <v>45939</v>
      </c>
      <c r="P710" s="23" t="s">
        <v>711</v>
      </c>
      <c r="Q710" s="22">
        <f>IF(testdata4[[#This Row],[%R]]&lt;&gt;Table25[[#This Row],[%R]],testdata4[[#This Row],[%R]]-Table25[[#This Row],[%R]],"")</f>
        <v>-7.815970093361102E-14</v>
      </c>
      <c r="R710" s="11" t="str">
        <f>IF(OR(Table25[[#This Row],[%R]]&lt;-100,Table25[[#This Row],[%R]]&gt;0),"RANGE_ERR","")</f>
        <v>RANGE_ERR</v>
      </c>
    </row>
    <row r="711" spans="1:18" x14ac:dyDescent="0.35">
      <c r="A711" s="6">
        <v>709</v>
      </c>
      <c r="B711" s="3">
        <v>45940</v>
      </c>
      <c r="C711" s="2">
        <v>139.66</v>
      </c>
      <c r="D711" s="2">
        <v>140.57499999999999</v>
      </c>
      <c r="E711" s="2">
        <v>136.29</v>
      </c>
      <c r="F711" s="2">
        <v>136.62</v>
      </c>
      <c r="G711" s="1">
        <v>1968156</v>
      </c>
      <c r="H711" s="2">
        <f t="shared" si="26"/>
        <v>120.78</v>
      </c>
      <c r="I711" s="2">
        <f t="shared" si="27"/>
        <v>143.09</v>
      </c>
      <c r="J711" s="22">
        <f>100*(testdata4[[#This Row],[close]]-testdata4[[#This Row],[LL]])/(testdata4[[#This Row],[HH]]-testdata4[[#This Row],[LL]])</f>
        <v>70.999551770506514</v>
      </c>
      <c r="K711" s="22">
        <f>testdata4[[#This Row],[K(14)'']]</f>
        <v>70.999551770506514</v>
      </c>
      <c r="L711" s="22">
        <f>testdata4[[#This Row],[%K]]-100</f>
        <v>-29.000448229493486</v>
      </c>
      <c r="N711" s="12">
        <v>709</v>
      </c>
      <c r="O711" s="13">
        <v>45940</v>
      </c>
      <c r="P711" s="23" t="s">
        <v>712</v>
      </c>
      <c r="Q711" s="22">
        <f>IF(testdata4[[#This Row],[%R]]&lt;&gt;Table25[[#This Row],[%R]],testdata4[[#This Row],[%R]]-Table25[[#This Row],[%R]],"")</f>
        <v>-8.5265128291212022E-14</v>
      </c>
      <c r="R711" s="11" t="str">
        <f>IF(OR(Table25[[#This Row],[%R]]&lt;-100,Table25[[#This Row],[%R]]&gt;0),"RANGE_ERR","")</f>
        <v>RANGE_ERR</v>
      </c>
    </row>
    <row r="712" spans="1:18" x14ac:dyDescent="0.35">
      <c r="A712" s="6">
        <v>710</v>
      </c>
      <c r="B712" s="3">
        <v>45943</v>
      </c>
      <c r="C712" s="2">
        <v>137.85</v>
      </c>
      <c r="D712" s="2">
        <v>139.84</v>
      </c>
      <c r="E712" s="2">
        <v>136.75749999999999</v>
      </c>
      <c r="F712" s="2">
        <v>138.22999999999999</v>
      </c>
      <c r="G712" s="1">
        <v>1481472</v>
      </c>
      <c r="H712" s="2">
        <f t="shared" si="26"/>
        <v>120.78</v>
      </c>
      <c r="I712" s="2">
        <f t="shared" si="27"/>
        <v>143.09</v>
      </c>
      <c r="J712" s="22">
        <f>100*(testdata4[[#This Row],[close]]-testdata4[[#This Row],[LL]])/(testdata4[[#This Row],[HH]]-testdata4[[#This Row],[LL]])</f>
        <v>78.21604661586727</v>
      </c>
      <c r="K712" s="22">
        <f>testdata4[[#This Row],[K(14)'']]</f>
        <v>78.21604661586727</v>
      </c>
      <c r="L712" s="22">
        <f>testdata4[[#This Row],[%K]]-100</f>
        <v>-21.78395338413273</v>
      </c>
      <c r="N712" s="12">
        <v>710</v>
      </c>
      <c r="O712" s="13">
        <v>45943</v>
      </c>
      <c r="P712" s="23" t="s">
        <v>713</v>
      </c>
      <c r="Q712" s="22">
        <f>IF(testdata4[[#This Row],[%R]]&lt;&gt;Table25[[#This Row],[%R]],testdata4[[#This Row],[%R]]-Table25[[#This Row],[%R]],"")</f>
        <v>-2.8421709430404007E-14</v>
      </c>
      <c r="R712" s="11" t="str">
        <f>IF(OR(Table25[[#This Row],[%R]]&lt;-100,Table25[[#This Row],[%R]]&gt;0),"RANGE_ERR","")</f>
        <v>RANGE_ERR</v>
      </c>
    </row>
    <row r="713" spans="1:18" x14ac:dyDescent="0.35">
      <c r="A713" s="6">
        <v>711</v>
      </c>
      <c r="B713" s="3">
        <v>45944</v>
      </c>
      <c r="C713" s="2">
        <v>136.27000000000001</v>
      </c>
      <c r="D713" s="2">
        <v>139.91999999999999</v>
      </c>
      <c r="E713" s="2">
        <v>135.54</v>
      </c>
      <c r="F713" s="2">
        <v>138.04</v>
      </c>
      <c r="G713" s="1">
        <v>1142071</v>
      </c>
      <c r="H713" s="2">
        <f t="shared" si="26"/>
        <v>120.78</v>
      </c>
      <c r="I713" s="2">
        <f t="shared" si="27"/>
        <v>143.09</v>
      </c>
      <c r="J713" s="22">
        <f>100*(testdata4[[#This Row],[close]]-testdata4[[#This Row],[LL]])/(testdata4[[#This Row],[HH]]-testdata4[[#This Row],[LL]])</f>
        <v>77.364410578215995</v>
      </c>
      <c r="K713" s="22">
        <f>testdata4[[#This Row],[K(14)'']]</f>
        <v>77.364410578215995</v>
      </c>
      <c r="L713" s="22">
        <f>testdata4[[#This Row],[%K]]-100</f>
        <v>-22.635589421784005</v>
      </c>
      <c r="N713" s="12">
        <v>711</v>
      </c>
      <c r="O713" s="13">
        <v>45944</v>
      </c>
      <c r="P713" s="23" t="s">
        <v>714</v>
      </c>
      <c r="Q713" s="22">
        <f>IF(testdata4[[#This Row],[%R]]&lt;&gt;Table25[[#This Row],[%R]],testdata4[[#This Row],[%R]]-Table25[[#This Row],[%R]],"")</f>
        <v>-3.5527136788005009E-15</v>
      </c>
      <c r="R713" s="11" t="str">
        <f>IF(OR(Table25[[#This Row],[%R]]&lt;-100,Table25[[#This Row],[%R]]&gt;0),"RANGE_ERR","")</f>
        <v>RANGE_ERR</v>
      </c>
    </row>
    <row r="714" spans="1:18" x14ac:dyDescent="0.35">
      <c r="A714" s="6">
        <v>712</v>
      </c>
      <c r="B714" s="3">
        <v>45945</v>
      </c>
      <c r="C714" s="2">
        <v>138.68</v>
      </c>
      <c r="D714" s="2">
        <v>140.22</v>
      </c>
      <c r="E714" s="2">
        <v>137.35</v>
      </c>
      <c r="F714" s="2">
        <v>139.65</v>
      </c>
      <c r="G714" s="1">
        <v>1692458</v>
      </c>
      <c r="H714" s="2">
        <f t="shared" si="26"/>
        <v>121.55</v>
      </c>
      <c r="I714" s="2">
        <f t="shared" si="27"/>
        <v>143.09</v>
      </c>
      <c r="J714" s="22">
        <f>100*(testdata4[[#This Row],[close]]-testdata4[[#This Row],[LL]])/(testdata4[[#This Row],[HH]]-testdata4[[#This Row],[LL]])</f>
        <v>84.029712163416917</v>
      </c>
      <c r="K714" s="22">
        <f>testdata4[[#This Row],[K(14)'']]</f>
        <v>84.029712163416917</v>
      </c>
      <c r="L714" s="22">
        <f>testdata4[[#This Row],[%K]]-100</f>
        <v>-15.970287836583083</v>
      </c>
      <c r="N714" s="12">
        <v>712</v>
      </c>
      <c r="O714" s="13">
        <v>45945</v>
      </c>
      <c r="P714" s="23" t="s">
        <v>715</v>
      </c>
      <c r="Q714" s="22">
        <f>IF(testdata4[[#This Row],[%R]]&lt;&gt;Table25[[#This Row],[%R]],testdata4[[#This Row],[%R]]-Table25[[#This Row],[%R]],"")</f>
        <v>-8.3488771451811772E-14</v>
      </c>
      <c r="R714" s="11" t="str">
        <f>IF(OR(Table25[[#This Row],[%R]]&lt;-100,Table25[[#This Row],[%R]]&gt;0),"RANGE_ERR","")</f>
        <v>RANGE_ERR</v>
      </c>
    </row>
    <row r="715" spans="1:18" x14ac:dyDescent="0.35">
      <c r="A715" s="6">
        <v>713</v>
      </c>
      <c r="B715" s="3">
        <v>45946</v>
      </c>
      <c r="C715" s="2">
        <v>140.84</v>
      </c>
      <c r="D715" s="2">
        <v>143.32499999999999</v>
      </c>
      <c r="E715" s="2">
        <v>140.26</v>
      </c>
      <c r="F715" s="2">
        <v>141.1</v>
      </c>
      <c r="G715" s="1">
        <v>2180226</v>
      </c>
      <c r="H715" s="2">
        <f t="shared" si="26"/>
        <v>122.57250000000001</v>
      </c>
      <c r="I715" s="2">
        <f t="shared" si="27"/>
        <v>143.32499999999999</v>
      </c>
      <c r="J715" s="22">
        <f>100*(testdata4[[#This Row],[close]]-testdata4[[#This Row],[LL]])/(testdata4[[#This Row],[HH]]-testdata4[[#This Row],[LL]])</f>
        <v>89.278400192747881</v>
      </c>
      <c r="K715" s="22">
        <f>testdata4[[#This Row],[K(14)'']]</f>
        <v>89.278400192747881</v>
      </c>
      <c r="L715" s="22">
        <f>testdata4[[#This Row],[%K]]-100</f>
        <v>-10.721599807252119</v>
      </c>
      <c r="N715" s="12">
        <v>713</v>
      </c>
      <c r="O715" s="13">
        <v>45946</v>
      </c>
      <c r="P715" s="23" t="s">
        <v>716</v>
      </c>
      <c r="Q715" s="22">
        <f>IF(testdata4[[#This Row],[%R]]&lt;&gt;Table25[[#This Row],[%R]],testdata4[[#This Row],[%R]]-Table25[[#This Row],[%R]],"")</f>
        <v>-1.9539925233402755E-14</v>
      </c>
      <c r="R715" s="11" t="str">
        <f>IF(OR(Table25[[#This Row],[%R]]&lt;-100,Table25[[#This Row],[%R]]&gt;0),"RANGE_ERR","")</f>
        <v>RANGE_ERR</v>
      </c>
    </row>
    <row r="716" spans="1:18" x14ac:dyDescent="0.35">
      <c r="A716" s="6">
        <v>714</v>
      </c>
      <c r="B716" s="3">
        <v>45947</v>
      </c>
      <c r="C716" s="2">
        <v>139.76</v>
      </c>
      <c r="D716" s="2">
        <v>142.23500000000001</v>
      </c>
      <c r="E716" s="2">
        <v>139.02000000000001</v>
      </c>
      <c r="F716" s="2">
        <v>141.91999999999999</v>
      </c>
      <c r="G716" s="1">
        <v>1506511</v>
      </c>
      <c r="H716" s="2">
        <f t="shared" si="26"/>
        <v>123.0138</v>
      </c>
      <c r="I716" s="2">
        <f t="shared" si="27"/>
        <v>143.32499999999999</v>
      </c>
      <c r="J716" s="22">
        <f>100*(testdata4[[#This Row],[close]]-testdata4[[#This Row],[LL]])/(testdata4[[#This Row],[HH]]-testdata4[[#This Row],[LL]])</f>
        <v>93.082634211666459</v>
      </c>
      <c r="K716" s="22">
        <f>testdata4[[#This Row],[K(14)'']]</f>
        <v>93.082634211666459</v>
      </c>
      <c r="L716" s="22">
        <f>testdata4[[#This Row],[%K]]-100</f>
        <v>-6.9173657883335409</v>
      </c>
      <c r="N716" s="12">
        <v>714</v>
      </c>
      <c r="O716" s="13">
        <v>45947</v>
      </c>
      <c r="P716" s="23" t="s">
        <v>717</v>
      </c>
      <c r="Q716" s="22">
        <f>IF(testdata4[[#This Row],[%R]]&lt;&gt;Table25[[#This Row],[%R]],testdata4[[#This Row],[%R]]-Table25[[#This Row],[%R]],"")</f>
        <v>-8.8817841970012523E-16</v>
      </c>
      <c r="R716" s="11" t="str">
        <f>IF(OR(Table25[[#This Row],[%R]]&lt;-100,Table25[[#This Row],[%R]]&gt;0),"RANGE_ERR","")</f>
        <v>RANGE_ERR</v>
      </c>
    </row>
    <row r="717" spans="1:18" x14ac:dyDescent="0.35">
      <c r="A717" s="6">
        <v>715</v>
      </c>
      <c r="B717" s="3">
        <v>45950</v>
      </c>
      <c r="C717" s="2">
        <v>143</v>
      </c>
      <c r="D717" s="2">
        <v>144.63</v>
      </c>
      <c r="E717" s="2">
        <v>142.27000000000001</v>
      </c>
      <c r="F717" s="2">
        <v>143</v>
      </c>
      <c r="G717" s="1">
        <v>1580463</v>
      </c>
      <c r="H717" s="2">
        <f t="shared" si="26"/>
        <v>128.18510000000001</v>
      </c>
      <c r="I717" s="2">
        <f t="shared" si="27"/>
        <v>144.63</v>
      </c>
      <c r="J717" s="22">
        <f>100*(testdata4[[#This Row],[close]]-testdata4[[#This Row],[LL]])/(testdata4[[#This Row],[HH]]-testdata4[[#This Row],[LL]])</f>
        <v>90.088112423912591</v>
      </c>
      <c r="K717" s="22">
        <f>testdata4[[#This Row],[K(14)'']]</f>
        <v>90.088112423912591</v>
      </c>
      <c r="L717" s="22">
        <f>testdata4[[#This Row],[%K]]-100</f>
        <v>-9.911887576087409</v>
      </c>
      <c r="N717" s="12">
        <v>715</v>
      </c>
      <c r="O717" s="13">
        <v>45950</v>
      </c>
      <c r="P717" s="23" t="s">
        <v>718</v>
      </c>
      <c r="Q717" s="22">
        <f>IF(testdata4[[#This Row],[%R]]&lt;&gt;Table25[[#This Row],[%R]],testdata4[[#This Row],[%R]]-Table25[[#This Row],[%R]],"")</f>
        <v>-8.8817841970012523E-15</v>
      </c>
      <c r="R717" s="11" t="str">
        <f>IF(OR(Table25[[#This Row],[%R]]&lt;-100,Table25[[#This Row],[%R]]&gt;0),"RANGE_ERR","")</f>
        <v>RANGE_ERR</v>
      </c>
    </row>
    <row r="718" spans="1:18" x14ac:dyDescent="0.35">
      <c r="A718" s="6">
        <v>716</v>
      </c>
      <c r="B718" s="3">
        <v>45951</v>
      </c>
      <c r="C718" s="2">
        <v>145.30000000000001</v>
      </c>
      <c r="D718" s="2">
        <v>149.5</v>
      </c>
      <c r="E718" s="2">
        <v>144.27000000000001</v>
      </c>
      <c r="F718" s="2">
        <v>145.68</v>
      </c>
      <c r="G718" s="1">
        <v>1658454</v>
      </c>
      <c r="H718" s="2">
        <f t="shared" si="26"/>
        <v>135.54</v>
      </c>
      <c r="I718" s="2">
        <f t="shared" si="27"/>
        <v>149.5</v>
      </c>
      <c r="J718" s="22">
        <f>100*(testdata4[[#This Row],[close]]-testdata4[[#This Row],[LL]])/(testdata4[[#This Row],[HH]]-testdata4[[#This Row],[LL]])</f>
        <v>72.636103151862528</v>
      </c>
      <c r="K718" s="22">
        <f>testdata4[[#This Row],[K(14)'']]</f>
        <v>72.636103151862528</v>
      </c>
      <c r="L718" s="22">
        <f>testdata4[[#This Row],[%K]]-100</f>
        <v>-27.363896848137472</v>
      </c>
      <c r="N718" s="12">
        <v>716</v>
      </c>
      <c r="O718" s="13">
        <v>45951</v>
      </c>
      <c r="P718" s="23" t="s">
        <v>719</v>
      </c>
      <c r="Q718" s="22">
        <f>IF(testdata4[[#This Row],[%R]]&lt;&gt;Table25[[#This Row],[%R]],testdata4[[#This Row],[%R]]-Table25[[#This Row],[%R]],"")</f>
        <v>-7.1054273576010019E-14</v>
      </c>
      <c r="R718" s="11" t="str">
        <f>IF(OR(Table25[[#This Row],[%R]]&lt;-100,Table25[[#This Row],[%R]]&gt;0),"RANGE_ERR","")</f>
        <v>RANGE_ERR</v>
      </c>
    </row>
    <row r="719" spans="1:18" x14ac:dyDescent="0.35">
      <c r="A719" s="6">
        <v>717</v>
      </c>
      <c r="B719" s="3">
        <v>45952</v>
      </c>
      <c r="C719" s="2">
        <v>145.28</v>
      </c>
      <c r="D719" s="2">
        <v>147.74</v>
      </c>
      <c r="E719" s="2">
        <v>144.45500000000001</v>
      </c>
      <c r="F719" s="2">
        <v>145.87</v>
      </c>
      <c r="G719" s="1">
        <v>1495380</v>
      </c>
      <c r="H719" s="2">
        <f t="shared" si="26"/>
        <v>135.54</v>
      </c>
      <c r="I719" s="2">
        <f t="shared" si="27"/>
        <v>149.5</v>
      </c>
      <c r="J719" s="22">
        <f>100*(testdata4[[#This Row],[close]]-testdata4[[#This Row],[LL]])/(testdata4[[#This Row],[HH]]-testdata4[[#This Row],[LL]])</f>
        <v>73.997134670487156</v>
      </c>
      <c r="K719" s="22">
        <f>testdata4[[#This Row],[K(14)'']]</f>
        <v>73.997134670487156</v>
      </c>
      <c r="L719" s="22">
        <f>testdata4[[#This Row],[%K]]-100</f>
        <v>-26.002865329512844</v>
      </c>
      <c r="N719" s="12">
        <v>717</v>
      </c>
      <c r="O719" s="13">
        <v>45952</v>
      </c>
      <c r="P719" s="23" t="s">
        <v>720</v>
      </c>
      <c r="Q719" s="22">
        <f>IF(testdata4[[#This Row],[%R]]&lt;&gt;Table25[[#This Row],[%R]],testdata4[[#This Row],[%R]]-Table25[[#This Row],[%R]],"")</f>
        <v>-4.2632564145606011E-14</v>
      </c>
      <c r="R719" s="11" t="str">
        <f>IF(OR(Table25[[#This Row],[%R]]&lt;-100,Table25[[#This Row],[%R]]&gt;0),"RANGE_ERR","")</f>
        <v>RANGE_ERR</v>
      </c>
    </row>
    <row r="720" spans="1:18" x14ac:dyDescent="0.35">
      <c r="A720" s="6">
        <v>718</v>
      </c>
      <c r="B720" s="3">
        <v>45953</v>
      </c>
      <c r="C720" s="2">
        <v>146.30000000000001</v>
      </c>
      <c r="D720" s="2">
        <v>148.3329</v>
      </c>
      <c r="E720" s="2">
        <v>145.6</v>
      </c>
      <c r="F720" s="2">
        <v>147.46</v>
      </c>
      <c r="G720" s="1">
        <v>1210044</v>
      </c>
      <c r="H720" s="2">
        <f t="shared" si="26"/>
        <v>135.54</v>
      </c>
      <c r="I720" s="2">
        <f t="shared" si="27"/>
        <v>149.5</v>
      </c>
      <c r="J720" s="22">
        <f>100*(testdata4[[#This Row],[close]]-testdata4[[#This Row],[LL]])/(testdata4[[#This Row],[HH]]-testdata4[[#This Row],[LL]])</f>
        <v>85.386819484240746</v>
      </c>
      <c r="K720" s="22">
        <f>testdata4[[#This Row],[K(14)'']]</f>
        <v>85.386819484240746</v>
      </c>
      <c r="L720" s="22">
        <f>testdata4[[#This Row],[%K]]-100</f>
        <v>-14.613180515759254</v>
      </c>
      <c r="N720" s="12">
        <v>718</v>
      </c>
      <c r="O720" s="13">
        <v>45953</v>
      </c>
      <c r="P720" s="23" t="s">
        <v>721</v>
      </c>
      <c r="Q720" s="22">
        <f>IF(testdata4[[#This Row],[%R]]&lt;&gt;Table25[[#This Row],[%R]],testdata4[[#This Row],[%R]]-Table25[[#This Row],[%R]],"")</f>
        <v>-5.3290705182007514E-14</v>
      </c>
      <c r="R720" s="11" t="str">
        <f>IF(OR(Table25[[#This Row],[%R]]&lt;-100,Table25[[#This Row],[%R]]&gt;0),"RANGE_ERR","")</f>
        <v>RANGE_ERR</v>
      </c>
    </row>
    <row r="721" spans="1:18" x14ac:dyDescent="0.35">
      <c r="A721" s="6">
        <v>719</v>
      </c>
      <c r="B721" s="3">
        <v>45954</v>
      </c>
      <c r="C721" s="2">
        <v>148.12</v>
      </c>
      <c r="D721" s="2">
        <v>149.12</v>
      </c>
      <c r="E721" s="2">
        <v>147.52500000000001</v>
      </c>
      <c r="F721" s="2">
        <v>148.03</v>
      </c>
      <c r="G721" s="1">
        <v>1135521</v>
      </c>
      <c r="H721" s="2">
        <f t="shared" si="26"/>
        <v>135.54</v>
      </c>
      <c r="I721" s="2">
        <f t="shared" si="27"/>
        <v>149.5</v>
      </c>
      <c r="J721" s="22">
        <f>100*(testdata4[[#This Row],[close]]-testdata4[[#This Row],[LL]])/(testdata4[[#This Row],[HH]]-testdata4[[#This Row],[LL]])</f>
        <v>89.469914040114631</v>
      </c>
      <c r="K721" s="22">
        <f>testdata4[[#This Row],[K(14)'']]</f>
        <v>89.469914040114631</v>
      </c>
      <c r="L721" s="22">
        <f>testdata4[[#This Row],[%K]]-100</f>
        <v>-10.530085959885369</v>
      </c>
      <c r="N721" s="12">
        <v>719</v>
      </c>
      <c r="O721" s="13">
        <v>45954</v>
      </c>
      <c r="P721" s="23" t="s">
        <v>722</v>
      </c>
      <c r="Q721" s="22">
        <f>IF(testdata4[[#This Row],[%R]]&lt;&gt;Table25[[#This Row],[%R]],testdata4[[#This Row],[%R]]-Table25[[#This Row],[%R]],"")</f>
        <v>-6.9277916736609768E-14</v>
      </c>
      <c r="R721" s="11" t="str">
        <f>IF(OR(Table25[[#This Row],[%R]]&lt;-100,Table25[[#This Row],[%R]]&gt;0),"RANGE_ERR","")</f>
        <v>RANGE_ERR</v>
      </c>
    </row>
    <row r="722" spans="1:18" x14ac:dyDescent="0.35">
      <c r="A722" s="6">
        <v>720</v>
      </c>
      <c r="B722" s="3">
        <v>45957</v>
      </c>
      <c r="C722" s="2">
        <v>148.28</v>
      </c>
      <c r="D722" s="2">
        <v>148.65</v>
      </c>
      <c r="E722" s="2">
        <v>146.52000000000001</v>
      </c>
      <c r="F722" s="2">
        <v>146.59</v>
      </c>
      <c r="G722" s="1">
        <v>1187952</v>
      </c>
      <c r="H722" s="2">
        <f t="shared" si="26"/>
        <v>135.54</v>
      </c>
      <c r="I722" s="2">
        <f t="shared" si="27"/>
        <v>149.5</v>
      </c>
      <c r="J722" s="22">
        <f>100*(testdata4[[#This Row],[close]]-testdata4[[#This Row],[LL]])/(testdata4[[#This Row],[HH]]-testdata4[[#This Row],[LL]])</f>
        <v>79.15472779369631</v>
      </c>
      <c r="K722" s="22">
        <f>testdata4[[#This Row],[K(14)'']]</f>
        <v>79.15472779369631</v>
      </c>
      <c r="L722" s="22">
        <f>testdata4[[#This Row],[%K]]-100</f>
        <v>-20.84527220630369</v>
      </c>
      <c r="N722" s="12">
        <v>720</v>
      </c>
      <c r="O722" s="13">
        <v>45957</v>
      </c>
      <c r="P722" s="23" t="s">
        <v>723</v>
      </c>
      <c r="Q722" s="22">
        <f>IF(testdata4[[#This Row],[%R]]&lt;&gt;Table25[[#This Row],[%R]],testdata4[[#This Row],[%R]]-Table25[[#This Row],[%R]],"")</f>
        <v>-8.8817841970012523E-14</v>
      </c>
      <c r="R722" s="11" t="str">
        <f>IF(OR(Table25[[#This Row],[%R]]&lt;-100,Table25[[#This Row],[%R]]&gt;0),"RANGE_ERR","")</f>
        <v>RANGE_ERR</v>
      </c>
    </row>
    <row r="723" spans="1:18" x14ac:dyDescent="0.35">
      <c r="A723" s="6">
        <v>721</v>
      </c>
      <c r="B723" s="3">
        <v>45958</v>
      </c>
      <c r="C723" s="2">
        <v>145.74</v>
      </c>
      <c r="D723" s="2">
        <v>147.27000000000001</v>
      </c>
      <c r="E723" s="2">
        <v>144.63</v>
      </c>
      <c r="F723" s="2">
        <v>145.85</v>
      </c>
      <c r="G723" s="1">
        <v>1470066</v>
      </c>
      <c r="H723" s="2">
        <f t="shared" si="26"/>
        <v>135.54</v>
      </c>
      <c r="I723" s="2">
        <f t="shared" si="27"/>
        <v>149.5</v>
      </c>
      <c r="J723" s="22">
        <f>100*(testdata4[[#This Row],[close]]-testdata4[[#This Row],[LL]])/(testdata4[[#This Row],[HH]]-testdata4[[#This Row],[LL]])</f>
        <v>73.853868194842377</v>
      </c>
      <c r="K723" s="22">
        <f>testdata4[[#This Row],[K(14)'']]</f>
        <v>73.853868194842377</v>
      </c>
      <c r="L723" s="22">
        <f>testdata4[[#This Row],[%K]]-100</f>
        <v>-26.146131805157623</v>
      </c>
      <c r="N723" s="12">
        <v>721</v>
      </c>
      <c r="O723" s="13">
        <v>45958</v>
      </c>
      <c r="P723" s="23" t="s">
        <v>724</v>
      </c>
      <c r="Q723" s="22">
        <f>IF(testdata4[[#This Row],[%R]]&lt;&gt;Table25[[#This Row],[%R]],testdata4[[#This Row],[%R]]-Table25[[#This Row],[%R]],"")</f>
        <v>-2.1316282072803006E-14</v>
      </c>
      <c r="R723" s="11" t="str">
        <f>IF(OR(Table25[[#This Row],[%R]]&lt;-100,Table25[[#This Row],[%R]]&gt;0),"RANGE_ERR","")</f>
        <v>RANGE_ERR</v>
      </c>
    </row>
    <row r="724" spans="1:18" x14ac:dyDescent="0.35">
      <c r="A724" s="6">
        <v>722</v>
      </c>
      <c r="B724" s="3">
        <v>45959</v>
      </c>
      <c r="C724" s="2">
        <v>145.52000000000001</v>
      </c>
      <c r="D724" s="2">
        <v>146.05000000000001</v>
      </c>
      <c r="E724" s="2">
        <v>142.87</v>
      </c>
      <c r="F724" s="2">
        <v>143.19999999999999</v>
      </c>
      <c r="G724" s="1">
        <v>1902524</v>
      </c>
      <c r="H724" s="2">
        <f t="shared" si="26"/>
        <v>135.54</v>
      </c>
      <c r="I724" s="2">
        <f t="shared" si="27"/>
        <v>149.5</v>
      </c>
      <c r="J724" s="22">
        <f>100*(testdata4[[#This Row],[close]]-testdata4[[#This Row],[LL]])/(testdata4[[#This Row],[HH]]-testdata4[[#This Row],[LL]])</f>
        <v>54.871060171919716</v>
      </c>
      <c r="K724" s="22">
        <f>testdata4[[#This Row],[K(14)'']]</f>
        <v>54.871060171919716</v>
      </c>
      <c r="L724" s="22">
        <f>testdata4[[#This Row],[%K]]-100</f>
        <v>-45.128939828080284</v>
      </c>
      <c r="N724" s="12">
        <v>722</v>
      </c>
      <c r="O724" s="13">
        <v>45959</v>
      </c>
      <c r="P724" s="23" t="s">
        <v>725</v>
      </c>
      <c r="Q724" s="22">
        <f>IF(testdata4[[#This Row],[%R]]&lt;&gt;Table25[[#This Row],[%R]],testdata4[[#This Row],[%R]]-Table25[[#This Row],[%R]],"")</f>
        <v>-8.5265128291212022E-14</v>
      </c>
      <c r="R724" s="11" t="str">
        <f>IF(OR(Table25[[#This Row],[%R]]&lt;-100,Table25[[#This Row],[%R]]&gt;0),"RANGE_ERR","")</f>
        <v>RANGE_ERR</v>
      </c>
    </row>
    <row r="725" spans="1:18" x14ac:dyDescent="0.35">
      <c r="A725" s="6">
        <v>723</v>
      </c>
      <c r="B725" s="3">
        <v>45960</v>
      </c>
      <c r="C725" s="2">
        <v>142.93</v>
      </c>
      <c r="D725" s="2">
        <v>145.27000000000001</v>
      </c>
      <c r="E725" s="2">
        <v>142.20500000000001</v>
      </c>
      <c r="F725" s="2">
        <v>143.36000000000001</v>
      </c>
      <c r="G725" s="1">
        <v>1519645</v>
      </c>
      <c r="H725" s="2">
        <f t="shared" si="26"/>
        <v>135.54</v>
      </c>
      <c r="I725" s="2">
        <f t="shared" si="27"/>
        <v>149.5</v>
      </c>
      <c r="J725" s="22">
        <f>100*(testdata4[[#This Row],[close]]-testdata4[[#This Row],[LL]])/(testdata4[[#This Row],[HH]]-testdata4[[#This Row],[LL]])</f>
        <v>56.017191977077488</v>
      </c>
      <c r="K725" s="22">
        <f>testdata4[[#This Row],[K(14)'']]</f>
        <v>56.017191977077488</v>
      </c>
      <c r="L725" s="22">
        <f>testdata4[[#This Row],[%K]]-100</f>
        <v>-43.982808022922512</v>
      </c>
      <c r="N725" s="12">
        <v>723</v>
      </c>
      <c r="O725" s="13">
        <v>45960</v>
      </c>
      <c r="P725" s="23" t="s">
        <v>726</v>
      </c>
      <c r="Q725" s="22">
        <f>IF(testdata4[[#This Row],[%R]]&lt;&gt;Table25[[#This Row],[%R]],testdata4[[#This Row],[%R]]-Table25[[#This Row],[%R]],"")</f>
        <v>-1.4210854715202004E-14</v>
      </c>
      <c r="R725" s="11" t="str">
        <f>IF(OR(Table25[[#This Row],[%R]]&lt;-100,Table25[[#This Row],[%R]]&gt;0),"RANGE_ERR","")</f>
        <v>RANGE_ERR</v>
      </c>
    </row>
    <row r="726" spans="1:18" x14ac:dyDescent="0.35">
      <c r="A726" s="6">
        <v>724</v>
      </c>
      <c r="B726" s="3">
        <v>45961</v>
      </c>
      <c r="C726" s="2">
        <v>142.78</v>
      </c>
      <c r="D726" s="2">
        <v>146.99</v>
      </c>
      <c r="E726" s="2">
        <v>142.6</v>
      </c>
      <c r="F726" s="2">
        <v>146.36000000000001</v>
      </c>
      <c r="G726" s="1">
        <v>1487227</v>
      </c>
      <c r="H726" s="2">
        <f t="shared" si="26"/>
        <v>135.54</v>
      </c>
      <c r="I726" s="2">
        <f t="shared" si="27"/>
        <v>149.5</v>
      </c>
      <c r="J726" s="22">
        <f>100*(testdata4[[#This Row],[close]]-testdata4[[#This Row],[LL]])/(testdata4[[#This Row],[HH]]-testdata4[[#This Row],[LL]])</f>
        <v>77.507163323782351</v>
      </c>
      <c r="K726" s="22">
        <f>testdata4[[#This Row],[K(14)'']]</f>
        <v>77.507163323782351</v>
      </c>
      <c r="L726" s="22">
        <f>testdata4[[#This Row],[%K]]-100</f>
        <v>-22.492836676217649</v>
      </c>
      <c r="N726" s="12">
        <v>724</v>
      </c>
      <c r="O726" s="13">
        <v>45961</v>
      </c>
      <c r="P726" s="23" t="s">
        <v>727</v>
      </c>
      <c r="Q726" s="22">
        <f>IF(testdata4[[#This Row],[%R]]&lt;&gt;Table25[[#This Row],[%R]],testdata4[[#This Row],[%R]]-Table25[[#This Row],[%R]],"")</f>
        <v>-4.9737991503207013E-14</v>
      </c>
      <c r="R726" s="11" t="str">
        <f>IF(OR(Table25[[#This Row],[%R]]&lt;-100,Table25[[#This Row],[%R]]&gt;0),"RANGE_ERR","")</f>
        <v>RANGE_ERR</v>
      </c>
    </row>
    <row r="727" spans="1:18" x14ac:dyDescent="0.35">
      <c r="A727" s="6">
        <v>725</v>
      </c>
      <c r="B727" s="3">
        <v>45964</v>
      </c>
      <c r="C727" s="2">
        <v>145.07</v>
      </c>
      <c r="D727" s="2">
        <v>145.57499999999999</v>
      </c>
      <c r="E727" s="2">
        <v>142.53</v>
      </c>
      <c r="F727" s="2">
        <v>144.69</v>
      </c>
      <c r="G727" s="1">
        <v>1785846</v>
      </c>
      <c r="H727" s="2">
        <f t="shared" si="26"/>
        <v>137.35</v>
      </c>
      <c r="I727" s="2">
        <f t="shared" si="27"/>
        <v>149.5</v>
      </c>
      <c r="J727" s="22">
        <f>100*(testdata4[[#This Row],[close]]-testdata4[[#This Row],[LL]])/(testdata4[[#This Row],[HH]]-testdata4[[#This Row],[LL]])</f>
        <v>60.411522633744859</v>
      </c>
      <c r="K727" s="22">
        <f>testdata4[[#This Row],[K(14)'']]</f>
        <v>60.411522633744859</v>
      </c>
      <c r="L727" s="22">
        <f>testdata4[[#This Row],[%K]]-100</f>
        <v>-39.588477366255141</v>
      </c>
      <c r="N727" s="12">
        <v>725</v>
      </c>
      <c r="O727" s="13">
        <v>45964</v>
      </c>
      <c r="P727" s="23" t="s">
        <v>728</v>
      </c>
      <c r="Q727" s="22">
        <f>IF(testdata4[[#This Row],[%R]]&lt;&gt;Table25[[#This Row],[%R]],testdata4[[#This Row],[%R]]-Table25[[#This Row],[%R]],"")</f>
        <v>-4.2632564145606011E-14</v>
      </c>
      <c r="R727" s="11" t="str">
        <f>IF(OR(Table25[[#This Row],[%R]]&lt;-100,Table25[[#This Row],[%R]]&gt;0),"RANGE_ERR","")</f>
        <v>RANGE_ERR</v>
      </c>
    </row>
    <row r="728" spans="1:18" x14ac:dyDescent="0.35">
      <c r="A728" s="6">
        <v>726</v>
      </c>
      <c r="B728" s="3">
        <v>45965</v>
      </c>
      <c r="C728" s="2">
        <v>143.5</v>
      </c>
      <c r="D728" s="2">
        <v>148.71</v>
      </c>
      <c r="E728" s="2">
        <v>143.5</v>
      </c>
      <c r="F728" s="2">
        <v>146.08000000000001</v>
      </c>
      <c r="G728" s="1">
        <v>2176781</v>
      </c>
      <c r="H728" s="2">
        <f t="shared" si="26"/>
        <v>139.02000000000001</v>
      </c>
      <c r="I728" s="2">
        <f t="shared" si="27"/>
        <v>149.5</v>
      </c>
      <c r="J728" s="22">
        <f>100*(testdata4[[#This Row],[close]]-testdata4[[#This Row],[LL]])/(testdata4[[#This Row],[HH]]-testdata4[[#This Row],[LL]])</f>
        <v>67.366412213740546</v>
      </c>
      <c r="K728" s="22">
        <f>testdata4[[#This Row],[K(14)'']]</f>
        <v>67.366412213740546</v>
      </c>
      <c r="L728" s="22">
        <f>testdata4[[#This Row],[%K]]-100</f>
        <v>-32.633587786259454</v>
      </c>
      <c r="N728" s="12">
        <v>726</v>
      </c>
      <c r="O728" s="13">
        <v>45965</v>
      </c>
      <c r="P728" s="23" t="s">
        <v>729</v>
      </c>
      <c r="Q728" s="22">
        <f>IF(testdata4[[#This Row],[%R]]&lt;&gt;Table25[[#This Row],[%R]],testdata4[[#This Row],[%R]]-Table25[[#This Row],[%R]],"")</f>
        <v>-5.6843418860808015E-14</v>
      </c>
      <c r="R728" s="11" t="str">
        <f>IF(OR(Table25[[#This Row],[%R]]&lt;-100,Table25[[#This Row],[%R]]&gt;0),"RANGE_ERR","")</f>
        <v>RANGE_ERR</v>
      </c>
    </row>
    <row r="729" spans="1:18" x14ac:dyDescent="0.35">
      <c r="A729" s="6">
        <v>727</v>
      </c>
      <c r="B729" s="3">
        <v>45966</v>
      </c>
      <c r="C729" s="2">
        <v>143.15</v>
      </c>
      <c r="D729" s="2">
        <v>147.49</v>
      </c>
      <c r="E729" s="2">
        <v>142.46</v>
      </c>
      <c r="F729" s="2">
        <v>146.77000000000001</v>
      </c>
      <c r="G729" s="1">
        <v>1664689</v>
      </c>
      <c r="H729" s="2">
        <f t="shared" si="26"/>
        <v>139.02000000000001</v>
      </c>
      <c r="I729" s="2">
        <f t="shared" si="27"/>
        <v>149.5</v>
      </c>
      <c r="J729" s="22">
        <f>100*(testdata4[[#This Row],[close]]-testdata4[[#This Row],[LL]])/(testdata4[[#This Row],[HH]]-testdata4[[#This Row],[LL]])</f>
        <v>73.95038167938938</v>
      </c>
      <c r="K729" s="22">
        <f>testdata4[[#This Row],[K(14)'']]</f>
        <v>73.95038167938938</v>
      </c>
      <c r="L729" s="22">
        <f>testdata4[[#This Row],[%K]]-100</f>
        <v>-26.04961832061062</v>
      </c>
      <c r="N729" s="12">
        <v>727</v>
      </c>
      <c r="O729" s="13">
        <v>45966</v>
      </c>
      <c r="P729" s="23" t="s">
        <v>730</v>
      </c>
      <c r="Q729" s="22">
        <f>IF(testdata4[[#This Row],[%R]]&lt;&gt;Table25[[#This Row],[%R]],testdata4[[#This Row],[%R]]-Table25[[#This Row],[%R]],"")</f>
        <v>-2.1316282072803006E-14</v>
      </c>
      <c r="R729" s="11" t="str">
        <f>IF(OR(Table25[[#This Row],[%R]]&lt;-100,Table25[[#This Row],[%R]]&gt;0),"RANGE_ERR","")</f>
        <v>RANGE_ERR</v>
      </c>
    </row>
    <row r="730" spans="1:18" x14ac:dyDescent="0.35">
      <c r="A730" s="6">
        <v>728</v>
      </c>
      <c r="B730" s="3">
        <v>45967</v>
      </c>
      <c r="C730" s="2">
        <v>145.79</v>
      </c>
      <c r="D730" s="2">
        <v>148.01</v>
      </c>
      <c r="E730" s="2">
        <v>145.1</v>
      </c>
      <c r="F730" s="2">
        <v>147.49</v>
      </c>
      <c r="G730" s="1">
        <v>1285960</v>
      </c>
      <c r="H730" s="2">
        <f t="shared" si="26"/>
        <v>142.20500000000001</v>
      </c>
      <c r="I730" s="2">
        <f t="shared" si="27"/>
        <v>149.5</v>
      </c>
      <c r="J730" s="22">
        <f>100*(testdata4[[#This Row],[close]]-testdata4[[#This Row],[LL]])/(testdata4[[#This Row],[HH]]-testdata4[[#This Row],[LL]])</f>
        <v>72.446881425634075</v>
      </c>
      <c r="K730" s="22">
        <f>testdata4[[#This Row],[K(14)'']]</f>
        <v>72.446881425634075</v>
      </c>
      <c r="L730" s="22">
        <f>testdata4[[#This Row],[%K]]-100</f>
        <v>-27.553118574365925</v>
      </c>
      <c r="N730" s="12">
        <v>728</v>
      </c>
      <c r="O730" s="13">
        <v>45967</v>
      </c>
      <c r="P730" s="23" t="s">
        <v>731</v>
      </c>
      <c r="Q730" s="22">
        <f>IF(testdata4[[#This Row],[%R]]&lt;&gt;Table25[[#This Row],[%R]],testdata4[[#This Row],[%R]]-Table25[[#This Row],[%R]],"")</f>
        <v>-2.4868995751603507E-14</v>
      </c>
      <c r="R730" s="11" t="str">
        <f>IF(OR(Table25[[#This Row],[%R]]&lt;-100,Table25[[#This Row],[%R]]&gt;0),"RANGE_ERR","")</f>
        <v>RANGE_ERR</v>
      </c>
    </row>
    <row r="731" spans="1:18" x14ac:dyDescent="0.35">
      <c r="A731" s="6">
        <v>729</v>
      </c>
      <c r="B731" s="3">
        <v>45968</v>
      </c>
      <c r="C731" s="2">
        <v>146.52000000000001</v>
      </c>
      <c r="D731" s="2">
        <v>147.12</v>
      </c>
      <c r="E731" s="2">
        <v>144.57499999999999</v>
      </c>
      <c r="F731" s="2">
        <v>146.74</v>
      </c>
      <c r="G731" s="1">
        <v>1027170</v>
      </c>
      <c r="H731" s="2">
        <f t="shared" si="26"/>
        <v>142.20500000000001</v>
      </c>
      <c r="I731" s="2">
        <f t="shared" si="27"/>
        <v>149.5</v>
      </c>
      <c r="J731" s="22">
        <f>100*(testdata4[[#This Row],[close]]-testdata4[[#This Row],[LL]])/(testdata4[[#This Row],[HH]]-testdata4[[#This Row],[LL]])</f>
        <v>62.165867032213903</v>
      </c>
      <c r="K731" s="22">
        <f>testdata4[[#This Row],[K(14)'']]</f>
        <v>62.165867032213903</v>
      </c>
      <c r="L731" s="22">
        <f>testdata4[[#This Row],[%K]]-100</f>
        <v>-37.834132967786097</v>
      </c>
      <c r="N731" s="12">
        <v>729</v>
      </c>
      <c r="O731" s="13">
        <v>45968</v>
      </c>
      <c r="P731" s="23" t="s">
        <v>732</v>
      </c>
      <c r="Q731" s="22">
        <f>IF(testdata4[[#This Row],[%R]]&lt;&gt;Table25[[#This Row],[%R]],testdata4[[#This Row],[%R]]-Table25[[#This Row],[%R]],"")</f>
        <v>-9.9475983006414026E-14</v>
      </c>
      <c r="R731" s="11" t="str">
        <f>IF(OR(Table25[[#This Row],[%R]]&lt;-100,Table25[[#This Row],[%R]]&gt;0),"RANGE_ERR","")</f>
        <v>RANGE_ERR</v>
      </c>
    </row>
    <row r="732" spans="1:18" x14ac:dyDescent="0.35">
      <c r="A732" s="6">
        <v>730</v>
      </c>
      <c r="B732" s="3">
        <v>45971</v>
      </c>
      <c r="C732" s="2">
        <v>146.93</v>
      </c>
      <c r="D732" s="2">
        <v>147.8751</v>
      </c>
      <c r="E732" s="2">
        <v>145.1</v>
      </c>
      <c r="F732" s="2">
        <v>146.36000000000001</v>
      </c>
      <c r="G732" s="1">
        <v>1310703</v>
      </c>
      <c r="H732" s="2">
        <f t="shared" si="26"/>
        <v>142.20500000000001</v>
      </c>
      <c r="I732" s="2">
        <f t="shared" si="27"/>
        <v>149.12</v>
      </c>
      <c r="J732" s="22">
        <f>100*(testdata4[[#This Row],[close]]-testdata4[[#This Row],[LL]])/(testdata4[[#This Row],[HH]]-testdata4[[#This Row],[LL]])</f>
        <v>60.086767895878609</v>
      </c>
      <c r="K732" s="22">
        <f>testdata4[[#This Row],[K(14)'']]</f>
        <v>60.086767895878609</v>
      </c>
      <c r="L732" s="22">
        <f>testdata4[[#This Row],[%K]]-100</f>
        <v>-39.913232104121391</v>
      </c>
      <c r="N732" s="12">
        <v>730</v>
      </c>
      <c r="O732" s="13">
        <v>45971</v>
      </c>
      <c r="P732" s="23" t="s">
        <v>733</v>
      </c>
      <c r="Q732" s="22">
        <f>IF(testdata4[[#This Row],[%R]]&lt;&gt;Table25[[#This Row],[%R]],testdata4[[#This Row],[%R]]-Table25[[#This Row],[%R]],"")</f>
        <v>-9.2370555648813024E-14</v>
      </c>
      <c r="R732" s="11" t="str">
        <f>IF(OR(Table25[[#This Row],[%R]]&lt;-100,Table25[[#This Row],[%R]]&gt;0),"RANGE_ERR","")</f>
        <v>RANGE_ERR</v>
      </c>
    </row>
    <row r="733" spans="1:18" x14ac:dyDescent="0.35">
      <c r="A733" s="6">
        <v>731</v>
      </c>
      <c r="B733" s="3">
        <v>45972</v>
      </c>
      <c r="C733" s="2">
        <v>146.91</v>
      </c>
      <c r="D733" s="2">
        <v>149.97630000000001</v>
      </c>
      <c r="E733" s="2">
        <v>146.78</v>
      </c>
      <c r="F733" s="2">
        <v>149.41999999999999</v>
      </c>
      <c r="G733" s="1">
        <v>1218692</v>
      </c>
      <c r="H733" s="2">
        <f t="shared" si="26"/>
        <v>142.20500000000001</v>
      </c>
      <c r="I733" s="2">
        <f t="shared" si="27"/>
        <v>149.97630000000001</v>
      </c>
      <c r="J733" s="22">
        <f>100*(testdata4[[#This Row],[close]]-testdata4[[#This Row],[LL]])/(testdata4[[#This Row],[HH]]-testdata4[[#This Row],[LL]])</f>
        <v>92.841609511921789</v>
      </c>
      <c r="K733" s="22">
        <f>testdata4[[#This Row],[K(14)'']]</f>
        <v>92.841609511921789</v>
      </c>
      <c r="L733" s="22">
        <f>testdata4[[#This Row],[%K]]-100</f>
        <v>-7.1583904880782114</v>
      </c>
      <c r="N733" s="12">
        <v>731</v>
      </c>
      <c r="O733" s="13">
        <v>45972</v>
      </c>
      <c r="P733" s="23" t="s">
        <v>734</v>
      </c>
      <c r="Q733" s="22">
        <f>IF(testdata4[[#This Row],[%R]]&lt;&gt;Table25[[#This Row],[%R]],testdata4[[#This Row],[%R]]-Table25[[#This Row],[%R]],"")</f>
        <v>-1.7763568394002505E-15</v>
      </c>
      <c r="R733" s="11" t="str">
        <f>IF(OR(Table25[[#This Row],[%R]]&lt;-100,Table25[[#This Row],[%R]]&gt;0),"RANGE_ERR","")</f>
        <v>RANGE_ERR</v>
      </c>
    </row>
    <row r="734" spans="1:18" x14ac:dyDescent="0.35">
      <c r="A734" s="6">
        <v>732</v>
      </c>
      <c r="B734" s="3">
        <v>45973</v>
      </c>
      <c r="C734" s="2">
        <v>149.91</v>
      </c>
      <c r="D734" s="2">
        <v>152.66999999999999</v>
      </c>
      <c r="E734" s="2">
        <v>148.78</v>
      </c>
      <c r="F734" s="2">
        <v>151.52000000000001</v>
      </c>
      <c r="G734" s="1">
        <v>2064616</v>
      </c>
      <c r="H734" s="2">
        <f t="shared" si="26"/>
        <v>142.20500000000001</v>
      </c>
      <c r="I734" s="2">
        <f t="shared" si="27"/>
        <v>152.66999999999999</v>
      </c>
      <c r="J734" s="22">
        <f>100*(testdata4[[#This Row],[close]]-testdata4[[#This Row],[LL]])/(testdata4[[#This Row],[HH]]-testdata4[[#This Row],[LL]])</f>
        <v>89.010989010989206</v>
      </c>
      <c r="K734" s="22">
        <f>testdata4[[#This Row],[K(14)'']]</f>
        <v>89.010989010989206</v>
      </c>
      <c r="L734" s="22">
        <f>testdata4[[#This Row],[%K]]-100</f>
        <v>-10.989010989010794</v>
      </c>
      <c r="N734" s="12">
        <v>732</v>
      </c>
      <c r="O734" s="13">
        <v>45973</v>
      </c>
      <c r="P734" s="23" t="s">
        <v>735</v>
      </c>
      <c r="Q734" s="22">
        <f>IF(testdata4[[#This Row],[%R]]&lt;&gt;Table25[[#This Row],[%R]],testdata4[[#This Row],[%R]]-Table25[[#This Row],[%R]],"")</f>
        <v>-9.4146912488213275E-14</v>
      </c>
      <c r="R734" s="11" t="str">
        <f>IF(OR(Table25[[#This Row],[%R]]&lt;-100,Table25[[#This Row],[%R]]&gt;0),"RANGE_ERR","")</f>
        <v>RANGE_ERR</v>
      </c>
    </row>
    <row r="735" spans="1:18" x14ac:dyDescent="0.35">
      <c r="A735" s="6">
        <v>733</v>
      </c>
      <c r="B735" s="3">
        <v>45974</v>
      </c>
      <c r="C735" s="2">
        <v>149.44</v>
      </c>
      <c r="D735" s="2">
        <v>152.095</v>
      </c>
      <c r="E735" s="2">
        <v>146.52000000000001</v>
      </c>
      <c r="F735" s="2">
        <v>146.88999999999999</v>
      </c>
      <c r="G735" s="1">
        <v>1940747</v>
      </c>
      <c r="H735" s="2">
        <f t="shared" si="26"/>
        <v>142.20500000000001</v>
      </c>
      <c r="I735" s="2">
        <f t="shared" si="27"/>
        <v>152.66999999999999</v>
      </c>
      <c r="J735" s="22">
        <f>100*(testdata4[[#This Row],[close]]-testdata4[[#This Row],[LL]])/(testdata4[[#This Row],[HH]]-testdata4[[#This Row],[LL]])</f>
        <v>44.768275203057669</v>
      </c>
      <c r="K735" s="22">
        <f>testdata4[[#This Row],[K(14)'']]</f>
        <v>44.768275203057669</v>
      </c>
      <c r="L735" s="22">
        <f>testdata4[[#This Row],[%K]]-100</f>
        <v>-55.231724796942331</v>
      </c>
      <c r="N735" s="12">
        <v>733</v>
      </c>
      <c r="O735" s="13">
        <v>45974</v>
      </c>
      <c r="P735" s="23" t="s">
        <v>736</v>
      </c>
      <c r="Q735" s="22">
        <f>IF(testdata4[[#This Row],[%R]]&lt;&gt;Table25[[#This Row],[%R]],testdata4[[#This Row],[%R]]-Table25[[#This Row],[%R]],"")</f>
        <v>-2.8421709430404007E-14</v>
      </c>
      <c r="R735" s="11" t="str">
        <f>IF(OR(Table25[[#This Row],[%R]]&lt;-100,Table25[[#This Row],[%R]]&gt;0),"RANGE_ERR","")</f>
        <v>RANGE_ERR</v>
      </c>
    </row>
    <row r="736" spans="1:18" x14ac:dyDescent="0.35">
      <c r="A736" s="6">
        <v>734</v>
      </c>
      <c r="B736" s="3">
        <v>45975</v>
      </c>
      <c r="C736" s="2">
        <v>145.32</v>
      </c>
      <c r="D736" s="2">
        <v>148</v>
      </c>
      <c r="E736" s="2">
        <v>144.5</v>
      </c>
      <c r="F736" s="2">
        <v>146.82</v>
      </c>
      <c r="G736" s="1">
        <v>1302640</v>
      </c>
      <c r="H736" s="2">
        <f t="shared" si="26"/>
        <v>142.20500000000001</v>
      </c>
      <c r="I736" s="2">
        <f t="shared" si="27"/>
        <v>152.66999999999999</v>
      </c>
      <c r="J736" s="22">
        <f>100*(testdata4[[#This Row],[close]]-testdata4[[#This Row],[LL]])/(testdata4[[#This Row],[HH]]-testdata4[[#This Row],[LL]])</f>
        <v>44.099378881987498</v>
      </c>
      <c r="K736" s="22">
        <f>testdata4[[#This Row],[K(14)'']]</f>
        <v>44.099378881987498</v>
      </c>
      <c r="L736" s="22">
        <f>testdata4[[#This Row],[%K]]-100</f>
        <v>-55.900621118012502</v>
      </c>
      <c r="N736" s="12">
        <v>734</v>
      </c>
      <c r="O736" s="13">
        <v>45975</v>
      </c>
      <c r="P736" s="23" t="s">
        <v>737</v>
      </c>
      <c r="Q736" s="22">
        <f>IF(testdata4[[#This Row],[%R]]&lt;&gt;Table25[[#This Row],[%R]],testdata4[[#This Row],[%R]]-Table25[[#This Row],[%R]],"")</f>
        <v>0</v>
      </c>
      <c r="R736" s="11" t="str">
        <f>IF(OR(Table25[[#This Row],[%R]]&lt;-100,Table25[[#This Row],[%R]]&gt;0),"RANGE_ERR","")</f>
        <v>RANGE_ERR</v>
      </c>
    </row>
    <row r="737" spans="1:18" x14ac:dyDescent="0.35">
      <c r="A737" s="6">
        <v>735</v>
      </c>
      <c r="B737" s="3">
        <v>45978</v>
      </c>
      <c r="C737" s="2">
        <v>146.37</v>
      </c>
      <c r="D737" s="2">
        <v>147.035</v>
      </c>
      <c r="E737" s="2">
        <v>144.05000000000001</v>
      </c>
      <c r="F737" s="2">
        <v>144.52000000000001</v>
      </c>
      <c r="G737" s="1">
        <v>1445776</v>
      </c>
      <c r="H737" s="2">
        <f t="shared" si="26"/>
        <v>142.20500000000001</v>
      </c>
      <c r="I737" s="2">
        <f t="shared" si="27"/>
        <v>152.66999999999999</v>
      </c>
      <c r="J737" s="22">
        <f>100*(testdata4[[#This Row],[close]]-testdata4[[#This Row],[LL]])/(testdata4[[#This Row],[HH]]-testdata4[[#This Row],[LL]])</f>
        <v>22.12135690396563</v>
      </c>
      <c r="K737" s="22">
        <f>testdata4[[#This Row],[K(14)'']]</f>
        <v>22.12135690396563</v>
      </c>
      <c r="L737" s="22">
        <f>testdata4[[#This Row],[%K]]-100</f>
        <v>-77.878643096034367</v>
      </c>
      <c r="N737" s="12">
        <v>735</v>
      </c>
      <c r="O737" s="13">
        <v>45978</v>
      </c>
      <c r="P737" s="23" t="s">
        <v>738</v>
      </c>
      <c r="Q737" s="22">
        <f>IF(testdata4[[#This Row],[%R]]&lt;&gt;Table25[[#This Row],[%R]],testdata4[[#This Row],[%R]]-Table25[[#This Row],[%R]],"")</f>
        <v>-7.1054273576010019E-14</v>
      </c>
      <c r="R737" s="11" t="str">
        <f>IF(OR(Table25[[#This Row],[%R]]&lt;-100,Table25[[#This Row],[%R]]&gt;0),"RANGE_ERR","")</f>
        <v>RANGE_ERR</v>
      </c>
    </row>
    <row r="738" spans="1:18" x14ac:dyDescent="0.35">
      <c r="A738" s="6">
        <v>736</v>
      </c>
      <c r="B738" s="3">
        <v>45979</v>
      </c>
      <c r="C738" s="2">
        <v>143.24</v>
      </c>
      <c r="D738" s="2">
        <v>145.29</v>
      </c>
      <c r="E738" s="2">
        <v>140.24</v>
      </c>
      <c r="F738" s="2">
        <v>143.84</v>
      </c>
      <c r="G738" s="1">
        <v>2330773</v>
      </c>
      <c r="H738" s="2">
        <f t="shared" si="26"/>
        <v>140.24</v>
      </c>
      <c r="I738" s="2">
        <f t="shared" si="27"/>
        <v>152.66999999999999</v>
      </c>
      <c r="J738" s="22">
        <f>100*(testdata4[[#This Row],[close]]-testdata4[[#This Row],[LL]])/(testdata4[[#This Row],[HH]]-testdata4[[#This Row],[LL]])</f>
        <v>28.962188254223658</v>
      </c>
      <c r="K738" s="22">
        <f>testdata4[[#This Row],[K(14)'']]</f>
        <v>28.962188254223658</v>
      </c>
      <c r="L738" s="22">
        <f>testdata4[[#This Row],[%K]]-100</f>
        <v>-71.037811745776338</v>
      </c>
      <c r="N738" s="12">
        <v>736</v>
      </c>
      <c r="O738" s="13">
        <v>45979</v>
      </c>
      <c r="P738" s="23" t="s">
        <v>739</v>
      </c>
      <c r="Q738" s="22">
        <f>IF(testdata4[[#This Row],[%R]]&lt;&gt;Table25[[#This Row],[%R]],testdata4[[#This Row],[%R]]-Table25[[#This Row],[%R]],"")</f>
        <v>-4.2632564145606011E-14</v>
      </c>
      <c r="R738" s="11" t="str">
        <f>IF(OR(Table25[[#This Row],[%R]]&lt;-100,Table25[[#This Row],[%R]]&gt;0),"RANGE_ERR","")</f>
        <v>RANGE_ERR</v>
      </c>
    </row>
    <row r="739" spans="1:18" x14ac:dyDescent="0.35">
      <c r="A739" s="6">
        <v>737</v>
      </c>
      <c r="B739" s="3">
        <v>45980</v>
      </c>
      <c r="C739" s="2">
        <v>145.49</v>
      </c>
      <c r="D739" s="2">
        <v>145.49</v>
      </c>
      <c r="E739" s="2">
        <v>142.76</v>
      </c>
      <c r="F739" s="2">
        <v>144.4</v>
      </c>
      <c r="G739" s="1">
        <v>1848316</v>
      </c>
      <c r="H739" s="2">
        <f t="shared" si="26"/>
        <v>140.24</v>
      </c>
      <c r="I739" s="2">
        <f t="shared" si="27"/>
        <v>152.66999999999999</v>
      </c>
      <c r="J739" s="22">
        <f>100*(testdata4[[#This Row],[close]]-testdata4[[#This Row],[LL]])/(testdata4[[#This Row],[HH]]-testdata4[[#This Row],[LL]])</f>
        <v>33.467417538214029</v>
      </c>
      <c r="K739" s="22">
        <f>testdata4[[#This Row],[K(14)'']]</f>
        <v>33.467417538214029</v>
      </c>
      <c r="L739" s="22">
        <f>testdata4[[#This Row],[%K]]-100</f>
        <v>-66.532582461785978</v>
      </c>
      <c r="N739" s="12">
        <v>737</v>
      </c>
      <c r="O739" s="13">
        <v>45980</v>
      </c>
      <c r="P739" s="23" t="s">
        <v>740</v>
      </c>
      <c r="Q739" s="22">
        <f>IF(testdata4[[#This Row],[%R]]&lt;&gt;Table25[[#This Row],[%R]],testdata4[[#This Row],[%R]]-Table25[[#This Row],[%R]],"")</f>
        <v>-7.1054273576010019E-14</v>
      </c>
      <c r="R739" s="11" t="str">
        <f>IF(OR(Table25[[#This Row],[%R]]&lt;-100,Table25[[#This Row],[%R]]&gt;0),"RANGE_ERR","")</f>
        <v>RANGE_ERR</v>
      </c>
    </row>
    <row r="740" spans="1:18" x14ac:dyDescent="0.35">
      <c r="A740" s="6">
        <v>738</v>
      </c>
      <c r="B740" s="3">
        <v>45981</v>
      </c>
      <c r="C740" s="2">
        <v>147.16</v>
      </c>
      <c r="D740" s="2">
        <v>147.36000000000001</v>
      </c>
      <c r="E740" s="2">
        <v>143.94999999999999</v>
      </c>
      <c r="F740" s="2">
        <v>145.06</v>
      </c>
      <c r="G740" s="1">
        <v>1443693</v>
      </c>
      <c r="H740" s="2">
        <f t="shared" si="26"/>
        <v>140.24</v>
      </c>
      <c r="I740" s="2">
        <f t="shared" si="27"/>
        <v>152.66999999999999</v>
      </c>
      <c r="J740" s="22">
        <f>100*(testdata4[[#This Row],[close]]-testdata4[[#This Row],[LL]])/(testdata4[[#This Row],[HH]]-testdata4[[#This Row],[LL]])</f>
        <v>38.777152051488351</v>
      </c>
      <c r="K740" s="22">
        <f>testdata4[[#This Row],[K(14)'']]</f>
        <v>38.777152051488351</v>
      </c>
      <c r="L740" s="22">
        <f>testdata4[[#This Row],[%K]]-100</f>
        <v>-61.222847948511649</v>
      </c>
      <c r="N740" s="12">
        <v>738</v>
      </c>
      <c r="O740" s="13">
        <v>45981</v>
      </c>
      <c r="P740" s="23" t="s">
        <v>741</v>
      </c>
      <c r="Q740" s="22">
        <f>IF(testdata4[[#This Row],[%R]]&lt;&gt;Table25[[#This Row],[%R]],testdata4[[#This Row],[%R]]-Table25[[#This Row],[%R]],"")</f>
        <v>-4.9737991503207013E-14</v>
      </c>
      <c r="R740" s="11" t="str">
        <f>IF(OR(Table25[[#This Row],[%R]]&lt;-100,Table25[[#This Row],[%R]]&gt;0),"RANGE_ERR","")</f>
        <v>RANGE_ERR</v>
      </c>
    </row>
    <row r="741" spans="1:18" x14ac:dyDescent="0.35">
      <c r="A741" s="6">
        <v>739</v>
      </c>
      <c r="B741" s="3">
        <v>45982</v>
      </c>
      <c r="C741" s="2">
        <v>144.47</v>
      </c>
      <c r="D741" s="2">
        <v>151.76</v>
      </c>
      <c r="E741" s="2">
        <v>144.47</v>
      </c>
      <c r="F741" s="2">
        <v>151.25</v>
      </c>
      <c r="G741" s="1">
        <v>2469168</v>
      </c>
      <c r="H741" s="2">
        <f t="shared" si="26"/>
        <v>140.24</v>
      </c>
      <c r="I741" s="2">
        <f t="shared" si="27"/>
        <v>152.66999999999999</v>
      </c>
      <c r="J741" s="22">
        <f>100*(testdata4[[#This Row],[close]]-testdata4[[#This Row],[LL]])/(testdata4[[#This Row],[HH]]-testdata4[[#This Row],[LL]])</f>
        <v>88.576025744167424</v>
      </c>
      <c r="K741" s="22">
        <f>testdata4[[#This Row],[K(14)'']]</f>
        <v>88.576025744167424</v>
      </c>
      <c r="L741" s="22">
        <f>testdata4[[#This Row],[%K]]-100</f>
        <v>-11.423974255832576</v>
      </c>
      <c r="N741" s="12">
        <v>739</v>
      </c>
      <c r="O741" s="13">
        <v>45982</v>
      </c>
      <c r="P741" s="23" t="s">
        <v>742</v>
      </c>
      <c r="Q741" s="22">
        <f>IF(testdata4[[#This Row],[%R]]&lt;&gt;Table25[[#This Row],[%R]],testdata4[[#This Row],[%R]]-Table25[[#This Row],[%R]],"")</f>
        <v>-7.638334409421077E-14</v>
      </c>
      <c r="R741" s="11" t="str">
        <f>IF(OR(Table25[[#This Row],[%R]]&lt;-100,Table25[[#This Row],[%R]]&gt;0),"RANGE_ERR","")</f>
        <v>RANGE_ERR</v>
      </c>
    </row>
    <row r="742" spans="1:18" x14ac:dyDescent="0.35">
      <c r="A742" s="17">
        <v>740</v>
      </c>
      <c r="B742" s="18">
        <v>45985</v>
      </c>
      <c r="C742" s="19">
        <v>151.9</v>
      </c>
      <c r="D742" s="19">
        <v>153.6</v>
      </c>
      <c r="E742" s="19">
        <v>150.47</v>
      </c>
      <c r="F742" s="19">
        <v>153.6</v>
      </c>
      <c r="G742" s="20">
        <v>3984489</v>
      </c>
      <c r="H742" s="19">
        <f t="shared" si="26"/>
        <v>140.24</v>
      </c>
      <c r="I742" s="19">
        <f t="shared" si="27"/>
        <v>153.6</v>
      </c>
      <c r="J742" s="22">
        <f>100*(testdata4[[#This Row],[close]]-testdata4[[#This Row],[LL]])/(testdata4[[#This Row],[HH]]-testdata4[[#This Row],[LL]])</f>
        <v>100.00000000000001</v>
      </c>
      <c r="K742" s="22">
        <f>testdata4[[#This Row],[K(14)'']]</f>
        <v>100.00000000000001</v>
      </c>
      <c r="L742" s="22">
        <f>testdata4[[#This Row],[%K]]-100</f>
        <v>0</v>
      </c>
      <c r="N742" s="14">
        <v>740</v>
      </c>
      <c r="O742" s="15">
        <v>45985</v>
      </c>
      <c r="P742" s="24" t="s">
        <v>743</v>
      </c>
      <c r="Q742" s="26">
        <f>IF(testdata4[[#This Row],[%R]]&lt;&gt;Table25[[#This Row],[%R]],testdata4[[#This Row],[%R]]-Table25[[#This Row],[%R]],"")</f>
        <v>-1.421085E-14</v>
      </c>
      <c r="R742" s="16" t="str">
        <f>IF(OR(Table25[[#This Row],[%R]]&lt;-100,Table25[[#This Row],[%R]]&gt;0),"RANGE_ERR","")</f>
        <v>RANGE_ERR</v>
      </c>
    </row>
    <row r="743" spans="1:18" x14ac:dyDescent="0.35">
      <c r="A743" s="6">
        <v>741</v>
      </c>
      <c r="B743" s="3">
        <v>45986</v>
      </c>
      <c r="C743" s="2">
        <v>150.78</v>
      </c>
      <c r="D743" s="2">
        <v>160.27000000000001</v>
      </c>
      <c r="E743" s="2">
        <v>148.0001</v>
      </c>
      <c r="F743" s="2">
        <v>157.19999999999999</v>
      </c>
      <c r="G743" s="1">
        <v>3697954</v>
      </c>
      <c r="H743" s="2">
        <f t="shared" si="26"/>
        <v>140.24</v>
      </c>
      <c r="I743" s="2">
        <f t="shared" si="27"/>
        <v>160.27000000000001</v>
      </c>
      <c r="J743" s="22">
        <f>100*(testdata4[[#This Row],[close]]-testdata4[[#This Row],[LL]])/(testdata4[[#This Row],[HH]]-testdata4[[#This Row],[LL]])</f>
        <v>84.672990514228545</v>
      </c>
      <c r="K743" s="22">
        <f>testdata4[[#This Row],[K(14)'']]</f>
        <v>84.672990514228545</v>
      </c>
      <c r="L743" s="22">
        <f>testdata4[[#This Row],[%K]]-100</f>
        <v>-15.327009485771455</v>
      </c>
      <c r="N743" s="12">
        <v>741</v>
      </c>
      <c r="O743" s="13">
        <v>45986</v>
      </c>
      <c r="P743" s="23" t="s">
        <v>744</v>
      </c>
      <c r="Q743" s="22">
        <f>IF(testdata4[[#This Row],[%R]]&lt;&gt;Table25[[#This Row],[%R]],testdata4[[#This Row],[%R]]-Table25[[#This Row],[%R]],"")</f>
        <v>-5.5067062021407764E-14</v>
      </c>
      <c r="R743" s="11" t="str">
        <f>IF(OR(Table25[[#This Row],[%R]]&lt;-100,Table25[[#This Row],[%R]]&gt;0),"RANGE_ERR","")</f>
        <v>RANGE_ERR</v>
      </c>
    </row>
    <row r="744" spans="1:18" x14ac:dyDescent="0.35">
      <c r="A744" s="6">
        <v>742</v>
      </c>
      <c r="B744" s="3">
        <v>45987</v>
      </c>
      <c r="C744" s="2">
        <v>155.74</v>
      </c>
      <c r="D744" s="2">
        <v>158.12</v>
      </c>
      <c r="E744" s="2">
        <v>154.02000000000001</v>
      </c>
      <c r="F744" s="2">
        <v>154.37</v>
      </c>
      <c r="G744" s="1">
        <v>3294453</v>
      </c>
      <c r="H744" s="2">
        <f t="shared" si="26"/>
        <v>140.24</v>
      </c>
      <c r="I744" s="2">
        <f t="shared" si="27"/>
        <v>160.27000000000001</v>
      </c>
      <c r="J744" s="22">
        <f>100*(testdata4[[#This Row],[close]]-testdata4[[#This Row],[LL]])/(testdata4[[#This Row],[HH]]-testdata4[[#This Row],[LL]])</f>
        <v>70.544183724413358</v>
      </c>
      <c r="K744" s="22">
        <f>testdata4[[#This Row],[K(14)'']]</f>
        <v>70.544183724413358</v>
      </c>
      <c r="L744" s="22">
        <f>testdata4[[#This Row],[%K]]-100</f>
        <v>-29.455816275586642</v>
      </c>
      <c r="N744" s="12">
        <v>742</v>
      </c>
      <c r="O744" s="13">
        <v>45987</v>
      </c>
      <c r="P744" s="23" t="s">
        <v>745</v>
      </c>
      <c r="Q744" s="22">
        <f>IF(testdata4[[#This Row],[%R]]&lt;&gt;Table25[[#This Row],[%R]],testdata4[[#This Row],[%R]]-Table25[[#This Row],[%R]],"")</f>
        <v>-4.2632564145606011E-14</v>
      </c>
      <c r="R744" s="11" t="str">
        <f>IF(OR(Table25[[#This Row],[%R]]&lt;-100,Table25[[#This Row],[%R]]&gt;0),"RANGE_ERR","")</f>
        <v>RANGE_ERR</v>
      </c>
    </row>
    <row r="745" spans="1:18" x14ac:dyDescent="0.35">
      <c r="A745" s="6">
        <v>743</v>
      </c>
      <c r="B745" s="3">
        <v>45989</v>
      </c>
      <c r="C745" s="2">
        <v>154.11000000000001</v>
      </c>
      <c r="D745" s="2">
        <v>154.56</v>
      </c>
      <c r="E745" s="2">
        <v>153.22</v>
      </c>
      <c r="F745" s="2">
        <v>153.5</v>
      </c>
      <c r="G745" s="1">
        <v>1531612</v>
      </c>
      <c r="H745" s="2">
        <f t="shared" si="26"/>
        <v>140.24</v>
      </c>
      <c r="I745" s="2">
        <f t="shared" si="27"/>
        <v>160.27000000000001</v>
      </c>
      <c r="J745" s="22">
        <f>100*(testdata4[[#This Row],[close]]-testdata4[[#This Row],[LL]])/(testdata4[[#This Row],[HH]]-testdata4[[#This Row],[LL]])</f>
        <v>66.200698951572591</v>
      </c>
      <c r="K745" s="22">
        <f>testdata4[[#This Row],[K(14)'']]</f>
        <v>66.200698951572591</v>
      </c>
      <c r="L745" s="22">
        <f>testdata4[[#This Row],[%K]]-100</f>
        <v>-33.799301048427409</v>
      </c>
      <c r="N745" s="12">
        <v>743</v>
      </c>
      <c r="O745" s="13">
        <v>45989</v>
      </c>
      <c r="P745" s="23" t="s">
        <v>746</v>
      </c>
      <c r="Q745" s="22">
        <f>IF(testdata4[[#This Row],[%R]]&lt;&gt;Table25[[#This Row],[%R]],testdata4[[#This Row],[%R]]-Table25[[#This Row],[%R]],"")</f>
        <v>-7.1054273576010019E-15</v>
      </c>
      <c r="R745" s="11" t="str">
        <f>IF(OR(Table25[[#This Row],[%R]]&lt;-100,Table25[[#This Row],[%R]]&gt;0),"RANGE_ERR","")</f>
        <v>RANGE_ERR</v>
      </c>
    </row>
    <row r="746" spans="1:18" x14ac:dyDescent="0.35">
      <c r="A746" s="6">
        <v>744</v>
      </c>
      <c r="B746" s="3">
        <v>45992</v>
      </c>
      <c r="C746" s="2">
        <v>152.54</v>
      </c>
      <c r="D746" s="2">
        <v>153.94999999999999</v>
      </c>
      <c r="E746" s="2">
        <v>149.19</v>
      </c>
      <c r="F746" s="2">
        <v>150.1</v>
      </c>
      <c r="G746" s="1">
        <v>2044215</v>
      </c>
      <c r="H746" s="2">
        <f t="shared" si="26"/>
        <v>140.24</v>
      </c>
      <c r="I746" s="2">
        <f t="shared" si="27"/>
        <v>160.27000000000001</v>
      </c>
      <c r="J746" s="22">
        <f>100*(testdata4[[#This Row],[close]]-testdata4[[#This Row],[LL]])/(testdata4[[#This Row],[HH]]-testdata4[[#This Row],[LL]])</f>
        <v>49.226160758861631</v>
      </c>
      <c r="K746" s="22">
        <f>testdata4[[#This Row],[K(14)'']]</f>
        <v>49.226160758861631</v>
      </c>
      <c r="L746" s="22">
        <f>testdata4[[#This Row],[%K]]-100</f>
        <v>-50.773839241138369</v>
      </c>
      <c r="N746" s="12">
        <v>744</v>
      </c>
      <c r="O746" s="13">
        <v>45992</v>
      </c>
      <c r="P746" s="23" t="s">
        <v>747</v>
      </c>
      <c r="Q746" s="22">
        <f>IF(testdata4[[#This Row],[%R]]&lt;&gt;Table25[[#This Row],[%R]],testdata4[[#This Row],[%R]]-Table25[[#This Row],[%R]],"")</f>
        <v>-7.1054273576010019E-14</v>
      </c>
      <c r="R746" s="11" t="str">
        <f>IF(OR(Table25[[#This Row],[%R]]&lt;-100,Table25[[#This Row],[%R]]&gt;0),"RANGE_ERR","")</f>
        <v>RANGE_ERR</v>
      </c>
    </row>
    <row r="747" spans="1:18" x14ac:dyDescent="0.35">
      <c r="A747" s="6">
        <v>745</v>
      </c>
      <c r="B747" s="3">
        <v>45993</v>
      </c>
      <c r="C747" s="2">
        <v>150.96</v>
      </c>
      <c r="D747" s="2">
        <v>151.45500000000001</v>
      </c>
      <c r="E747" s="2">
        <v>148.75</v>
      </c>
      <c r="F747" s="2">
        <v>148.81</v>
      </c>
      <c r="G747" s="1">
        <v>1653182</v>
      </c>
      <c r="H747" s="2">
        <f t="shared" si="26"/>
        <v>140.24</v>
      </c>
      <c r="I747" s="2">
        <f t="shared" si="27"/>
        <v>160.27000000000001</v>
      </c>
      <c r="J747" s="22">
        <f>100*(testdata4[[#This Row],[close]]-testdata4[[#This Row],[LL]])/(testdata4[[#This Row],[HH]]-testdata4[[#This Row],[LL]])</f>
        <v>42.78582126809782</v>
      </c>
      <c r="K747" s="22">
        <f>testdata4[[#This Row],[K(14)'']]</f>
        <v>42.78582126809782</v>
      </c>
      <c r="L747" s="22">
        <f>testdata4[[#This Row],[%K]]-100</f>
        <v>-57.21417873190218</v>
      </c>
      <c r="N747" s="12">
        <v>745</v>
      </c>
      <c r="O747" s="13">
        <v>45993</v>
      </c>
      <c r="P747" s="23" t="s">
        <v>748</v>
      </c>
      <c r="Q747" s="22">
        <f>IF(testdata4[[#This Row],[%R]]&lt;&gt;Table25[[#This Row],[%R]],testdata4[[#This Row],[%R]]-Table25[[#This Row],[%R]],"")</f>
        <v>-7.815970093361102E-14</v>
      </c>
      <c r="R747" s="11" t="str">
        <f>IF(OR(Table25[[#This Row],[%R]]&lt;-100,Table25[[#This Row],[%R]]&gt;0),"RANGE_ERR","")</f>
        <v>RANGE_ERR</v>
      </c>
    </row>
    <row r="748" spans="1:18" x14ac:dyDescent="0.35">
      <c r="A748" s="6">
        <v>746</v>
      </c>
      <c r="B748" s="3">
        <v>45994</v>
      </c>
      <c r="C748" s="2">
        <v>149.77000000000001</v>
      </c>
      <c r="D748" s="2">
        <v>151.43</v>
      </c>
      <c r="E748" s="2">
        <v>149.1</v>
      </c>
      <c r="F748" s="2">
        <v>149.26</v>
      </c>
      <c r="G748" s="1">
        <v>2163067</v>
      </c>
      <c r="H748" s="2">
        <f t="shared" si="26"/>
        <v>140.24</v>
      </c>
      <c r="I748" s="2">
        <f t="shared" si="27"/>
        <v>160.27000000000001</v>
      </c>
      <c r="J748" s="22">
        <f>100*(testdata4[[#This Row],[close]]-testdata4[[#This Row],[LL]])/(testdata4[[#This Row],[HH]]-testdata4[[#This Row],[LL]])</f>
        <v>45.032451323015387</v>
      </c>
      <c r="K748" s="22">
        <f>testdata4[[#This Row],[K(14)'']]</f>
        <v>45.032451323015387</v>
      </c>
      <c r="L748" s="22">
        <f>testdata4[[#This Row],[%K]]-100</f>
        <v>-54.967548676984613</v>
      </c>
      <c r="N748" s="12">
        <v>746</v>
      </c>
      <c r="O748" s="13">
        <v>45994</v>
      </c>
      <c r="P748" s="23" t="s">
        <v>749</v>
      </c>
      <c r="Q748" s="22">
        <f>IF(testdata4[[#This Row],[%R]]&lt;&gt;Table25[[#This Row],[%R]],testdata4[[#This Row],[%R]]-Table25[[#This Row],[%R]],"")</f>
        <v>-1.4210854715202004E-14</v>
      </c>
      <c r="R748" s="11" t="str">
        <f>IF(OR(Table25[[#This Row],[%R]]&lt;-100,Table25[[#This Row],[%R]]&gt;0),"RANGE_ERR","")</f>
        <v>RANGE_ERR</v>
      </c>
    </row>
    <row r="749" spans="1:18" x14ac:dyDescent="0.35">
      <c r="A749" s="6">
        <v>747</v>
      </c>
      <c r="B749" s="3">
        <v>45995</v>
      </c>
      <c r="C749" s="2">
        <v>149.26</v>
      </c>
      <c r="D749" s="2">
        <v>149.80000000000001</v>
      </c>
      <c r="E749" s="2">
        <v>144.22</v>
      </c>
      <c r="F749" s="2">
        <v>148.32</v>
      </c>
      <c r="G749" s="1">
        <v>2865181</v>
      </c>
      <c r="H749" s="2">
        <f t="shared" si="26"/>
        <v>140.24</v>
      </c>
      <c r="I749" s="2">
        <f t="shared" si="27"/>
        <v>160.27000000000001</v>
      </c>
      <c r="J749" s="22">
        <f>100*(testdata4[[#This Row],[close]]-testdata4[[#This Row],[LL]])/(testdata4[[#This Row],[HH]]-testdata4[[#This Row],[LL]])</f>
        <v>40.339490763854137</v>
      </c>
      <c r="K749" s="22">
        <f>testdata4[[#This Row],[K(14)'']]</f>
        <v>40.339490763854137</v>
      </c>
      <c r="L749" s="22">
        <f>testdata4[[#This Row],[%K]]-100</f>
        <v>-59.660509236145863</v>
      </c>
      <c r="N749" s="12">
        <v>747</v>
      </c>
      <c r="O749" s="13">
        <v>45995</v>
      </c>
      <c r="P749" s="23" t="s">
        <v>750</v>
      </c>
      <c r="Q749" s="22">
        <f>IF(testdata4[[#This Row],[%R]]&lt;&gt;Table25[[#This Row],[%R]],testdata4[[#This Row],[%R]]-Table25[[#This Row],[%R]],"")</f>
        <v>-6.3948846218409017E-14</v>
      </c>
      <c r="R749" s="11" t="str">
        <f>IF(OR(Table25[[#This Row],[%R]]&lt;-100,Table25[[#This Row],[%R]]&gt;0),"RANGE_ERR","")</f>
        <v>RANGE_ERR</v>
      </c>
    </row>
    <row r="750" spans="1:18" x14ac:dyDescent="0.35">
      <c r="A750" s="6">
        <v>748</v>
      </c>
      <c r="B750" s="3">
        <v>45996</v>
      </c>
      <c r="C750" s="2">
        <v>148.79</v>
      </c>
      <c r="D750" s="2">
        <v>149</v>
      </c>
      <c r="E750" s="2">
        <v>144.76</v>
      </c>
      <c r="F750" s="2">
        <v>145.49</v>
      </c>
      <c r="G750" s="1">
        <v>2142102</v>
      </c>
      <c r="H750" s="2">
        <f t="shared" si="26"/>
        <v>140.24</v>
      </c>
      <c r="I750" s="2">
        <f t="shared" si="27"/>
        <v>160.27000000000001</v>
      </c>
      <c r="J750" s="22">
        <f>100*(testdata4[[#This Row],[close]]-testdata4[[#This Row],[LL]])/(testdata4[[#This Row],[HH]]-testdata4[[#This Row],[LL]])</f>
        <v>26.21068397403894</v>
      </c>
      <c r="K750" s="22">
        <f>testdata4[[#This Row],[K(14)'']]</f>
        <v>26.21068397403894</v>
      </c>
      <c r="L750" s="22">
        <f>testdata4[[#This Row],[%K]]-100</f>
        <v>-73.789316025961057</v>
      </c>
      <c r="N750" s="12">
        <v>748</v>
      </c>
      <c r="O750" s="13">
        <v>45996</v>
      </c>
      <c r="P750" s="23" t="s">
        <v>751</v>
      </c>
      <c r="Q750" s="22">
        <f>IF(testdata4[[#This Row],[%R]]&lt;&gt;Table25[[#This Row],[%R]],testdata4[[#This Row],[%R]]-Table25[[#This Row],[%R]],"")</f>
        <v>-5.6843418860808015E-14</v>
      </c>
      <c r="R750" s="11" t="str">
        <f>IF(OR(Table25[[#This Row],[%R]]&lt;-100,Table25[[#This Row],[%R]]&gt;0),"RANGE_ERR","")</f>
        <v>RANGE_ERR</v>
      </c>
    </row>
  </sheetData>
  <pageMargins left="0.7" right="0.7" top="0.75" bottom="0.75" header="0.3" footer="0.3"/>
  <pageSetup orientation="portrait" r:id="rId1"/>
  <ignoredErrors>
    <ignoredError sqref="H15:I503" formulaRange="1"/>
    <ignoredError sqref="P15:P750" numberStoredAsText="1"/>
  </ignoredErrors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WilliamsR(14)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Skender</dc:creator>
  <cp:lastModifiedBy>Dave Skender</cp:lastModifiedBy>
  <dcterms:created xsi:type="dcterms:W3CDTF">2019-12-18T23:39:37Z</dcterms:created>
  <dcterms:modified xsi:type="dcterms:W3CDTF">2025-12-08T14:12:31Z</dcterms:modified>
</cp:coreProperties>
</file>