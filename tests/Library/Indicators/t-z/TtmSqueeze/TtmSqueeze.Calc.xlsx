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TM Squeez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TrueRange</t>
        </is>
      </c>
      <c r="I1" s="1" t="inlineStr">
        <is>
          <t>Sma20</t>
        </is>
      </c>
      <c r="J1" s="1" t="inlineStr">
        <is>
          <t>StdDev20</t>
        </is>
      </c>
      <c r="K1" s="1" t="inlineStr">
        <is>
          <t>Atr20</t>
        </is>
      </c>
      <c r="L1" s="1" t="inlineStr">
        <is>
          <t>UpperBB</t>
        </is>
      </c>
      <c r="M1" s="1" t="inlineStr">
        <is>
          <t>LowerBB</t>
        </is>
      </c>
      <c r="N1" s="1" t="inlineStr">
        <is>
          <t>UpperKC</t>
        </is>
      </c>
      <c r="O1" s="1" t="inlineStr">
        <is>
          <t>LowerKC</t>
        </is>
      </c>
      <c r="P1" s="1" t="inlineStr">
        <is>
          <t>IsSqueezeOn</t>
        </is>
      </c>
      <c r="Q1" s="1" t="inlineStr">
        <is>
          <t>HighestHigh20</t>
        </is>
      </c>
      <c r="R1" s="1" t="inlineStr">
        <is>
          <t>LowestLow20</t>
        </is>
      </c>
      <c r="S1" s="1" t="inlineStr">
        <is>
          <t>Delta</t>
        </is>
      </c>
      <c r="T1" s="1" t="inlineStr">
        <is>
          <t>Momentum</t>
        </is>
      </c>
    </row>
    <row r="2">
      <c r="A2" t="n">
        <v>0</v>
      </c>
      <c r="B2" s="2" t="n">
        <v>42738</v>
      </c>
      <c r="C2" t="n">
        <v>212.61</v>
      </c>
      <c r="D2" t="n">
        <v>213.35</v>
      </c>
      <c r="E2" t="n">
        <v>211.52</v>
      </c>
      <c r="F2" t="n">
        <v>212.8</v>
      </c>
      <c r="G2" t="n">
        <v>96708880</v>
      </c>
    </row>
    <row r="3">
      <c r="A3" t="n">
        <v>1</v>
      </c>
      <c r="B3" s="2" t="n">
        <v>42739</v>
      </c>
      <c r="C3" t="n">
        <v>213.16</v>
      </c>
      <c r="D3" t="n">
        <v>214.22</v>
      </c>
      <c r="E3" t="n">
        <v>213.15</v>
      </c>
      <c r="F3" t="n">
        <v>214.06</v>
      </c>
      <c r="G3" t="n">
        <v>83348752</v>
      </c>
      <c r="H3">
        <f>MAX(D3-E3,ABS(D3-F2),ABS(E3-F2))</f>
        <v/>
      </c>
    </row>
    <row r="4">
      <c r="A4" t="n">
        <v>2</v>
      </c>
      <c r="B4" s="2" t="n">
        <v>42740</v>
      </c>
      <c r="C4" t="n">
        <v>213.77</v>
      </c>
      <c r="D4" t="n">
        <v>214.06</v>
      </c>
      <c r="E4" t="n">
        <v>213.02</v>
      </c>
      <c r="F4" t="n">
        <v>213.89</v>
      </c>
      <c r="G4" t="n">
        <v>82961968</v>
      </c>
      <c r="H4">
        <f>MAX(D4-E4,ABS(D4-F3),ABS(E4-F3))</f>
        <v/>
      </c>
    </row>
    <row r="5">
      <c r="A5" t="n">
        <v>3</v>
      </c>
      <c r="B5" s="2" t="n">
        <v>42741</v>
      </c>
      <c r="C5" t="n">
        <v>214.02</v>
      </c>
      <c r="D5" t="n">
        <v>215.17</v>
      </c>
      <c r="E5" t="n">
        <v>213.42</v>
      </c>
      <c r="F5" t="n">
        <v>214.66</v>
      </c>
      <c r="G5" t="n">
        <v>75744152</v>
      </c>
      <c r="H5">
        <f>MAX(D5-E5,ABS(D5-F4),ABS(E5-F4))</f>
        <v/>
      </c>
    </row>
    <row r="6">
      <c r="A6" t="n">
        <v>4</v>
      </c>
      <c r="B6" s="2" t="n">
        <v>42744</v>
      </c>
      <c r="C6" t="n">
        <v>214.38</v>
      </c>
      <c r="D6" t="n">
        <v>214.53</v>
      </c>
      <c r="E6" t="n">
        <v>213.91</v>
      </c>
      <c r="F6" t="n">
        <v>213.95</v>
      </c>
      <c r="G6" t="n">
        <v>49684316</v>
      </c>
      <c r="H6">
        <f>MAX(D6-E6,ABS(D6-F5),ABS(E6-F5))</f>
        <v/>
      </c>
    </row>
    <row r="7">
      <c r="A7" t="n">
        <v>5</v>
      </c>
      <c r="B7" s="2" t="n">
        <v>42745</v>
      </c>
      <c r="C7" t="n">
        <v>213.97</v>
      </c>
      <c r="D7" t="n">
        <v>214.89</v>
      </c>
      <c r="E7" t="n">
        <v>213.52</v>
      </c>
      <c r="F7" t="n">
        <v>213.95</v>
      </c>
      <c r="G7" t="n">
        <v>67500792</v>
      </c>
      <c r="H7">
        <f>MAX(D7-E7,ABS(D7-F6),ABS(E7-F6))</f>
        <v/>
      </c>
    </row>
    <row r="8">
      <c r="A8" t="n">
        <v>6</v>
      </c>
      <c r="B8" s="2" t="n">
        <v>42746</v>
      </c>
      <c r="C8" t="n">
        <v>213.86</v>
      </c>
      <c r="D8" t="n">
        <v>214.55</v>
      </c>
      <c r="E8" t="n">
        <v>213.13</v>
      </c>
      <c r="F8" t="n">
        <v>214.55</v>
      </c>
      <c r="G8" t="n">
        <v>79014928</v>
      </c>
      <c r="H8">
        <f>MAX(D8-E8,ABS(D8-F7),ABS(E8-F7))</f>
        <v/>
      </c>
    </row>
    <row r="9">
      <c r="A9" t="n">
        <v>7</v>
      </c>
      <c r="B9" s="2" t="n">
        <v>42747</v>
      </c>
      <c r="C9" t="n">
        <v>213.99</v>
      </c>
      <c r="D9" t="n">
        <v>214.22</v>
      </c>
      <c r="E9" t="n">
        <v>212.53</v>
      </c>
      <c r="F9" t="n">
        <v>214.02</v>
      </c>
      <c r="G9" t="n">
        <v>76329760</v>
      </c>
      <c r="H9">
        <f>MAX(D9-E9,ABS(D9-F8),ABS(E9-F8))</f>
        <v/>
      </c>
    </row>
    <row r="10">
      <c r="A10" t="n">
        <v>8</v>
      </c>
      <c r="B10" s="2" t="n">
        <v>42748</v>
      </c>
      <c r="C10" t="n">
        <v>214.21</v>
      </c>
      <c r="D10" t="n">
        <v>214.84</v>
      </c>
      <c r="E10" t="n">
        <v>214.17</v>
      </c>
      <c r="F10" t="n">
        <v>214.51</v>
      </c>
      <c r="G10" t="n">
        <v>66385084</v>
      </c>
      <c r="H10">
        <f>MAX(D10-E10,ABS(D10-F9),ABS(E10-F9))</f>
        <v/>
      </c>
    </row>
    <row r="11">
      <c r="A11" t="n">
        <v>9</v>
      </c>
      <c r="B11" s="2" t="n">
        <v>42752</v>
      </c>
      <c r="C11" t="n">
        <v>213.81</v>
      </c>
      <c r="D11" t="n">
        <v>214.25</v>
      </c>
      <c r="E11" t="n">
        <v>213.33</v>
      </c>
      <c r="F11" t="n">
        <v>213.75</v>
      </c>
      <c r="G11" t="n">
        <v>64821664</v>
      </c>
      <c r="H11">
        <f>MAX(D11-E11,ABS(D11-F10),ABS(E11-F10))</f>
        <v/>
      </c>
    </row>
    <row r="12">
      <c r="A12" t="n">
        <v>10</v>
      </c>
      <c r="B12" s="2" t="n">
        <v>42753</v>
      </c>
      <c r="C12" t="n">
        <v>214.02</v>
      </c>
      <c r="D12" t="n">
        <v>214.27</v>
      </c>
      <c r="E12" t="n">
        <v>213.42</v>
      </c>
      <c r="F12" t="n">
        <v>214.22</v>
      </c>
      <c r="G12" t="n">
        <v>57997156</v>
      </c>
      <c r="H12">
        <f>MAX(D12-E12,ABS(D12-F11),ABS(E12-F11))</f>
        <v/>
      </c>
    </row>
    <row r="13">
      <c r="A13" t="n">
        <v>11</v>
      </c>
      <c r="B13" s="2" t="n">
        <v>42754</v>
      </c>
      <c r="C13" t="n">
        <v>214.31</v>
      </c>
      <c r="D13" t="n">
        <v>214.46</v>
      </c>
      <c r="E13" t="n">
        <v>212.96</v>
      </c>
      <c r="F13" t="n">
        <v>213.43</v>
      </c>
      <c r="G13" t="n">
        <v>70503512</v>
      </c>
      <c r="H13">
        <f>MAX(D13-E13,ABS(D13-F12),ABS(E13-F12))</f>
        <v/>
      </c>
    </row>
    <row r="14">
      <c r="A14" t="n">
        <v>12</v>
      </c>
      <c r="B14" s="2" t="n">
        <v>42755</v>
      </c>
      <c r="C14" t="n">
        <v>214.18</v>
      </c>
      <c r="D14" t="n">
        <v>214.75</v>
      </c>
      <c r="E14" t="n">
        <v>213.49</v>
      </c>
      <c r="F14" t="n">
        <v>214.21</v>
      </c>
      <c r="G14" t="n">
        <v>136721344</v>
      </c>
      <c r="H14">
        <f>MAX(D14-E14,ABS(D14-F13),ABS(E14-F13))</f>
        <v/>
      </c>
    </row>
    <row r="15">
      <c r="A15" t="n">
        <v>13</v>
      </c>
      <c r="B15" s="2" t="n">
        <v>42758</v>
      </c>
      <c r="C15" t="n">
        <v>213.85</v>
      </c>
      <c r="D15" t="n">
        <v>214.28</v>
      </c>
      <c r="E15" t="n">
        <v>212.83</v>
      </c>
      <c r="F15" t="n">
        <v>213.66</v>
      </c>
      <c r="G15" t="n">
        <v>79450624</v>
      </c>
      <c r="H15">
        <f>MAX(D15-E15,ABS(D15-F14),ABS(E15-F14))</f>
        <v/>
      </c>
    </row>
    <row r="16">
      <c r="A16" t="n">
        <v>14</v>
      </c>
      <c r="B16" s="2" t="n">
        <v>42759</v>
      </c>
      <c r="C16" t="n">
        <v>213.89</v>
      </c>
      <c r="D16" t="n">
        <v>215.48</v>
      </c>
      <c r="E16" t="n">
        <v>213.77</v>
      </c>
      <c r="F16" t="n">
        <v>215.03</v>
      </c>
      <c r="G16" t="n">
        <v>101142584</v>
      </c>
      <c r="H16">
        <f>MAX(D16-E16,ABS(D16-F15),ABS(E16-F15))</f>
        <v/>
      </c>
    </row>
    <row r="17">
      <c r="A17" t="n">
        <v>15</v>
      </c>
      <c r="B17" s="2" t="n">
        <v>42760</v>
      </c>
      <c r="C17" t="n">
        <v>216.07</v>
      </c>
      <c r="D17" t="n">
        <v>216.89</v>
      </c>
      <c r="E17" t="n">
        <v>215.89</v>
      </c>
      <c r="F17" t="n">
        <v>216.89</v>
      </c>
      <c r="G17" t="n">
        <v>89374928</v>
      </c>
      <c r="H17">
        <f>MAX(D17-E17,ABS(D17-F16),ABS(E17-F16))</f>
        <v/>
      </c>
    </row>
    <row r="18">
      <c r="A18" t="n">
        <v>16</v>
      </c>
      <c r="B18" s="2" t="n">
        <v>42761</v>
      </c>
      <c r="C18" t="n">
        <v>216.73</v>
      </c>
      <c r="D18" t="n">
        <v>217.02</v>
      </c>
      <c r="E18" t="n">
        <v>216.36</v>
      </c>
      <c r="F18" t="n">
        <v>216.66</v>
      </c>
      <c r="G18" t="n">
        <v>63477304</v>
      </c>
      <c r="H18">
        <f>MAX(D18-E18,ABS(D18-F17),ABS(E18-F17))</f>
        <v/>
      </c>
    </row>
    <row r="19">
      <c r="A19" t="n">
        <v>17</v>
      </c>
      <c r="B19" s="2" t="n">
        <v>42762</v>
      </c>
      <c r="C19" t="n">
        <v>216.75</v>
      </c>
      <c r="D19" t="n">
        <v>216.91</v>
      </c>
      <c r="E19" t="n">
        <v>216.12</v>
      </c>
      <c r="F19" t="n">
        <v>216.32</v>
      </c>
      <c r="G19" t="n">
        <v>63202528</v>
      </c>
      <c r="H19">
        <f>MAX(D19-E19,ABS(D19-F18),ABS(E19-F18))</f>
        <v/>
      </c>
    </row>
    <row r="20">
      <c r="A20" t="n">
        <v>18</v>
      </c>
      <c r="B20" s="2" t="n">
        <v>42765</v>
      </c>
      <c r="C20" t="n">
        <v>215.57</v>
      </c>
      <c r="D20" t="n">
        <v>215.59</v>
      </c>
      <c r="E20" t="n">
        <v>213.9</v>
      </c>
      <c r="F20" t="n">
        <v>214.98</v>
      </c>
      <c r="G20" t="n">
        <v>84399624</v>
      </c>
      <c r="H20">
        <f>MAX(D20-E20,ABS(D20-F19),ABS(E20-F19))</f>
        <v/>
      </c>
    </row>
    <row r="21">
      <c r="A21" t="n">
        <v>19</v>
      </c>
      <c r="B21" s="2" t="n">
        <v>42766</v>
      </c>
      <c r="C21" t="n">
        <v>214.44</v>
      </c>
      <c r="D21" t="n">
        <v>215.03</v>
      </c>
      <c r="E21" t="n">
        <v>213.82</v>
      </c>
      <c r="F21" t="n">
        <v>214.96</v>
      </c>
      <c r="G21" t="n">
        <v>80317680</v>
      </c>
      <c r="H21">
        <f>MAX(D21-E21,ABS(D21-F20),ABS(E21-F20))</f>
        <v/>
      </c>
      <c r="I21">
        <f>AVERAGE(F2:F21)</f>
        <v/>
      </c>
      <c r="J21">
        <f>STDEVP(F2:F21)</f>
        <v/>
      </c>
      <c r="L21">
        <f>I21+2.0*J21</f>
        <v/>
      </c>
      <c r="M21">
        <f>I21-2.0*J21</f>
        <v/>
      </c>
      <c r="Q21">
        <f>MAX(D2:D21)</f>
        <v/>
      </c>
      <c r="R21">
        <f>MIN(E2:E21)</f>
        <v/>
      </c>
      <c r="S21">
        <f>F21-((Q21+R21)/2+I21)/2</f>
        <v/>
      </c>
    </row>
    <row r="22">
      <c r="A22" t="n">
        <v>20</v>
      </c>
      <c r="B22" s="2" t="n">
        <v>42767</v>
      </c>
      <c r="C22" t="n">
        <v>215.65</v>
      </c>
      <c r="D22" t="n">
        <v>215.96</v>
      </c>
      <c r="E22" t="n">
        <v>214.4</v>
      </c>
      <c r="F22" t="n">
        <v>215.05</v>
      </c>
      <c r="G22" t="n">
        <v>83743792</v>
      </c>
      <c r="H22">
        <f>MAX(D22-E22,ABS(D22-F21),ABS(E22-F21))</f>
        <v/>
      </c>
      <c r="I22">
        <f>AVERAGE(F3:F22)</f>
        <v/>
      </c>
      <c r="J22">
        <f>STDEVP(F3:F22)</f>
        <v/>
      </c>
      <c r="K22">
        <f>AVERAGE(H3:H22)</f>
        <v/>
      </c>
      <c r="L22">
        <f>I22+2.0*J22</f>
        <v/>
      </c>
      <c r="M22">
        <f>I22-2.0*J22</f>
        <v/>
      </c>
      <c r="N22">
        <f>I22+1.5*K22</f>
        <v/>
      </c>
      <c r="O22">
        <f>I22-1.5*K22</f>
        <v/>
      </c>
      <c r="P22">
        <f>AND(L22&lt;N22,M22&gt;O22)</f>
        <v/>
      </c>
      <c r="Q22">
        <f>MAX(D3:D22)</f>
        <v/>
      </c>
      <c r="R22">
        <f>MIN(E3:E22)</f>
        <v/>
      </c>
      <c r="S22">
        <f>F22-((Q22+R22)/2+I22)/2</f>
        <v/>
      </c>
    </row>
    <row r="23">
      <c r="A23" t="n">
        <v>21</v>
      </c>
      <c r="B23" s="2" t="n">
        <v>42768</v>
      </c>
      <c r="C23" t="n">
        <v>214.65</v>
      </c>
      <c r="D23" t="n">
        <v>215.5</v>
      </c>
      <c r="E23" t="n">
        <v>214.29</v>
      </c>
      <c r="F23" t="n">
        <v>215.19</v>
      </c>
      <c r="G23" t="n">
        <v>73730552</v>
      </c>
      <c r="H23">
        <f>MAX(D23-E23,ABS(D23-F22),ABS(E23-F22))</f>
        <v/>
      </c>
      <c r="I23">
        <f>AVERAGE(F4:F23)</f>
        <v/>
      </c>
      <c r="J23">
        <f>STDEVP(F4:F23)</f>
        <v/>
      </c>
      <c r="K23">
        <f>AVERAGE(H4:H23)</f>
        <v/>
      </c>
      <c r="L23">
        <f>I23+2.0*J23</f>
        <v/>
      </c>
      <c r="M23">
        <f>I23-2.0*J23</f>
        <v/>
      </c>
      <c r="N23">
        <f>I23+1.5*K23</f>
        <v/>
      </c>
      <c r="O23">
        <f>I23-1.5*K23</f>
        <v/>
      </c>
      <c r="P23">
        <f>AND(L23&lt;N23,M23&gt;O23)</f>
        <v/>
      </c>
      <c r="Q23">
        <f>MAX(D4:D23)</f>
        <v/>
      </c>
      <c r="R23">
        <f>MIN(E4:E23)</f>
        <v/>
      </c>
      <c r="S23">
        <f>F23-((Q23+R23)/2+I23)/2</f>
        <v/>
      </c>
    </row>
    <row r="24">
      <c r="A24" t="n">
        <v>22</v>
      </c>
      <c r="B24" s="2" t="n">
        <v>42769</v>
      </c>
      <c r="C24" t="n">
        <v>216.18</v>
      </c>
      <c r="D24" t="n">
        <v>216.87</v>
      </c>
      <c r="E24" t="n">
        <v>215.84</v>
      </c>
      <c r="F24" t="n">
        <v>216.67</v>
      </c>
      <c r="G24" t="n">
        <v>85273832</v>
      </c>
      <c r="H24">
        <f>MAX(D24-E24,ABS(D24-F23),ABS(E24-F23))</f>
        <v/>
      </c>
      <c r="I24">
        <f>AVERAGE(F5:F24)</f>
        <v/>
      </c>
      <c r="J24">
        <f>STDEVP(F5:F24)</f>
        <v/>
      </c>
      <c r="K24">
        <f>AVERAGE(H5:H24)</f>
        <v/>
      </c>
      <c r="L24">
        <f>I24+2.0*J24</f>
        <v/>
      </c>
      <c r="M24">
        <f>I24-2.0*J24</f>
        <v/>
      </c>
      <c r="N24">
        <f>I24+1.5*K24</f>
        <v/>
      </c>
      <c r="O24">
        <f>I24-1.5*K24</f>
        <v/>
      </c>
      <c r="P24">
        <f>AND(L24&lt;N24,M24&gt;O24)</f>
        <v/>
      </c>
      <c r="Q24">
        <f>MAX(D5:D24)</f>
        <v/>
      </c>
      <c r="R24">
        <f>MIN(E5:E24)</f>
        <v/>
      </c>
      <c r="S24">
        <f>F24-((Q24+R24)/2+I24)/2</f>
        <v/>
      </c>
    </row>
    <row r="25">
      <c r="A25" t="n">
        <v>23</v>
      </c>
      <c r="B25" s="2" t="n">
        <v>42772</v>
      </c>
      <c r="C25" t="n">
        <v>216.23</v>
      </c>
      <c r="D25" t="n">
        <v>216.66</v>
      </c>
      <c r="E25" t="n">
        <v>215.92</v>
      </c>
      <c r="F25" t="n">
        <v>216.28</v>
      </c>
      <c r="G25" t="n">
        <v>61169192</v>
      </c>
      <c r="H25">
        <f>MAX(D25-E25,ABS(D25-F24),ABS(E25-F24))</f>
        <v/>
      </c>
      <c r="I25">
        <f>AVERAGE(F6:F25)</f>
        <v/>
      </c>
      <c r="J25">
        <f>STDEVP(F6:F25)</f>
        <v/>
      </c>
      <c r="K25">
        <f>AVERAGE(H6:H25)</f>
        <v/>
      </c>
      <c r="L25">
        <f>I25+2.0*J25</f>
        <v/>
      </c>
      <c r="M25">
        <f>I25-2.0*J25</f>
        <v/>
      </c>
      <c r="N25">
        <f>I25+1.5*K25</f>
        <v/>
      </c>
      <c r="O25">
        <f>I25-1.5*K25</f>
        <v/>
      </c>
      <c r="P25">
        <f>AND(L25&lt;N25,M25&gt;O25)</f>
        <v/>
      </c>
      <c r="Q25">
        <f>MAX(D6:D25)</f>
        <v/>
      </c>
      <c r="R25">
        <f>MIN(E6:E25)</f>
        <v/>
      </c>
      <c r="S25">
        <f>F25-((Q25+R25)/2+I25)/2</f>
        <v/>
      </c>
    </row>
    <row r="26">
      <c r="A26" t="n">
        <v>24</v>
      </c>
      <c r="B26" s="2" t="n">
        <v>42773</v>
      </c>
      <c r="C26" t="n">
        <v>216.71</v>
      </c>
      <c r="D26" t="n">
        <v>216.97</v>
      </c>
      <c r="E26" t="n">
        <v>216.09</v>
      </c>
      <c r="F26" t="n">
        <v>216.29</v>
      </c>
      <c r="G26" t="n">
        <v>61318484</v>
      </c>
      <c r="H26">
        <f>MAX(D26-E26,ABS(D26-F25),ABS(E26-F25))</f>
        <v/>
      </c>
      <c r="I26">
        <f>AVERAGE(F7:F26)</f>
        <v/>
      </c>
      <c r="J26">
        <f>STDEVP(F7:F26)</f>
        <v/>
      </c>
      <c r="K26">
        <f>AVERAGE(H7:H26)</f>
        <v/>
      </c>
      <c r="L26">
        <f>I26+2.0*J26</f>
        <v/>
      </c>
      <c r="M26">
        <f>I26-2.0*J26</f>
        <v/>
      </c>
      <c r="N26">
        <f>I26+1.5*K26</f>
        <v/>
      </c>
      <c r="O26">
        <f>I26-1.5*K26</f>
        <v/>
      </c>
      <c r="P26">
        <f>AND(L26&lt;N26,M26&gt;O26)</f>
        <v/>
      </c>
      <c r="Q26">
        <f>MAX(D7:D26)</f>
        <v/>
      </c>
      <c r="R26">
        <f>MIN(E7:E26)</f>
        <v/>
      </c>
      <c r="S26">
        <f>F26-((Q26+R26)/2+I26)/2</f>
        <v/>
      </c>
    </row>
    <row r="27">
      <c r="A27" t="n">
        <v>25</v>
      </c>
      <c r="B27" s="2" t="n">
        <v>42774</v>
      </c>
      <c r="C27" t="n">
        <v>215.98</v>
      </c>
      <c r="D27" t="n">
        <v>216.72</v>
      </c>
      <c r="E27" t="n">
        <v>215.7</v>
      </c>
      <c r="F27" t="n">
        <v>216.58</v>
      </c>
      <c r="G27" t="n">
        <v>54581376</v>
      </c>
      <c r="H27">
        <f>MAX(D27-E27,ABS(D27-F26),ABS(E27-F26))</f>
        <v/>
      </c>
      <c r="I27">
        <f>AVERAGE(F8:F27)</f>
        <v/>
      </c>
      <c r="J27">
        <f>STDEVP(F8:F27)</f>
        <v/>
      </c>
      <c r="K27">
        <f>AVERAGE(H8:H27)</f>
        <v/>
      </c>
      <c r="L27">
        <f>I27+2.0*J27</f>
        <v/>
      </c>
      <c r="M27">
        <f>I27-2.0*J27</f>
        <v/>
      </c>
      <c r="N27">
        <f>I27+1.5*K27</f>
        <v/>
      </c>
      <c r="O27">
        <f>I27-1.5*K27</f>
        <v/>
      </c>
      <c r="P27">
        <f>AND(L27&lt;N27,M27&gt;O27)</f>
        <v/>
      </c>
      <c r="Q27">
        <f>MAX(D8:D27)</f>
        <v/>
      </c>
      <c r="R27">
        <f>MIN(E8:E27)</f>
        <v/>
      </c>
      <c r="S27">
        <f>F27-((Q27+R27)/2+I27)/2</f>
        <v/>
      </c>
    </row>
    <row r="28">
      <c r="A28" t="n">
        <v>26</v>
      </c>
      <c r="B28" s="2" t="n">
        <v>42775</v>
      </c>
      <c r="C28" t="n">
        <v>216.88</v>
      </c>
      <c r="D28" t="n">
        <v>218.19</v>
      </c>
      <c r="E28" t="n">
        <v>216.84</v>
      </c>
      <c r="F28" t="n">
        <v>217.86</v>
      </c>
      <c r="G28" t="n">
        <v>69811760</v>
      </c>
      <c r="H28">
        <f>MAX(D28-E28,ABS(D28-F27),ABS(E28-F27))</f>
        <v/>
      </c>
      <c r="I28">
        <f>AVERAGE(F9:F28)</f>
        <v/>
      </c>
      <c r="J28">
        <f>STDEVP(F9:F28)</f>
        <v/>
      </c>
      <c r="K28">
        <f>AVERAGE(H9:H28)</f>
        <v/>
      </c>
      <c r="L28">
        <f>I28+2.0*J28</f>
        <v/>
      </c>
      <c r="M28">
        <f>I28-2.0*J28</f>
        <v/>
      </c>
      <c r="N28">
        <f>I28+1.5*K28</f>
        <v/>
      </c>
      <c r="O28">
        <f>I28-1.5*K28</f>
        <v/>
      </c>
      <c r="P28">
        <f>AND(L28&lt;N28,M28&gt;O28)</f>
        <v/>
      </c>
      <c r="Q28">
        <f>MAX(D9:D28)</f>
        <v/>
      </c>
      <c r="R28">
        <f>MIN(E9:E28)</f>
        <v/>
      </c>
      <c r="S28">
        <f>F28-((Q28+R28)/2+I28)/2</f>
        <v/>
      </c>
    </row>
    <row r="29">
      <c r="A29" t="n">
        <v>27</v>
      </c>
      <c r="B29" s="2" t="n">
        <v>42776</v>
      </c>
      <c r="C29" t="n">
        <v>218.24</v>
      </c>
      <c r="D29" t="n">
        <v>218.97</v>
      </c>
      <c r="E29" t="n">
        <v>217.88</v>
      </c>
      <c r="F29" t="n">
        <v>218.72</v>
      </c>
      <c r="G29" t="n">
        <v>69875952</v>
      </c>
      <c r="H29">
        <f>MAX(D29-E29,ABS(D29-F28),ABS(E29-F28))</f>
        <v/>
      </c>
      <c r="I29">
        <f>AVERAGE(F10:F29)</f>
        <v/>
      </c>
      <c r="J29">
        <f>STDEVP(F10:F29)</f>
        <v/>
      </c>
      <c r="K29">
        <f>AVERAGE(H10:H29)</f>
        <v/>
      </c>
      <c r="L29">
        <f>I29+2.0*J29</f>
        <v/>
      </c>
      <c r="M29">
        <f>I29-2.0*J29</f>
        <v/>
      </c>
      <c r="N29">
        <f>I29+1.5*K29</f>
        <v/>
      </c>
      <c r="O29">
        <f>I29-1.5*K29</f>
        <v/>
      </c>
      <c r="P29">
        <f>AND(L29&lt;N29,M29&gt;O29)</f>
        <v/>
      </c>
      <c r="Q29">
        <f>MAX(D10:D29)</f>
        <v/>
      </c>
      <c r="R29">
        <f>MIN(E10:E29)</f>
        <v/>
      </c>
      <c r="S29">
        <f>F29-((Q29+R29)/2+I29)/2</f>
        <v/>
      </c>
    </row>
    <row r="30">
      <c r="A30" t="n">
        <v>28</v>
      </c>
      <c r="B30" s="2" t="n">
        <v>42779</v>
      </c>
      <c r="C30" t="n">
        <v>219.26</v>
      </c>
      <c r="D30" t="n">
        <v>220.19</v>
      </c>
      <c r="E30" t="n">
        <v>219.23</v>
      </c>
      <c r="F30" t="n">
        <v>219.91</v>
      </c>
      <c r="G30" t="n">
        <v>58408632</v>
      </c>
      <c r="H30">
        <f>MAX(D30-E30,ABS(D30-F29),ABS(E30-F29))</f>
        <v/>
      </c>
      <c r="I30">
        <f>AVERAGE(F11:F30)</f>
        <v/>
      </c>
      <c r="J30">
        <f>STDEVP(F11:F30)</f>
        <v/>
      </c>
      <c r="K30">
        <f>AVERAGE(H11:H30)</f>
        <v/>
      </c>
      <c r="L30">
        <f>I30+2.0*J30</f>
        <v/>
      </c>
      <c r="M30">
        <f>I30-2.0*J30</f>
        <v/>
      </c>
      <c r="N30">
        <f>I30+1.5*K30</f>
        <v/>
      </c>
      <c r="O30">
        <f>I30-1.5*K30</f>
        <v/>
      </c>
      <c r="P30">
        <f>AND(L30&lt;N30,M30&gt;O30)</f>
        <v/>
      </c>
      <c r="Q30">
        <f>MAX(D11:D30)</f>
        <v/>
      </c>
      <c r="R30">
        <f>MIN(E11:E30)</f>
        <v/>
      </c>
      <c r="S30">
        <f>F30-((Q30+R30)/2+I30)/2</f>
        <v/>
      </c>
    </row>
    <row r="31">
      <c r="A31" t="n">
        <v>29</v>
      </c>
      <c r="B31" s="2" t="n">
        <v>42780</v>
      </c>
      <c r="C31" t="n">
        <v>219.71</v>
      </c>
      <c r="D31" t="n">
        <v>220.8</v>
      </c>
      <c r="E31" t="n">
        <v>219.33</v>
      </c>
      <c r="F31" t="n">
        <v>220.79</v>
      </c>
      <c r="G31" t="n">
        <v>75266840</v>
      </c>
      <c r="H31">
        <f>MAX(D31-E31,ABS(D31-F30),ABS(E31-F30))</f>
        <v/>
      </c>
      <c r="I31">
        <f>AVERAGE(F12:F31)</f>
        <v/>
      </c>
      <c r="J31">
        <f>STDEVP(F12:F31)</f>
        <v/>
      </c>
      <c r="K31">
        <f>AVERAGE(H12:H31)</f>
        <v/>
      </c>
      <c r="L31">
        <f>I31+2.0*J31</f>
        <v/>
      </c>
      <c r="M31">
        <f>I31-2.0*J31</f>
        <v/>
      </c>
      <c r="N31">
        <f>I31+1.5*K31</f>
        <v/>
      </c>
      <c r="O31">
        <f>I31-1.5*K31</f>
        <v/>
      </c>
      <c r="P31">
        <f>AND(L31&lt;N31,M31&gt;O31)</f>
        <v/>
      </c>
      <c r="Q31">
        <f>MAX(D12:D31)</f>
        <v/>
      </c>
      <c r="R31">
        <f>MIN(E12:E31)</f>
        <v/>
      </c>
      <c r="S31">
        <f>F31-((Q31+R31)/2+I31)/2</f>
        <v/>
      </c>
    </row>
    <row r="32">
      <c r="A32" t="n">
        <v>30</v>
      </c>
      <c r="B32" s="2" t="n">
        <v>42781</v>
      </c>
      <c r="C32" t="n">
        <v>220.55</v>
      </c>
      <c r="D32" t="n">
        <v>222.15</v>
      </c>
      <c r="E32" t="n">
        <v>220.5</v>
      </c>
      <c r="F32" t="n">
        <v>221.94</v>
      </c>
      <c r="G32" t="n">
        <v>91860344</v>
      </c>
      <c r="H32">
        <f>MAX(D32-E32,ABS(D32-F31),ABS(E32-F31))</f>
        <v/>
      </c>
      <c r="I32">
        <f>AVERAGE(F13:F32)</f>
        <v/>
      </c>
      <c r="J32">
        <f>STDEVP(F13:F32)</f>
        <v/>
      </c>
      <c r="K32">
        <f>AVERAGE(H13:H32)</f>
        <v/>
      </c>
      <c r="L32">
        <f>I32+2.0*J32</f>
        <v/>
      </c>
      <c r="M32">
        <f>I32-2.0*J32</f>
        <v/>
      </c>
      <c r="N32">
        <f>I32+1.5*K32</f>
        <v/>
      </c>
      <c r="O32">
        <f>I32-1.5*K32</f>
        <v/>
      </c>
      <c r="P32">
        <f>AND(L32&lt;N32,M32&gt;O32)</f>
        <v/>
      </c>
      <c r="Q32">
        <f>MAX(D13:D32)</f>
        <v/>
      </c>
      <c r="R32">
        <f>MIN(E13:E32)</f>
        <v/>
      </c>
      <c r="S32">
        <f>F32-((Q32+R32)/2+I32)/2</f>
        <v/>
      </c>
    </row>
    <row r="33">
      <c r="A33" t="n">
        <v>31</v>
      </c>
      <c r="B33" s="2" t="n">
        <v>42782</v>
      </c>
      <c r="C33" t="n">
        <v>221.98</v>
      </c>
      <c r="D33" t="n">
        <v>222.16</v>
      </c>
      <c r="E33" t="n">
        <v>220.93</v>
      </c>
      <c r="F33" t="n">
        <v>221.75</v>
      </c>
      <c r="G33" t="n">
        <v>89676304</v>
      </c>
      <c r="H33">
        <f>MAX(D33-E33,ABS(D33-F32),ABS(E33-F32))</f>
        <v/>
      </c>
      <c r="I33">
        <f>AVERAGE(F14:F33)</f>
        <v/>
      </c>
      <c r="J33">
        <f>STDEVP(F14:F33)</f>
        <v/>
      </c>
      <c r="K33">
        <f>AVERAGE(H14:H33)</f>
        <v/>
      </c>
      <c r="L33">
        <f>I33+2.0*J33</f>
        <v/>
      </c>
      <c r="M33">
        <f>I33-2.0*J33</f>
        <v/>
      </c>
      <c r="N33">
        <f>I33+1.5*K33</f>
        <v/>
      </c>
      <c r="O33">
        <f>I33-1.5*K33</f>
        <v/>
      </c>
      <c r="P33">
        <f>AND(L33&lt;N33,M33&gt;O33)</f>
        <v/>
      </c>
      <c r="Q33">
        <f>MAX(D14:D33)</f>
        <v/>
      </c>
      <c r="R33">
        <f>MIN(E14:E33)</f>
        <v/>
      </c>
      <c r="S33">
        <f>F33-((Q33+R33)/2+I33)/2</f>
        <v/>
      </c>
    </row>
    <row r="34">
      <c r="A34" t="n">
        <v>32</v>
      </c>
      <c r="B34" s="2" t="n">
        <v>42783</v>
      </c>
      <c r="C34" t="n">
        <v>221.03</v>
      </c>
      <c r="D34" t="n">
        <v>222.1</v>
      </c>
      <c r="E34" t="n">
        <v>221.01</v>
      </c>
      <c r="F34" t="n">
        <v>222.1</v>
      </c>
      <c r="G34" t="n">
        <v>81718352</v>
      </c>
      <c r="H34">
        <f>MAX(D34-E34,ABS(D34-F33),ABS(E34-F33))</f>
        <v/>
      </c>
      <c r="I34">
        <f>AVERAGE(F15:F34)</f>
        <v/>
      </c>
      <c r="J34">
        <f>STDEVP(F15:F34)</f>
        <v/>
      </c>
      <c r="K34">
        <f>AVERAGE(H15:H34)</f>
        <v/>
      </c>
      <c r="L34">
        <f>I34+2.0*J34</f>
        <v/>
      </c>
      <c r="M34">
        <f>I34-2.0*J34</f>
        <v/>
      </c>
      <c r="N34">
        <f>I34+1.5*K34</f>
        <v/>
      </c>
      <c r="O34">
        <f>I34-1.5*K34</f>
        <v/>
      </c>
      <c r="P34">
        <f>AND(L34&lt;N34,M34&gt;O34)</f>
        <v/>
      </c>
      <c r="Q34">
        <f>MAX(D15:D34)</f>
        <v/>
      </c>
      <c r="R34">
        <f>MIN(E15:E34)</f>
        <v/>
      </c>
      <c r="S34">
        <f>F34-((Q34+R34)/2+I34)/2</f>
        <v/>
      </c>
    </row>
    <row r="35">
      <c r="A35" t="n">
        <v>33</v>
      </c>
      <c r="B35" s="2" t="n">
        <v>42787</v>
      </c>
      <c r="C35" t="n">
        <v>222.51</v>
      </c>
      <c r="D35" t="n">
        <v>223.62</v>
      </c>
      <c r="E35" t="n">
        <v>222.5</v>
      </c>
      <c r="F35" t="n">
        <v>223.43</v>
      </c>
      <c r="G35" t="n">
        <v>94146880</v>
      </c>
      <c r="H35">
        <f>MAX(D35-E35,ABS(D35-F34),ABS(E35-F34))</f>
        <v/>
      </c>
      <c r="I35">
        <f>AVERAGE(F16:F35)</f>
        <v/>
      </c>
      <c r="J35">
        <f>STDEVP(F16:F35)</f>
        <v/>
      </c>
      <c r="K35">
        <f>AVERAGE(H16:H35)</f>
        <v/>
      </c>
      <c r="L35">
        <f>I35+2.0*J35</f>
        <v/>
      </c>
      <c r="M35">
        <f>I35-2.0*J35</f>
        <v/>
      </c>
      <c r="N35">
        <f>I35+1.5*K35</f>
        <v/>
      </c>
      <c r="O35">
        <f>I35-1.5*K35</f>
        <v/>
      </c>
      <c r="P35">
        <f>AND(L35&lt;N35,M35&gt;O35)</f>
        <v/>
      </c>
      <c r="Q35">
        <f>MAX(D16:D35)</f>
        <v/>
      </c>
      <c r="R35">
        <f>MIN(E16:E35)</f>
        <v/>
      </c>
      <c r="S35">
        <f>F35-((Q35+R35)/2+I35)/2</f>
        <v/>
      </c>
    </row>
    <row r="36">
      <c r="A36" t="n">
        <v>34</v>
      </c>
      <c r="B36" s="2" t="n">
        <v>42788</v>
      </c>
      <c r="C36" t="n">
        <v>222.98</v>
      </c>
      <c r="D36" t="n">
        <v>223.47</v>
      </c>
      <c r="E36" t="n">
        <v>222.8</v>
      </c>
      <c r="F36" t="n">
        <v>223.23</v>
      </c>
      <c r="G36" t="n">
        <v>65747160</v>
      </c>
      <c r="H36">
        <f>MAX(D36-E36,ABS(D36-F35),ABS(E36-F35))</f>
        <v/>
      </c>
      <c r="I36">
        <f>AVERAGE(F17:F36)</f>
        <v/>
      </c>
      <c r="J36">
        <f>STDEVP(F17:F36)</f>
        <v/>
      </c>
      <c r="K36">
        <f>AVERAGE(H17:H36)</f>
        <v/>
      </c>
      <c r="L36">
        <f>I36+2.0*J36</f>
        <v/>
      </c>
      <c r="M36">
        <f>I36-2.0*J36</f>
        <v/>
      </c>
      <c r="N36">
        <f>I36+1.5*K36</f>
        <v/>
      </c>
      <c r="O36">
        <f>I36-1.5*K36</f>
        <v/>
      </c>
      <c r="P36">
        <f>AND(L36&lt;N36,M36&gt;O36)</f>
        <v/>
      </c>
      <c r="Q36">
        <f>MAX(D17:D36)</f>
        <v/>
      </c>
      <c r="R36">
        <f>MIN(E17:E36)</f>
        <v/>
      </c>
      <c r="S36">
        <f>F36-((Q36+R36)/2+I36)/2</f>
        <v/>
      </c>
    </row>
    <row r="37">
      <c r="A37" t="n">
        <v>35</v>
      </c>
      <c r="B37" s="2" t="n">
        <v>42789</v>
      </c>
      <c r="C37" t="n">
        <v>223.79</v>
      </c>
      <c r="D37" t="n">
        <v>223.81</v>
      </c>
      <c r="E37" t="n">
        <v>222.55</v>
      </c>
      <c r="F37" t="n">
        <v>223.38</v>
      </c>
      <c r="G37" t="n">
        <v>78978816</v>
      </c>
      <c r="H37">
        <f>MAX(D37-E37,ABS(D37-F36),ABS(E37-F36))</f>
        <v/>
      </c>
      <c r="I37">
        <f>AVERAGE(F18:F37)</f>
        <v/>
      </c>
      <c r="J37">
        <f>STDEVP(F18:F37)</f>
        <v/>
      </c>
      <c r="K37">
        <f>AVERAGE(H18:H37)</f>
        <v/>
      </c>
      <c r="L37">
        <f>I37+2.0*J37</f>
        <v/>
      </c>
      <c r="M37">
        <f>I37-2.0*J37</f>
        <v/>
      </c>
      <c r="N37">
        <f>I37+1.5*K37</f>
        <v/>
      </c>
      <c r="O37">
        <f>I37-1.5*K37</f>
        <v/>
      </c>
      <c r="P37">
        <f>AND(L37&lt;N37,M37&gt;O37)</f>
        <v/>
      </c>
      <c r="Q37">
        <f>MAX(D18:D37)</f>
        <v/>
      </c>
      <c r="R37">
        <f>MIN(E18:E37)</f>
        <v/>
      </c>
      <c r="S37">
        <f>F37-((Q37+R37)/2+I37)/2</f>
        <v/>
      </c>
    </row>
    <row r="38">
      <c r="A38" t="n">
        <v>36</v>
      </c>
      <c r="B38" s="2" t="n">
        <v>42790</v>
      </c>
      <c r="C38" t="n">
        <v>222.45</v>
      </c>
      <c r="D38" t="n">
        <v>223.71</v>
      </c>
      <c r="E38" t="n">
        <v>222.41</v>
      </c>
      <c r="F38" t="n">
        <v>223.66</v>
      </c>
      <c r="G38" t="n">
        <v>87198608</v>
      </c>
      <c r="H38">
        <f>MAX(D38-E38,ABS(D38-F37),ABS(E38-F37))</f>
        <v/>
      </c>
      <c r="I38">
        <f>AVERAGE(F19:F38)</f>
        <v/>
      </c>
      <c r="J38">
        <f>STDEVP(F19:F38)</f>
        <v/>
      </c>
      <c r="K38">
        <f>AVERAGE(H19:H38)</f>
        <v/>
      </c>
      <c r="L38">
        <f>I38+2.0*J38</f>
        <v/>
      </c>
      <c r="M38">
        <f>I38-2.0*J38</f>
        <v/>
      </c>
      <c r="N38">
        <f>I38+1.5*K38</f>
        <v/>
      </c>
      <c r="O38">
        <f>I38-1.5*K38</f>
        <v/>
      </c>
      <c r="P38">
        <f>AND(L38&lt;N38,M38&gt;O38)</f>
        <v/>
      </c>
      <c r="Q38">
        <f>MAX(D19:D38)</f>
        <v/>
      </c>
      <c r="R38">
        <f>MIN(E19:E38)</f>
        <v/>
      </c>
      <c r="S38">
        <f>F38-((Q38+R38)/2+I38)/2</f>
        <v/>
      </c>
    </row>
    <row r="39">
      <c r="A39" t="n">
        <v>37</v>
      </c>
      <c r="B39" s="2" t="n">
        <v>42793</v>
      </c>
      <c r="C39" t="n">
        <v>223.57</v>
      </c>
      <c r="D39" t="n">
        <v>224.2</v>
      </c>
      <c r="E39" t="n">
        <v>223.29</v>
      </c>
      <c r="F39" t="n">
        <v>224.01</v>
      </c>
      <c r="G39" t="n">
        <v>59819992</v>
      </c>
      <c r="H39">
        <f>MAX(D39-E39,ABS(D39-F38),ABS(E39-F38))</f>
        <v/>
      </c>
      <c r="I39">
        <f>AVERAGE(F20:F39)</f>
        <v/>
      </c>
      <c r="J39">
        <f>STDEVP(F20:F39)</f>
        <v/>
      </c>
      <c r="K39">
        <f>AVERAGE(H20:H39)</f>
        <v/>
      </c>
      <c r="L39">
        <f>I39+2.0*J39</f>
        <v/>
      </c>
      <c r="M39">
        <f>I39-2.0*J39</f>
        <v/>
      </c>
      <c r="N39">
        <f>I39+1.5*K39</f>
        <v/>
      </c>
      <c r="O39">
        <f>I39-1.5*K39</f>
        <v/>
      </c>
      <c r="P39">
        <f>AND(L39&lt;N39,M39&gt;O39)</f>
        <v/>
      </c>
      <c r="Q39">
        <f>MAX(D20:D39)</f>
        <v/>
      </c>
      <c r="R39">
        <f>MIN(E20:E39)</f>
        <v/>
      </c>
      <c r="S39">
        <f>F39-((Q39+R39)/2+I39)/2</f>
        <v/>
      </c>
    </row>
    <row r="40">
      <c r="A40" t="n">
        <v>38</v>
      </c>
      <c r="B40" s="2" t="n">
        <v>42794</v>
      </c>
      <c r="C40" t="n">
        <v>223.6</v>
      </c>
      <c r="D40" t="n">
        <v>223.86</v>
      </c>
      <c r="E40" t="n">
        <v>222.98</v>
      </c>
      <c r="F40" t="n">
        <v>223.41</v>
      </c>
      <c r="G40" t="n">
        <v>102631472</v>
      </c>
      <c r="H40">
        <f>MAX(D40-E40,ABS(D40-F39),ABS(E40-F39))</f>
        <v/>
      </c>
      <c r="I40">
        <f>AVERAGE(F21:F40)</f>
        <v/>
      </c>
      <c r="J40">
        <f>STDEVP(F21:F40)</f>
        <v/>
      </c>
      <c r="K40">
        <f>AVERAGE(H21:H40)</f>
        <v/>
      </c>
      <c r="L40">
        <f>I40+2.0*J40</f>
        <v/>
      </c>
      <c r="M40">
        <f>I40-2.0*J40</f>
        <v/>
      </c>
      <c r="N40">
        <f>I40+1.5*K40</f>
        <v/>
      </c>
      <c r="O40">
        <f>I40-1.5*K40</f>
        <v/>
      </c>
      <c r="P40">
        <f>AND(L40&lt;N40,M40&gt;O40)</f>
        <v/>
      </c>
      <c r="Q40">
        <f>MAX(D21:D40)</f>
        <v/>
      </c>
      <c r="R40">
        <f>MIN(E21:E40)</f>
        <v/>
      </c>
      <c r="S40">
        <f>F40-((Q40+R40)/2+I40)/2</f>
        <v/>
      </c>
      <c r="T40">
        <f>FORECAST(A40,S21:S40,A21:A40)</f>
        <v/>
      </c>
    </row>
    <row r="41">
      <c r="A41" t="n">
        <v>39</v>
      </c>
      <c r="B41" s="2" t="n">
        <v>42795</v>
      </c>
      <c r="C41" t="n">
        <v>225.22</v>
      </c>
      <c r="D41" t="n">
        <v>227.04</v>
      </c>
      <c r="E41" t="n">
        <v>225.2</v>
      </c>
      <c r="F41" t="n">
        <v>226.53</v>
      </c>
      <c r="G41" t="n">
        <v>157879712</v>
      </c>
      <c r="H41">
        <f>MAX(D41-E41,ABS(D41-F40),ABS(E41-F40))</f>
        <v/>
      </c>
      <c r="I41">
        <f>AVERAGE(F22:F41)</f>
        <v/>
      </c>
      <c r="J41">
        <f>STDEVP(F22:F41)</f>
        <v/>
      </c>
      <c r="K41">
        <f>AVERAGE(H22:H41)</f>
        <v/>
      </c>
      <c r="L41">
        <f>I41+2.0*J41</f>
        <v/>
      </c>
      <c r="M41">
        <f>I41-2.0*J41</f>
        <v/>
      </c>
      <c r="N41">
        <f>I41+1.5*K41</f>
        <v/>
      </c>
      <c r="O41">
        <f>I41-1.5*K41</f>
        <v/>
      </c>
      <c r="P41">
        <f>AND(L41&lt;N41,M41&gt;O41)</f>
        <v/>
      </c>
      <c r="Q41">
        <f>MAX(D22:D41)</f>
        <v/>
      </c>
      <c r="R41">
        <f>MIN(E22:E41)</f>
        <v/>
      </c>
      <c r="S41">
        <f>F41-((Q41+R41)/2+I41)/2</f>
        <v/>
      </c>
      <c r="T41">
        <f>FORECAST(A41,S22:S41,A22:A41)</f>
        <v/>
      </c>
    </row>
    <row r="42">
      <c r="A42" t="n">
        <v>40</v>
      </c>
      <c r="B42" s="2" t="n">
        <v>42796</v>
      </c>
      <c r="C42" t="n">
        <v>226.33</v>
      </c>
      <c r="D42" t="n">
        <v>226.34</v>
      </c>
      <c r="E42" t="n">
        <v>225.05</v>
      </c>
      <c r="F42" t="n">
        <v>225.11</v>
      </c>
      <c r="G42" t="n">
        <v>74353376</v>
      </c>
      <c r="H42">
        <f>MAX(D42-E42,ABS(D42-F41),ABS(E42-F41))</f>
        <v/>
      </c>
      <c r="I42">
        <f>AVERAGE(F23:F42)</f>
        <v/>
      </c>
      <c r="J42">
        <f>STDEVP(F23:F42)</f>
        <v/>
      </c>
      <c r="K42">
        <f>AVERAGE(H23:H42)</f>
        <v/>
      </c>
      <c r="L42">
        <f>I42+2.0*J42</f>
        <v/>
      </c>
      <c r="M42">
        <f>I42-2.0*J42</f>
        <v/>
      </c>
      <c r="N42">
        <f>I42+1.5*K42</f>
        <v/>
      </c>
      <c r="O42">
        <f>I42-1.5*K42</f>
        <v/>
      </c>
      <c r="P42">
        <f>AND(L42&lt;N42,M42&gt;O42)</f>
        <v/>
      </c>
      <c r="Q42">
        <f>MAX(D23:D42)</f>
        <v/>
      </c>
      <c r="R42">
        <f>MIN(E23:E42)</f>
        <v/>
      </c>
      <c r="S42">
        <f>F42-((Q42+R42)/2+I42)/2</f>
        <v/>
      </c>
      <c r="T42">
        <f>FORECAST(A42,S23:S42,A23:A42)</f>
        <v/>
      </c>
    </row>
    <row r="43">
      <c r="A43" t="n">
        <v>41</v>
      </c>
      <c r="B43" s="2" t="n">
        <v>42797</v>
      </c>
      <c r="C43" t="n">
        <v>225.01</v>
      </c>
      <c r="D43" t="n">
        <v>225.43</v>
      </c>
      <c r="E43" t="n">
        <v>224.6</v>
      </c>
      <c r="F43" t="n">
        <v>225.25</v>
      </c>
      <c r="G43" t="n">
        <v>86767480</v>
      </c>
      <c r="H43">
        <f>MAX(D43-E43,ABS(D43-F42),ABS(E43-F42))</f>
        <v/>
      </c>
      <c r="I43">
        <f>AVERAGE(F24:F43)</f>
        <v/>
      </c>
      <c r="J43">
        <f>STDEVP(F24:F43)</f>
        <v/>
      </c>
      <c r="K43">
        <f>AVERAGE(H24:H43)</f>
        <v/>
      </c>
      <c r="L43">
        <f>I43+2.0*J43</f>
        <v/>
      </c>
      <c r="M43">
        <f>I43-2.0*J43</f>
        <v/>
      </c>
      <c r="N43">
        <f>I43+1.5*K43</f>
        <v/>
      </c>
      <c r="O43">
        <f>I43-1.5*K43</f>
        <v/>
      </c>
      <c r="P43">
        <f>AND(L43&lt;N43,M43&gt;O43)</f>
        <v/>
      </c>
      <c r="Q43">
        <f>MAX(D24:D43)</f>
        <v/>
      </c>
      <c r="R43">
        <f>MIN(E24:E43)</f>
        <v/>
      </c>
      <c r="S43">
        <f>F43-((Q43+R43)/2+I43)/2</f>
        <v/>
      </c>
      <c r="T43">
        <f>FORECAST(A43,S24:S43,A24:A43)</f>
        <v/>
      </c>
    </row>
    <row r="44">
      <c r="A44" t="n">
        <v>42</v>
      </c>
      <c r="B44" s="2" t="n">
        <v>42800</v>
      </c>
      <c r="C44" t="n">
        <v>224.38</v>
      </c>
      <c r="D44" t="n">
        <v>224.97</v>
      </c>
      <c r="E44" t="n">
        <v>223.92</v>
      </c>
      <c r="F44" t="n">
        <v>224.58</v>
      </c>
      <c r="G44" t="n">
        <v>58630368</v>
      </c>
      <c r="H44">
        <f>MAX(D44-E44,ABS(D44-F43),ABS(E44-F43))</f>
        <v/>
      </c>
      <c r="I44">
        <f>AVERAGE(F25:F44)</f>
        <v/>
      </c>
      <c r="J44">
        <f>STDEVP(F25:F44)</f>
        <v/>
      </c>
      <c r="K44">
        <f>AVERAGE(H25:H44)</f>
        <v/>
      </c>
      <c r="L44">
        <f>I44+2.0*J44</f>
        <v/>
      </c>
      <c r="M44">
        <f>I44-2.0*J44</f>
        <v/>
      </c>
      <c r="N44">
        <f>I44+1.5*K44</f>
        <v/>
      </c>
      <c r="O44">
        <f>I44-1.5*K44</f>
        <v/>
      </c>
      <c r="P44">
        <f>AND(L44&lt;N44,M44&gt;O44)</f>
        <v/>
      </c>
      <c r="Q44">
        <f>MAX(D25:D44)</f>
        <v/>
      </c>
      <c r="R44">
        <f>MIN(E25:E44)</f>
        <v/>
      </c>
      <c r="S44">
        <f>F44-((Q44+R44)/2+I44)/2</f>
        <v/>
      </c>
      <c r="T44">
        <f>FORECAST(A44,S25:S44,A25:A44)</f>
        <v/>
      </c>
    </row>
    <row r="45">
      <c r="A45" t="n">
        <v>43</v>
      </c>
      <c r="B45" s="2" t="n">
        <v>42801</v>
      </c>
      <c r="C45" t="n">
        <v>224.25</v>
      </c>
      <c r="D45" t="n">
        <v>224.64</v>
      </c>
      <c r="E45" t="n">
        <v>223.68</v>
      </c>
      <c r="F45" t="n">
        <v>223.91</v>
      </c>
      <c r="G45" t="n">
        <v>68910464</v>
      </c>
      <c r="H45">
        <f>MAX(D45-E45,ABS(D45-F44),ABS(E45-F44))</f>
        <v/>
      </c>
      <c r="I45">
        <f>AVERAGE(F26:F45)</f>
        <v/>
      </c>
      <c r="J45">
        <f>STDEVP(F26:F45)</f>
        <v/>
      </c>
      <c r="K45">
        <f>AVERAGE(H26:H45)</f>
        <v/>
      </c>
      <c r="L45">
        <f>I45+2.0*J45</f>
        <v/>
      </c>
      <c r="M45">
        <f>I45-2.0*J45</f>
        <v/>
      </c>
      <c r="N45">
        <f>I45+1.5*K45</f>
        <v/>
      </c>
      <c r="O45">
        <f>I45-1.5*K45</f>
        <v/>
      </c>
      <c r="P45">
        <f>AND(L45&lt;N45,M45&gt;O45)</f>
        <v/>
      </c>
      <c r="Q45">
        <f>MAX(D26:D45)</f>
        <v/>
      </c>
      <c r="R45">
        <f>MIN(E26:E45)</f>
        <v/>
      </c>
      <c r="S45">
        <f>F45-((Q45+R45)/2+I45)/2</f>
        <v/>
      </c>
      <c r="T45">
        <f>FORECAST(A45,S26:S45,A26:A45)</f>
        <v/>
      </c>
    </row>
    <row r="46">
      <c r="A46" t="n">
        <v>44</v>
      </c>
      <c r="B46" s="2" t="n">
        <v>42802</v>
      </c>
      <c r="C46" t="n">
        <v>224.23</v>
      </c>
      <c r="D46" t="n">
        <v>224.51</v>
      </c>
      <c r="E46" t="n">
        <v>223.34</v>
      </c>
      <c r="F46" t="n">
        <v>223.49</v>
      </c>
      <c r="G46" t="n">
        <v>82739456</v>
      </c>
      <c r="H46">
        <f>MAX(D46-E46,ABS(D46-F45),ABS(E46-F45))</f>
        <v/>
      </c>
      <c r="I46">
        <f>AVERAGE(F27:F46)</f>
        <v/>
      </c>
      <c r="J46">
        <f>STDEVP(F27:F46)</f>
        <v/>
      </c>
      <c r="K46">
        <f>AVERAGE(H27:H46)</f>
        <v/>
      </c>
      <c r="L46">
        <f>I46+2.0*J46</f>
        <v/>
      </c>
      <c r="M46">
        <f>I46-2.0*J46</f>
        <v/>
      </c>
      <c r="N46">
        <f>I46+1.5*K46</f>
        <v/>
      </c>
      <c r="O46">
        <f>I46-1.5*K46</f>
        <v/>
      </c>
      <c r="P46">
        <f>AND(L46&lt;N46,M46&gt;O46)</f>
        <v/>
      </c>
      <c r="Q46">
        <f>MAX(D27:D46)</f>
        <v/>
      </c>
      <c r="R46">
        <f>MIN(E27:E46)</f>
        <v/>
      </c>
      <c r="S46">
        <f>F46-((Q46+R46)/2+I46)/2</f>
        <v/>
      </c>
      <c r="T46">
        <f>FORECAST(A46,S27:S46,A27:A46)</f>
        <v/>
      </c>
    </row>
    <row r="47">
      <c r="A47" t="n">
        <v>45</v>
      </c>
      <c r="B47" s="2" t="n">
        <v>42803</v>
      </c>
      <c r="C47" t="n">
        <v>223.62</v>
      </c>
      <c r="D47" t="n">
        <v>224.13</v>
      </c>
      <c r="E47" t="n">
        <v>222.72</v>
      </c>
      <c r="F47" t="n">
        <v>223.78</v>
      </c>
      <c r="G47" t="n">
        <v>95986360</v>
      </c>
      <c r="H47">
        <f>MAX(D47-E47,ABS(D47-F46),ABS(E47-F46))</f>
        <v/>
      </c>
      <c r="I47">
        <f>AVERAGE(F28:F47)</f>
        <v/>
      </c>
      <c r="J47">
        <f>STDEVP(F28:F47)</f>
        <v/>
      </c>
      <c r="K47">
        <f>AVERAGE(H28:H47)</f>
        <v/>
      </c>
      <c r="L47">
        <f>I47+2.0*J47</f>
        <v/>
      </c>
      <c r="M47">
        <f>I47-2.0*J47</f>
        <v/>
      </c>
      <c r="N47">
        <f>I47+1.5*K47</f>
        <v/>
      </c>
      <c r="O47">
        <f>I47-1.5*K47</f>
        <v/>
      </c>
      <c r="P47">
        <f>AND(L47&lt;N47,M47&gt;O47)</f>
        <v/>
      </c>
      <c r="Q47">
        <f>MAX(D28:D47)</f>
        <v/>
      </c>
      <c r="R47">
        <f>MIN(E28:E47)</f>
        <v/>
      </c>
      <c r="S47">
        <f>F47-((Q47+R47)/2+I47)/2</f>
        <v/>
      </c>
      <c r="T47">
        <f>FORECAST(A47,S28:S47,A28:A47)</f>
        <v/>
      </c>
    </row>
    <row r="48">
      <c r="A48" t="n">
        <v>46</v>
      </c>
      <c r="B48" s="2" t="n">
        <v>42804</v>
      </c>
      <c r="C48" t="n">
        <v>224.82</v>
      </c>
      <c r="D48" t="n">
        <v>224.87</v>
      </c>
      <c r="E48" t="n">
        <v>223.52</v>
      </c>
      <c r="F48" t="n">
        <v>224.56</v>
      </c>
      <c r="G48" t="n">
        <v>86785840</v>
      </c>
      <c r="H48">
        <f>MAX(D48-E48,ABS(D48-F47),ABS(E48-F47))</f>
        <v/>
      </c>
      <c r="I48">
        <f>AVERAGE(F29:F48)</f>
        <v/>
      </c>
      <c r="J48">
        <f>STDEVP(F29:F48)</f>
        <v/>
      </c>
      <c r="K48">
        <f>AVERAGE(H29:H48)</f>
        <v/>
      </c>
      <c r="L48">
        <f>I48+2.0*J48</f>
        <v/>
      </c>
      <c r="M48">
        <f>I48-2.0*J48</f>
        <v/>
      </c>
      <c r="N48">
        <f>I48+1.5*K48</f>
        <v/>
      </c>
      <c r="O48">
        <f>I48-1.5*K48</f>
        <v/>
      </c>
      <c r="P48">
        <f>AND(L48&lt;N48,M48&gt;O48)</f>
        <v/>
      </c>
      <c r="Q48">
        <f>MAX(D29:D48)</f>
        <v/>
      </c>
      <c r="R48">
        <f>MIN(E29:E48)</f>
        <v/>
      </c>
      <c r="S48">
        <f>F48-((Q48+R48)/2+I48)/2</f>
        <v/>
      </c>
      <c r="T48">
        <f>FORECAST(A48,S29:S48,A29:A48)</f>
        <v/>
      </c>
    </row>
    <row r="49">
      <c r="A49" t="n">
        <v>47</v>
      </c>
      <c r="B49" s="2" t="n">
        <v>42807</v>
      </c>
      <c r="C49" t="n">
        <v>224.49</v>
      </c>
      <c r="D49" t="n">
        <v>224.72</v>
      </c>
      <c r="E49" t="n">
        <v>224.13</v>
      </c>
      <c r="F49" t="n">
        <v>224.67</v>
      </c>
      <c r="G49" t="n">
        <v>60604724</v>
      </c>
      <c r="H49">
        <f>MAX(D49-E49,ABS(D49-F48),ABS(E49-F48))</f>
        <v/>
      </c>
      <c r="I49">
        <f>AVERAGE(F30:F49)</f>
        <v/>
      </c>
      <c r="J49">
        <f>STDEVP(F30:F49)</f>
        <v/>
      </c>
      <c r="K49">
        <f>AVERAGE(H30:H49)</f>
        <v/>
      </c>
      <c r="L49">
        <f>I49+2.0*J49</f>
        <v/>
      </c>
      <c r="M49">
        <f>I49-2.0*J49</f>
        <v/>
      </c>
      <c r="N49">
        <f>I49+1.5*K49</f>
        <v/>
      </c>
      <c r="O49">
        <f>I49-1.5*K49</f>
        <v/>
      </c>
      <c r="P49">
        <f>AND(L49&lt;N49,M49&gt;O49)</f>
        <v/>
      </c>
      <c r="Q49">
        <f>MAX(D30:D49)</f>
        <v/>
      </c>
      <c r="R49">
        <f>MIN(E30:E49)</f>
        <v/>
      </c>
      <c r="S49">
        <f>F49-((Q49+R49)/2+I49)/2</f>
        <v/>
      </c>
      <c r="T49">
        <f>FORECAST(A49,S30:S49,A30:A49)</f>
        <v/>
      </c>
    </row>
    <row r="50">
      <c r="A50" t="n">
        <v>48</v>
      </c>
      <c r="B50" s="2" t="n">
        <v>42808</v>
      </c>
      <c r="C50" t="n">
        <v>224.08</v>
      </c>
      <c r="D50" t="n">
        <v>224.13</v>
      </c>
      <c r="E50" t="n">
        <v>223.14</v>
      </c>
      <c r="F50" t="n">
        <v>223.81</v>
      </c>
      <c r="G50" t="n">
        <v>63382108</v>
      </c>
      <c r="H50">
        <f>MAX(D50-E50,ABS(D50-F49),ABS(E50-F49))</f>
        <v/>
      </c>
      <c r="I50">
        <f>AVERAGE(F31:F50)</f>
        <v/>
      </c>
      <c r="J50">
        <f>STDEVP(F31:F50)</f>
        <v/>
      </c>
      <c r="K50">
        <f>AVERAGE(H31:H50)</f>
        <v/>
      </c>
      <c r="L50">
        <f>I50+2.0*J50</f>
        <v/>
      </c>
      <c r="M50">
        <f>I50-2.0*J50</f>
        <v/>
      </c>
      <c r="N50">
        <f>I50+1.5*K50</f>
        <v/>
      </c>
      <c r="O50">
        <f>I50-1.5*K50</f>
        <v/>
      </c>
      <c r="P50">
        <f>AND(L50&lt;N50,M50&gt;O50)</f>
        <v/>
      </c>
      <c r="Q50">
        <f>MAX(D31:D50)</f>
        <v/>
      </c>
      <c r="R50">
        <f>MIN(E31:E50)</f>
        <v/>
      </c>
      <c r="S50">
        <f>F50-((Q50+R50)/2+I50)/2</f>
        <v/>
      </c>
      <c r="T50">
        <f>FORECAST(A50,S31:S50,A31:A50)</f>
        <v/>
      </c>
    </row>
    <row r="51">
      <c r="A51" t="n">
        <v>49</v>
      </c>
      <c r="B51" s="2" t="n">
        <v>42809</v>
      </c>
      <c r="C51" t="n">
        <v>224.44</v>
      </c>
      <c r="D51" t="n">
        <v>226.21</v>
      </c>
      <c r="E51" t="n">
        <v>224.18</v>
      </c>
      <c r="F51" t="n">
        <v>225.75</v>
      </c>
      <c r="G51" t="n">
        <v>101699816</v>
      </c>
      <c r="H51">
        <f>MAX(D51-E51,ABS(D51-F50),ABS(E51-F50))</f>
        <v/>
      </c>
      <c r="I51">
        <f>AVERAGE(F32:F51)</f>
        <v/>
      </c>
      <c r="J51">
        <f>STDEVP(F32:F51)</f>
        <v/>
      </c>
      <c r="K51">
        <f>AVERAGE(H32:H51)</f>
        <v/>
      </c>
      <c r="L51">
        <f>I51+2.0*J51</f>
        <v/>
      </c>
      <c r="M51">
        <f>I51-2.0*J51</f>
        <v/>
      </c>
      <c r="N51">
        <f>I51+1.5*K51</f>
        <v/>
      </c>
      <c r="O51">
        <f>I51-1.5*K51</f>
        <v/>
      </c>
      <c r="P51">
        <f>AND(L51&lt;N51,M51&gt;O51)</f>
        <v/>
      </c>
      <c r="Q51">
        <f>MAX(D32:D51)</f>
        <v/>
      </c>
      <c r="R51">
        <f>MIN(E32:E51)</f>
        <v/>
      </c>
      <c r="S51">
        <f>F51-((Q51+R51)/2+I51)/2</f>
        <v/>
      </c>
      <c r="T51">
        <f>FORECAST(A51,S32:S51,A32:A51)</f>
        <v/>
      </c>
    </row>
    <row r="52">
      <c r="A52" t="n">
        <v>50</v>
      </c>
      <c r="B52" s="2" t="n">
        <v>42810</v>
      </c>
      <c r="C52" t="n">
        <v>225.9</v>
      </c>
      <c r="D52" t="n">
        <v>225.99</v>
      </c>
      <c r="E52" t="n">
        <v>224.95</v>
      </c>
      <c r="F52" t="n">
        <v>225.31</v>
      </c>
      <c r="G52" t="n">
        <v>82924856</v>
      </c>
      <c r="H52">
        <f>MAX(D52-E52,ABS(D52-F51),ABS(E52-F51))</f>
        <v/>
      </c>
      <c r="I52">
        <f>AVERAGE(F33:F52)</f>
        <v/>
      </c>
      <c r="J52">
        <f>STDEVP(F33:F52)</f>
        <v/>
      </c>
      <c r="K52">
        <f>AVERAGE(H33:H52)</f>
        <v/>
      </c>
      <c r="L52">
        <f>I52+2.0*J52</f>
        <v/>
      </c>
      <c r="M52">
        <f>I52-2.0*J52</f>
        <v/>
      </c>
      <c r="N52">
        <f>I52+1.5*K52</f>
        <v/>
      </c>
      <c r="O52">
        <f>I52-1.5*K52</f>
        <v/>
      </c>
      <c r="P52">
        <f>AND(L52&lt;N52,M52&gt;O52)</f>
        <v/>
      </c>
      <c r="Q52">
        <f>MAX(D33:D52)</f>
        <v/>
      </c>
      <c r="R52">
        <f>MIN(E33:E52)</f>
        <v/>
      </c>
      <c r="S52">
        <f>F52-((Q52+R52)/2+I52)/2</f>
        <v/>
      </c>
      <c r="T52">
        <f>FORECAST(A52,S33:S52,A33:A52)</f>
        <v/>
      </c>
    </row>
    <row r="53">
      <c r="A53" t="n">
        <v>51</v>
      </c>
      <c r="B53" s="2" t="n">
        <v>42811</v>
      </c>
      <c r="C53" t="n">
        <v>225.59</v>
      </c>
      <c r="D53" t="n">
        <v>225.8</v>
      </c>
      <c r="E53" t="n">
        <v>224.91</v>
      </c>
      <c r="F53" t="n">
        <v>224.91</v>
      </c>
      <c r="G53" t="n">
        <v>93798120</v>
      </c>
      <c r="H53">
        <f>MAX(D53-E53,ABS(D53-F52),ABS(E53-F52))</f>
        <v/>
      </c>
      <c r="I53">
        <f>AVERAGE(F34:F53)</f>
        <v/>
      </c>
      <c r="J53">
        <f>STDEVP(F34:F53)</f>
        <v/>
      </c>
      <c r="K53">
        <f>AVERAGE(H34:H53)</f>
        <v/>
      </c>
      <c r="L53">
        <f>I53+2.0*J53</f>
        <v/>
      </c>
      <c r="M53">
        <f>I53-2.0*J53</f>
        <v/>
      </c>
      <c r="N53">
        <f>I53+1.5*K53</f>
        <v/>
      </c>
      <c r="O53">
        <f>I53-1.5*K53</f>
        <v/>
      </c>
      <c r="P53">
        <f>AND(L53&lt;N53,M53&gt;O53)</f>
        <v/>
      </c>
      <c r="Q53">
        <f>MAX(D34:D53)</f>
        <v/>
      </c>
      <c r="R53">
        <f>MIN(E34:E53)</f>
        <v/>
      </c>
      <c r="S53">
        <f>F53-((Q53+R53)/2+I53)/2</f>
        <v/>
      </c>
      <c r="T53">
        <f>FORECAST(A53,S34:S53,A34:A53)</f>
        <v/>
      </c>
    </row>
    <row r="54">
      <c r="A54" t="n">
        <v>52</v>
      </c>
      <c r="B54" s="2" t="n">
        <v>42814</v>
      </c>
      <c r="C54" t="n">
        <v>224.91</v>
      </c>
      <c r="D54" t="n">
        <v>225.22</v>
      </c>
      <c r="E54" t="n">
        <v>224.24</v>
      </c>
      <c r="F54" t="n">
        <v>224.66</v>
      </c>
      <c r="G54" t="n">
        <v>55368008</v>
      </c>
      <c r="H54">
        <f>MAX(D54-E54,ABS(D54-F53),ABS(E54-F53))</f>
        <v/>
      </c>
      <c r="I54">
        <f>AVERAGE(F35:F54)</f>
        <v/>
      </c>
      <c r="J54">
        <f>STDEVP(F35:F54)</f>
        <v/>
      </c>
      <c r="K54">
        <f>AVERAGE(H35:H54)</f>
        <v/>
      </c>
      <c r="L54">
        <f>I54+2.0*J54</f>
        <v/>
      </c>
      <c r="M54">
        <f>I54-2.0*J54</f>
        <v/>
      </c>
      <c r="N54">
        <f>I54+1.5*K54</f>
        <v/>
      </c>
      <c r="O54">
        <f>I54-1.5*K54</f>
        <v/>
      </c>
      <c r="P54">
        <f>AND(L54&lt;N54,M54&gt;O54)</f>
        <v/>
      </c>
      <c r="Q54">
        <f>MAX(D35:D54)</f>
        <v/>
      </c>
      <c r="R54">
        <f>MIN(E35:E54)</f>
        <v/>
      </c>
      <c r="S54">
        <f>F54-((Q54+R54)/2+I54)/2</f>
        <v/>
      </c>
      <c r="T54">
        <f>FORECAST(A54,S35:S54,A35:A54)</f>
        <v/>
      </c>
    </row>
    <row r="55">
      <c r="A55" t="n">
        <v>53</v>
      </c>
      <c r="B55" s="2" t="n">
        <v>42815</v>
      </c>
      <c r="C55" t="n">
        <v>225.33</v>
      </c>
      <c r="D55" t="n">
        <v>225.46</v>
      </c>
      <c r="E55" t="n">
        <v>221.64</v>
      </c>
      <c r="F55" t="n">
        <v>221.78</v>
      </c>
      <c r="G55" t="n">
        <v>138912016</v>
      </c>
      <c r="H55">
        <f>MAX(D55-E55,ABS(D55-F54),ABS(E55-F54))</f>
        <v/>
      </c>
      <c r="I55">
        <f>AVERAGE(F36:F55)</f>
        <v/>
      </c>
      <c r="J55">
        <f>STDEVP(F36:F55)</f>
        <v/>
      </c>
      <c r="K55">
        <f>AVERAGE(H36:H55)</f>
        <v/>
      </c>
      <c r="L55">
        <f>I55+2.0*J55</f>
        <v/>
      </c>
      <c r="M55">
        <f>I55-2.0*J55</f>
        <v/>
      </c>
      <c r="N55">
        <f>I55+1.5*K55</f>
        <v/>
      </c>
      <c r="O55">
        <f>I55-1.5*K55</f>
        <v/>
      </c>
      <c r="P55">
        <f>AND(L55&lt;N55,M55&gt;O55)</f>
        <v/>
      </c>
      <c r="Q55">
        <f>MAX(D36:D55)</f>
        <v/>
      </c>
      <c r="R55">
        <f>MIN(E36:E55)</f>
        <v/>
      </c>
      <c r="S55">
        <f>F55-((Q55+R55)/2+I55)/2</f>
        <v/>
      </c>
      <c r="T55">
        <f>FORECAST(A55,S36:S55,A36:A55)</f>
        <v/>
      </c>
    </row>
    <row r="56">
      <c r="A56" t="n">
        <v>54</v>
      </c>
      <c r="B56" s="2" t="n">
        <v>42816</v>
      </c>
      <c r="C56" t="n">
        <v>221.82</v>
      </c>
      <c r="D56" t="n">
        <v>222.61</v>
      </c>
      <c r="E56" t="n">
        <v>221.13</v>
      </c>
      <c r="F56" t="n">
        <v>222.3</v>
      </c>
      <c r="G56" t="n">
        <v>102826864</v>
      </c>
      <c r="H56">
        <f>MAX(D56-E56,ABS(D56-F55),ABS(E56-F55))</f>
        <v/>
      </c>
      <c r="I56">
        <f>AVERAGE(F37:F56)</f>
        <v/>
      </c>
      <c r="J56">
        <f>STDEVP(F37:F56)</f>
        <v/>
      </c>
      <c r="K56">
        <f>AVERAGE(H37:H56)</f>
        <v/>
      </c>
      <c r="L56">
        <f>I56+2.0*J56</f>
        <v/>
      </c>
      <c r="M56">
        <f>I56-2.0*J56</f>
        <v/>
      </c>
      <c r="N56">
        <f>I56+1.5*K56</f>
        <v/>
      </c>
      <c r="O56">
        <f>I56-1.5*K56</f>
        <v/>
      </c>
      <c r="P56">
        <f>AND(L56&lt;N56,M56&gt;O56)</f>
        <v/>
      </c>
      <c r="Q56">
        <f>MAX(D37:D56)</f>
        <v/>
      </c>
      <c r="R56">
        <f>MIN(E37:E56)</f>
        <v/>
      </c>
      <c r="S56">
        <f>F56-((Q56+R56)/2+I56)/2</f>
        <v/>
      </c>
      <c r="T56">
        <f>FORECAST(A56,S37:S56,A37:A56)</f>
        <v/>
      </c>
    </row>
    <row r="57">
      <c r="A57" t="n">
        <v>55</v>
      </c>
      <c r="B57" s="2" t="n">
        <v>42817</v>
      </c>
      <c r="C57" t="n">
        <v>222.04</v>
      </c>
      <c r="D57" t="n">
        <v>223.31</v>
      </c>
      <c r="E57" t="n">
        <v>221.66</v>
      </c>
      <c r="F57" t="n">
        <v>222.06</v>
      </c>
      <c r="G57" t="n">
        <v>105821032</v>
      </c>
      <c r="H57">
        <f>MAX(D57-E57,ABS(D57-F56),ABS(E57-F56))</f>
        <v/>
      </c>
      <c r="I57">
        <f>AVERAGE(F38:F57)</f>
        <v/>
      </c>
      <c r="J57">
        <f>STDEVP(F38:F57)</f>
        <v/>
      </c>
      <c r="K57">
        <f>AVERAGE(H38:H57)</f>
        <v/>
      </c>
      <c r="L57">
        <f>I57+2.0*J57</f>
        <v/>
      </c>
      <c r="M57">
        <f>I57-2.0*J57</f>
        <v/>
      </c>
      <c r="N57">
        <f>I57+1.5*K57</f>
        <v/>
      </c>
      <c r="O57">
        <f>I57-1.5*K57</f>
        <v/>
      </c>
      <c r="P57">
        <f>AND(L57&lt;N57,M57&gt;O57)</f>
        <v/>
      </c>
      <c r="Q57">
        <f>MAX(D38:D57)</f>
        <v/>
      </c>
      <c r="R57">
        <f>MIN(E38:E57)</f>
        <v/>
      </c>
      <c r="S57">
        <f>F57-((Q57+R57)/2+I57)/2</f>
        <v/>
      </c>
      <c r="T57">
        <f>FORECAST(A57,S38:S57,A38:A57)</f>
        <v/>
      </c>
    </row>
    <row r="58">
      <c r="A58" t="n">
        <v>56</v>
      </c>
      <c r="B58" s="2" t="n">
        <v>42818</v>
      </c>
      <c r="C58" t="n">
        <v>222.4</v>
      </c>
      <c r="D58" t="n">
        <v>223.02</v>
      </c>
      <c r="E58" t="n">
        <v>221.05</v>
      </c>
      <c r="F58" t="n">
        <v>221.9</v>
      </c>
      <c r="G58" t="n">
        <v>118567344</v>
      </c>
      <c r="H58">
        <f>MAX(D58-E58,ABS(D58-F57),ABS(E58-F57))</f>
        <v/>
      </c>
      <c r="I58">
        <f>AVERAGE(F39:F58)</f>
        <v/>
      </c>
      <c r="J58">
        <f>STDEVP(F39:F58)</f>
        <v/>
      </c>
      <c r="K58">
        <f>AVERAGE(H39:H58)</f>
        <v/>
      </c>
      <c r="L58">
        <f>I58+2.0*J58</f>
        <v/>
      </c>
      <c r="M58">
        <f>I58-2.0*J58</f>
        <v/>
      </c>
      <c r="N58">
        <f>I58+1.5*K58</f>
        <v/>
      </c>
      <c r="O58">
        <f>I58-1.5*K58</f>
        <v/>
      </c>
      <c r="P58">
        <f>AND(L58&lt;N58,M58&gt;O58)</f>
        <v/>
      </c>
      <c r="Q58">
        <f>MAX(D39:D58)</f>
        <v/>
      </c>
      <c r="R58">
        <f>MIN(E39:E58)</f>
        <v/>
      </c>
      <c r="S58">
        <f>F58-((Q58+R58)/2+I58)/2</f>
        <v/>
      </c>
      <c r="T58">
        <f>FORECAST(A58,S39:S58,A39:A58)</f>
        <v/>
      </c>
    </row>
    <row r="59">
      <c r="A59" t="n">
        <v>57</v>
      </c>
      <c r="B59" s="2" t="n">
        <v>42821</v>
      </c>
      <c r="C59" t="n">
        <v>220.07</v>
      </c>
      <c r="D59" t="n">
        <v>221.96</v>
      </c>
      <c r="E59" t="n">
        <v>219.77</v>
      </c>
      <c r="F59" t="n">
        <v>221.67</v>
      </c>
      <c r="G59" t="n">
        <v>92167056</v>
      </c>
      <c r="H59">
        <f>MAX(D59-E59,ABS(D59-F58),ABS(E59-F58))</f>
        <v/>
      </c>
      <c r="I59">
        <f>AVERAGE(F40:F59)</f>
        <v/>
      </c>
      <c r="J59">
        <f>STDEVP(F40:F59)</f>
        <v/>
      </c>
      <c r="K59">
        <f>AVERAGE(H40:H59)</f>
        <v/>
      </c>
      <c r="L59">
        <f>I59+2.0*J59</f>
        <v/>
      </c>
      <c r="M59">
        <f>I59-2.0*J59</f>
        <v/>
      </c>
      <c r="N59">
        <f>I59+1.5*K59</f>
        <v/>
      </c>
      <c r="O59">
        <f>I59-1.5*K59</f>
        <v/>
      </c>
      <c r="P59">
        <f>AND(L59&lt;N59,M59&gt;O59)</f>
        <v/>
      </c>
      <c r="Q59">
        <f>MAX(D40:D59)</f>
        <v/>
      </c>
      <c r="R59">
        <f>MIN(E40:E59)</f>
        <v/>
      </c>
      <c r="S59">
        <f>F59-((Q59+R59)/2+I59)/2</f>
        <v/>
      </c>
      <c r="T59">
        <f>FORECAST(A59,S40:S59,A40:A59)</f>
        <v/>
      </c>
    </row>
    <row r="60">
      <c r="A60" t="n">
        <v>58</v>
      </c>
      <c r="B60" s="2" t="n">
        <v>42822</v>
      </c>
      <c r="C60" t="n">
        <v>221.34</v>
      </c>
      <c r="D60" t="n">
        <v>223.75</v>
      </c>
      <c r="E60" t="n">
        <v>221.22</v>
      </c>
      <c r="F60" t="n">
        <v>223.29</v>
      </c>
      <c r="G60" t="n">
        <v>98521432</v>
      </c>
      <c r="H60">
        <f>MAX(D60-E60,ABS(D60-F59),ABS(E60-F59))</f>
        <v/>
      </c>
      <c r="I60">
        <f>AVERAGE(F41:F60)</f>
        <v/>
      </c>
      <c r="J60">
        <f>STDEVP(F41:F60)</f>
        <v/>
      </c>
      <c r="K60">
        <f>AVERAGE(H41:H60)</f>
        <v/>
      </c>
      <c r="L60">
        <f>I60+2.0*J60</f>
        <v/>
      </c>
      <c r="M60">
        <f>I60-2.0*J60</f>
        <v/>
      </c>
      <c r="N60">
        <f>I60+1.5*K60</f>
        <v/>
      </c>
      <c r="O60">
        <f>I60-1.5*K60</f>
        <v/>
      </c>
      <c r="P60">
        <f>AND(L60&lt;N60,M60&gt;O60)</f>
        <v/>
      </c>
      <c r="Q60">
        <f>MAX(D41:D60)</f>
        <v/>
      </c>
      <c r="R60">
        <f>MIN(E41:E60)</f>
        <v/>
      </c>
      <c r="S60">
        <f>F60-((Q60+R60)/2+I60)/2</f>
        <v/>
      </c>
      <c r="T60">
        <f>FORECAST(A60,S41:S60,A41:A60)</f>
        <v/>
      </c>
    </row>
    <row r="61">
      <c r="A61" t="n">
        <v>59</v>
      </c>
      <c r="B61" s="2" t="n">
        <v>42823</v>
      </c>
      <c r="C61" t="n">
        <v>222.97</v>
      </c>
      <c r="D61" t="n">
        <v>223.75</v>
      </c>
      <c r="E61" t="n">
        <v>222.72</v>
      </c>
      <c r="F61" t="n">
        <v>223.5</v>
      </c>
      <c r="G61" t="n">
        <v>65288636</v>
      </c>
      <c r="H61">
        <f>MAX(D61-E61,ABS(D61-F60),ABS(E61-F60))</f>
        <v/>
      </c>
      <c r="I61">
        <f>AVERAGE(F42:F61)</f>
        <v/>
      </c>
      <c r="J61">
        <f>STDEVP(F42:F61)</f>
        <v/>
      </c>
      <c r="K61">
        <f>AVERAGE(H42:H61)</f>
        <v/>
      </c>
      <c r="L61">
        <f>I61+2.0*J61</f>
        <v/>
      </c>
      <c r="M61">
        <f>I61-2.0*J61</f>
        <v/>
      </c>
      <c r="N61">
        <f>I61+1.5*K61</f>
        <v/>
      </c>
      <c r="O61">
        <f>I61-1.5*K61</f>
        <v/>
      </c>
      <c r="P61">
        <f>AND(L61&lt;N61,M61&gt;O61)</f>
        <v/>
      </c>
      <c r="Q61">
        <f>MAX(D42:D61)</f>
        <v/>
      </c>
      <c r="R61">
        <f>MIN(E42:E61)</f>
        <v/>
      </c>
      <c r="S61">
        <f>F61-((Q61+R61)/2+I61)/2</f>
        <v/>
      </c>
      <c r="T61">
        <f>FORECAST(A61,S42:S61,A42:A61)</f>
        <v/>
      </c>
    </row>
    <row r="62">
      <c r="A62" t="n">
        <v>60</v>
      </c>
      <c r="B62" s="2" t="n">
        <v>42824</v>
      </c>
      <c r="C62" t="n">
        <v>223.43</v>
      </c>
      <c r="D62" t="n">
        <v>224.43</v>
      </c>
      <c r="E62" t="n">
        <v>223.24</v>
      </c>
      <c r="F62" t="n">
        <v>224.21</v>
      </c>
      <c r="G62" t="n">
        <v>59795288</v>
      </c>
      <c r="H62">
        <f>MAX(D62-E62,ABS(D62-F61),ABS(E62-F61))</f>
        <v/>
      </c>
      <c r="I62">
        <f>AVERAGE(F43:F62)</f>
        <v/>
      </c>
      <c r="J62">
        <f>STDEVP(F43:F62)</f>
        <v/>
      </c>
      <c r="K62">
        <f>AVERAGE(H43:H62)</f>
        <v/>
      </c>
      <c r="L62">
        <f>I62+2.0*J62</f>
        <v/>
      </c>
      <c r="M62">
        <f>I62-2.0*J62</f>
        <v/>
      </c>
      <c r="N62">
        <f>I62+1.5*K62</f>
        <v/>
      </c>
      <c r="O62">
        <f>I62-1.5*K62</f>
        <v/>
      </c>
      <c r="P62">
        <f>AND(L62&lt;N62,M62&gt;O62)</f>
        <v/>
      </c>
      <c r="Q62">
        <f>MAX(D43:D62)</f>
        <v/>
      </c>
      <c r="R62">
        <f>MIN(E43:E62)</f>
        <v/>
      </c>
      <c r="S62">
        <f>F62-((Q62+R62)/2+I62)/2</f>
        <v/>
      </c>
      <c r="T62">
        <f>FORECAST(A62,S43:S62,A43:A62)</f>
        <v/>
      </c>
    </row>
    <row r="63">
      <c r="A63" t="n">
        <v>61</v>
      </c>
      <c r="B63" s="2" t="n">
        <v>42825</v>
      </c>
      <c r="C63" t="n">
        <v>223.84</v>
      </c>
      <c r="D63" t="n">
        <v>224.42</v>
      </c>
      <c r="E63" t="n">
        <v>223.63</v>
      </c>
      <c r="F63" t="n">
        <v>223.69</v>
      </c>
      <c r="G63" t="n">
        <v>77706304</v>
      </c>
      <c r="H63">
        <f>MAX(D63-E63,ABS(D63-F62),ABS(E63-F62))</f>
        <v/>
      </c>
      <c r="I63">
        <f>AVERAGE(F44:F63)</f>
        <v/>
      </c>
      <c r="J63">
        <f>STDEVP(F44:F63)</f>
        <v/>
      </c>
      <c r="K63">
        <f>AVERAGE(H44:H63)</f>
        <v/>
      </c>
      <c r="L63">
        <f>I63+2.0*J63</f>
        <v/>
      </c>
      <c r="M63">
        <f>I63-2.0*J63</f>
        <v/>
      </c>
      <c r="N63">
        <f>I63+1.5*K63</f>
        <v/>
      </c>
      <c r="O63">
        <f>I63-1.5*K63</f>
        <v/>
      </c>
      <c r="P63">
        <f>AND(L63&lt;N63,M63&gt;O63)</f>
        <v/>
      </c>
      <c r="Q63">
        <f>MAX(D44:D63)</f>
        <v/>
      </c>
      <c r="R63">
        <f>MIN(E44:E63)</f>
        <v/>
      </c>
      <c r="S63">
        <f>F63-((Q63+R63)/2+I63)/2</f>
        <v/>
      </c>
      <c r="T63">
        <f>FORECAST(A63,S44:S63,A44:A63)</f>
        <v/>
      </c>
    </row>
    <row r="64">
      <c r="A64" t="n">
        <v>62</v>
      </c>
      <c r="B64" s="2" t="n">
        <v>42828</v>
      </c>
      <c r="C64" t="n">
        <v>223.74</v>
      </c>
      <c r="D64" t="n">
        <v>223.96</v>
      </c>
      <c r="E64" t="n">
        <v>221.95</v>
      </c>
      <c r="F64" t="n">
        <v>223.3</v>
      </c>
      <c r="G64" t="n">
        <v>90156280</v>
      </c>
      <c r="H64">
        <f>MAX(D64-E64,ABS(D64-F63),ABS(E64-F63))</f>
        <v/>
      </c>
      <c r="I64">
        <f>AVERAGE(F45:F64)</f>
        <v/>
      </c>
      <c r="J64">
        <f>STDEVP(F45:F64)</f>
        <v/>
      </c>
      <c r="K64">
        <f>AVERAGE(H45:H64)</f>
        <v/>
      </c>
      <c r="L64">
        <f>I64+2.0*J64</f>
        <v/>
      </c>
      <c r="M64">
        <f>I64-2.0*J64</f>
        <v/>
      </c>
      <c r="N64">
        <f>I64+1.5*K64</f>
        <v/>
      </c>
      <c r="O64">
        <f>I64-1.5*K64</f>
        <v/>
      </c>
      <c r="P64">
        <f>AND(L64&lt;N64,M64&gt;O64)</f>
        <v/>
      </c>
      <c r="Q64">
        <f>MAX(D45:D64)</f>
        <v/>
      </c>
      <c r="R64">
        <f>MIN(E45:E64)</f>
        <v/>
      </c>
      <c r="S64">
        <f>F64-((Q64+R64)/2+I64)/2</f>
        <v/>
      </c>
      <c r="T64">
        <f>FORECAST(A64,S45:S64,A45:A64)</f>
        <v/>
      </c>
    </row>
    <row r="65">
      <c r="A65" t="n">
        <v>63</v>
      </c>
      <c r="B65" s="2" t="n">
        <v>42829</v>
      </c>
      <c r="C65" t="n">
        <v>222.98</v>
      </c>
      <c r="D65" t="n">
        <v>223.53</v>
      </c>
      <c r="E65" t="n">
        <v>222.56</v>
      </c>
      <c r="F65" t="n">
        <v>223.44</v>
      </c>
      <c r="G65" t="n">
        <v>59508952</v>
      </c>
      <c r="H65">
        <f>MAX(D65-E65,ABS(D65-F64),ABS(E65-F64))</f>
        <v/>
      </c>
      <c r="I65">
        <f>AVERAGE(F46:F65)</f>
        <v/>
      </c>
      <c r="J65">
        <f>STDEVP(F46:F65)</f>
        <v/>
      </c>
      <c r="K65">
        <f>AVERAGE(H46:H65)</f>
        <v/>
      </c>
      <c r="L65">
        <f>I65+2.0*J65</f>
        <v/>
      </c>
      <c r="M65">
        <f>I65-2.0*J65</f>
        <v/>
      </c>
      <c r="N65">
        <f>I65+1.5*K65</f>
        <v/>
      </c>
      <c r="O65">
        <f>I65-1.5*K65</f>
        <v/>
      </c>
      <c r="P65">
        <f>AND(L65&lt;N65,M65&gt;O65)</f>
        <v/>
      </c>
      <c r="Q65">
        <f>MAX(D46:D65)</f>
        <v/>
      </c>
      <c r="R65">
        <f>MIN(E46:E65)</f>
        <v/>
      </c>
      <c r="S65">
        <f>F65-((Q65+R65)/2+I65)/2</f>
        <v/>
      </c>
      <c r="T65">
        <f>FORECAST(A65,S46:S65,A46:A65)</f>
        <v/>
      </c>
    </row>
    <row r="66">
      <c r="A66" t="n">
        <v>64</v>
      </c>
      <c r="B66" s="2" t="n">
        <v>42830</v>
      </c>
      <c r="C66" t="n">
        <v>224.18</v>
      </c>
      <c r="D66" t="n">
        <v>225.25</v>
      </c>
      <c r="E66" t="n">
        <v>222.55</v>
      </c>
      <c r="F66" t="n">
        <v>222.78</v>
      </c>
      <c r="G66" t="n">
        <v>114663488</v>
      </c>
      <c r="H66">
        <f>MAX(D66-E66,ABS(D66-F65),ABS(E66-F65))</f>
        <v/>
      </c>
      <c r="I66">
        <f>AVERAGE(F47:F66)</f>
        <v/>
      </c>
      <c r="J66">
        <f>STDEVP(F47:F66)</f>
        <v/>
      </c>
      <c r="K66">
        <f>AVERAGE(H47:H66)</f>
        <v/>
      </c>
      <c r="L66">
        <f>I66+2.0*J66</f>
        <v/>
      </c>
      <c r="M66">
        <f>I66-2.0*J66</f>
        <v/>
      </c>
      <c r="N66">
        <f>I66+1.5*K66</f>
        <v/>
      </c>
      <c r="O66">
        <f>I66-1.5*K66</f>
        <v/>
      </c>
      <c r="P66">
        <f>AND(L66&lt;N66,M66&gt;O66)</f>
        <v/>
      </c>
      <c r="Q66">
        <f>MAX(D47:D66)</f>
        <v/>
      </c>
      <c r="R66">
        <f>MIN(E47:E66)</f>
        <v/>
      </c>
      <c r="S66">
        <f>F66-((Q66+R66)/2+I66)/2</f>
        <v/>
      </c>
      <c r="T66">
        <f>FORECAST(A66,S47:S66,A47:A66)</f>
        <v/>
      </c>
    </row>
    <row r="67">
      <c r="A67" t="n">
        <v>65</v>
      </c>
      <c r="B67" s="2" t="n">
        <v>42831</v>
      </c>
      <c r="C67" t="n">
        <v>222.93</v>
      </c>
      <c r="D67" t="n">
        <v>223.97</v>
      </c>
      <c r="E67" t="n">
        <v>222.44</v>
      </c>
      <c r="F67" t="n">
        <v>223.4</v>
      </c>
      <c r="G67" t="n">
        <v>72861232</v>
      </c>
      <c r="H67">
        <f>MAX(D67-E67,ABS(D67-F66),ABS(E67-F66))</f>
        <v/>
      </c>
      <c r="I67">
        <f>AVERAGE(F48:F67)</f>
        <v/>
      </c>
      <c r="J67">
        <f>STDEVP(F48:F67)</f>
        <v/>
      </c>
      <c r="K67">
        <f>AVERAGE(H48:H67)</f>
        <v/>
      </c>
      <c r="L67">
        <f>I67+2.0*J67</f>
        <v/>
      </c>
      <c r="M67">
        <f>I67-2.0*J67</f>
        <v/>
      </c>
      <c r="N67">
        <f>I67+1.5*K67</f>
        <v/>
      </c>
      <c r="O67">
        <f>I67-1.5*K67</f>
        <v/>
      </c>
      <c r="P67">
        <f>AND(L67&lt;N67,M67&gt;O67)</f>
        <v/>
      </c>
      <c r="Q67">
        <f>MAX(D48:D67)</f>
        <v/>
      </c>
      <c r="R67">
        <f>MIN(E48:E67)</f>
        <v/>
      </c>
      <c r="S67">
        <f>F67-((Q67+R67)/2+I67)/2</f>
        <v/>
      </c>
      <c r="T67">
        <f>FORECAST(A67,S48:S67,A48:A67)</f>
        <v/>
      </c>
    </row>
    <row r="68">
      <c r="A68" t="n">
        <v>66</v>
      </c>
      <c r="B68" s="2" t="n">
        <v>42832</v>
      </c>
      <c r="C68" t="n">
        <v>223.13</v>
      </c>
      <c r="D68" t="n">
        <v>223.93</v>
      </c>
      <c r="E68" t="n">
        <v>222.64</v>
      </c>
      <c r="F68" t="n">
        <v>223.17</v>
      </c>
      <c r="G68" t="n">
        <v>78422128</v>
      </c>
      <c r="H68">
        <f>MAX(D68-E68,ABS(D68-F67),ABS(E68-F67))</f>
        <v/>
      </c>
      <c r="I68">
        <f>AVERAGE(F49:F68)</f>
        <v/>
      </c>
      <c r="J68">
        <f>STDEVP(F49:F68)</f>
        <v/>
      </c>
      <c r="K68">
        <f>AVERAGE(H49:H68)</f>
        <v/>
      </c>
      <c r="L68">
        <f>I68+2.0*J68</f>
        <v/>
      </c>
      <c r="M68">
        <f>I68-2.0*J68</f>
        <v/>
      </c>
      <c r="N68">
        <f>I68+1.5*K68</f>
        <v/>
      </c>
      <c r="O68">
        <f>I68-1.5*K68</f>
        <v/>
      </c>
      <c r="P68">
        <f>AND(L68&lt;N68,M68&gt;O68)</f>
        <v/>
      </c>
      <c r="Q68">
        <f>MAX(D49:D68)</f>
        <v/>
      </c>
      <c r="R68">
        <f>MIN(E49:E68)</f>
        <v/>
      </c>
      <c r="S68">
        <f>F68-((Q68+R68)/2+I68)/2</f>
        <v/>
      </c>
      <c r="T68">
        <f>FORECAST(A68,S49:S68,A49:A68)</f>
        <v/>
      </c>
    </row>
    <row r="69">
      <c r="A69" t="n">
        <v>67</v>
      </c>
      <c r="B69" s="2" t="n">
        <v>42835</v>
      </c>
      <c r="C69" t="n">
        <v>223.33</v>
      </c>
      <c r="D69" t="n">
        <v>224.18</v>
      </c>
      <c r="E69" t="n">
        <v>222.73</v>
      </c>
      <c r="F69" t="n">
        <v>223.31</v>
      </c>
      <c r="G69" t="n">
        <v>71258848</v>
      </c>
      <c r="H69">
        <f>MAX(D69-E69,ABS(D69-F68),ABS(E69-F68))</f>
        <v/>
      </c>
      <c r="I69">
        <f>AVERAGE(F50:F69)</f>
        <v/>
      </c>
      <c r="J69">
        <f>STDEVP(F50:F69)</f>
        <v/>
      </c>
      <c r="K69">
        <f>AVERAGE(H50:H69)</f>
        <v/>
      </c>
      <c r="L69">
        <f>I69+2.0*J69</f>
        <v/>
      </c>
      <c r="M69">
        <f>I69-2.0*J69</f>
        <v/>
      </c>
      <c r="N69">
        <f>I69+1.5*K69</f>
        <v/>
      </c>
      <c r="O69">
        <f>I69-1.5*K69</f>
        <v/>
      </c>
      <c r="P69">
        <f>AND(L69&lt;N69,M69&gt;O69)</f>
        <v/>
      </c>
      <c r="Q69">
        <f>MAX(D50:D69)</f>
        <v/>
      </c>
      <c r="R69">
        <f>MIN(E50:E69)</f>
        <v/>
      </c>
      <c r="S69">
        <f>F69-((Q69+R69)/2+I69)/2</f>
        <v/>
      </c>
      <c r="T69">
        <f>FORECAST(A69,S50:S69,A50:A69)</f>
        <v/>
      </c>
    </row>
    <row r="70">
      <c r="A70" t="n">
        <v>68</v>
      </c>
      <c r="B70" s="2" t="n">
        <v>42836</v>
      </c>
      <c r="C70" t="n">
        <v>222.89</v>
      </c>
      <c r="D70" t="n">
        <v>223.15</v>
      </c>
      <c r="E70" t="n">
        <v>221.41</v>
      </c>
      <c r="F70" t="n">
        <v>223.04</v>
      </c>
      <c r="G70" t="n">
        <v>92789720</v>
      </c>
      <c r="H70">
        <f>MAX(D70-E70,ABS(D70-F69),ABS(E70-F69))</f>
        <v/>
      </c>
      <c r="I70">
        <f>AVERAGE(F51:F70)</f>
        <v/>
      </c>
      <c r="J70">
        <f>STDEVP(F51:F70)</f>
        <v/>
      </c>
      <c r="K70">
        <f>AVERAGE(H51:H70)</f>
        <v/>
      </c>
      <c r="L70">
        <f>I70+2.0*J70</f>
        <v/>
      </c>
      <c r="M70">
        <f>I70-2.0*J70</f>
        <v/>
      </c>
      <c r="N70">
        <f>I70+1.5*K70</f>
        <v/>
      </c>
      <c r="O70">
        <f>I70-1.5*K70</f>
        <v/>
      </c>
      <c r="P70">
        <f>AND(L70&lt;N70,M70&gt;O70)</f>
        <v/>
      </c>
      <c r="Q70">
        <f>MAX(D51:D70)</f>
        <v/>
      </c>
      <c r="R70">
        <f>MIN(E51:E70)</f>
        <v/>
      </c>
      <c r="S70">
        <f>F70-((Q70+R70)/2+I70)/2</f>
        <v/>
      </c>
      <c r="T70">
        <f>FORECAST(A70,S51:S70,A51:A70)</f>
        <v/>
      </c>
    </row>
    <row r="71">
      <c r="A71" t="n">
        <v>69</v>
      </c>
      <c r="B71" s="2" t="n">
        <v>42837</v>
      </c>
      <c r="C71" t="n">
        <v>222.74</v>
      </c>
      <c r="D71" t="n">
        <v>222.95</v>
      </c>
      <c r="E71" t="n">
        <v>221.82</v>
      </c>
      <c r="F71" t="n">
        <v>222.06</v>
      </c>
      <c r="G71" t="n">
        <v>86275816</v>
      </c>
      <c r="H71">
        <f>MAX(D71-E71,ABS(D71-F70),ABS(E71-F70))</f>
        <v/>
      </c>
      <c r="I71">
        <f>AVERAGE(F52:F71)</f>
        <v/>
      </c>
      <c r="J71">
        <f>STDEVP(F52:F71)</f>
        <v/>
      </c>
      <c r="K71">
        <f>AVERAGE(H52:H71)</f>
        <v/>
      </c>
      <c r="L71">
        <f>I71+2.0*J71</f>
        <v/>
      </c>
      <c r="M71">
        <f>I71-2.0*J71</f>
        <v/>
      </c>
      <c r="N71">
        <f>I71+1.5*K71</f>
        <v/>
      </c>
      <c r="O71">
        <f>I71-1.5*K71</f>
        <v/>
      </c>
      <c r="P71">
        <f>AND(L71&lt;N71,M71&gt;O71)</f>
        <v/>
      </c>
      <c r="Q71">
        <f>MAX(D52:D71)</f>
        <v/>
      </c>
      <c r="R71">
        <f>MIN(E52:E71)</f>
        <v/>
      </c>
      <c r="S71">
        <f>F71-((Q71+R71)/2+I71)/2</f>
        <v/>
      </c>
      <c r="T71">
        <f>FORECAST(A71,S52:S71,A52:A71)</f>
        <v/>
      </c>
    </row>
    <row r="72">
      <c r="A72" t="n">
        <v>70</v>
      </c>
      <c r="B72" s="2" t="n">
        <v>42838</v>
      </c>
      <c r="C72" t="n">
        <v>221.69</v>
      </c>
      <c r="D72" t="n">
        <v>222.5</v>
      </c>
      <c r="E72" t="n">
        <v>220.62</v>
      </c>
      <c r="F72" t="n">
        <v>220.62</v>
      </c>
      <c r="G72" t="n">
        <v>97885392</v>
      </c>
      <c r="H72">
        <f>MAX(D72-E72,ABS(D72-F71),ABS(E72-F71))</f>
        <v/>
      </c>
      <c r="I72">
        <f>AVERAGE(F53:F72)</f>
        <v/>
      </c>
      <c r="J72">
        <f>STDEVP(F53:F72)</f>
        <v/>
      </c>
      <c r="K72">
        <f>AVERAGE(H53:H72)</f>
        <v/>
      </c>
      <c r="L72">
        <f>I72+2.0*J72</f>
        <v/>
      </c>
      <c r="M72">
        <f>I72-2.0*J72</f>
        <v/>
      </c>
      <c r="N72">
        <f>I72+1.5*K72</f>
        <v/>
      </c>
      <c r="O72">
        <f>I72-1.5*K72</f>
        <v/>
      </c>
      <c r="P72">
        <f>AND(L72&lt;N72,M72&gt;O72)</f>
        <v/>
      </c>
      <c r="Q72">
        <f>MAX(D53:D72)</f>
        <v/>
      </c>
      <c r="R72">
        <f>MIN(E53:E72)</f>
        <v/>
      </c>
      <c r="S72">
        <f>F72-((Q72+R72)/2+I72)/2</f>
        <v/>
      </c>
      <c r="T72">
        <f>FORECAST(A72,S53:S72,A53:A72)</f>
        <v/>
      </c>
    </row>
    <row r="73">
      <c r="A73" t="n">
        <v>71</v>
      </c>
      <c r="B73" s="2" t="n">
        <v>42842</v>
      </c>
      <c r="C73" t="n">
        <v>221.19</v>
      </c>
      <c r="D73" t="n">
        <v>222.58</v>
      </c>
      <c r="E73" t="n">
        <v>220.97</v>
      </c>
      <c r="F73" t="n">
        <v>222.58</v>
      </c>
      <c r="G73" t="n">
        <v>72091488</v>
      </c>
      <c r="H73">
        <f>MAX(D73-E73,ABS(D73-F72),ABS(E73-F72))</f>
        <v/>
      </c>
      <c r="I73">
        <f>AVERAGE(F54:F73)</f>
        <v/>
      </c>
      <c r="J73">
        <f>STDEVP(F54:F73)</f>
        <v/>
      </c>
      <c r="K73">
        <f>AVERAGE(H54:H73)</f>
        <v/>
      </c>
      <c r="L73">
        <f>I73+2.0*J73</f>
        <v/>
      </c>
      <c r="M73">
        <f>I73-2.0*J73</f>
        <v/>
      </c>
      <c r="N73">
        <f>I73+1.5*K73</f>
        <v/>
      </c>
      <c r="O73">
        <f>I73-1.5*K73</f>
        <v/>
      </c>
      <c r="P73">
        <f>AND(L73&lt;N73,M73&gt;O73)</f>
        <v/>
      </c>
      <c r="Q73">
        <f>MAX(D54:D73)</f>
        <v/>
      </c>
      <c r="R73">
        <f>MIN(E54:E73)</f>
        <v/>
      </c>
      <c r="S73">
        <f>F73-((Q73+R73)/2+I73)/2</f>
        <v/>
      </c>
      <c r="T73">
        <f>FORECAST(A73,S54:S73,A54:A73)</f>
        <v/>
      </c>
    </row>
    <row r="74">
      <c r="A74" t="n">
        <v>72</v>
      </c>
      <c r="B74" s="2" t="n">
        <v>42843</v>
      </c>
      <c r="C74" t="n">
        <v>221.77</v>
      </c>
      <c r="D74" t="n">
        <v>222.5</v>
      </c>
      <c r="E74" t="n">
        <v>221.16</v>
      </c>
      <c r="F74" t="n">
        <v>221.91</v>
      </c>
      <c r="G74" t="n">
        <v>87710560</v>
      </c>
      <c r="H74">
        <f>MAX(D74-E74,ABS(D74-F73),ABS(E74-F73))</f>
        <v/>
      </c>
      <c r="I74">
        <f>AVERAGE(F55:F74)</f>
        <v/>
      </c>
      <c r="J74">
        <f>STDEVP(F55:F74)</f>
        <v/>
      </c>
      <c r="K74">
        <f>AVERAGE(H55:H74)</f>
        <v/>
      </c>
      <c r="L74">
        <f>I74+2.0*J74</f>
        <v/>
      </c>
      <c r="M74">
        <f>I74-2.0*J74</f>
        <v/>
      </c>
      <c r="N74">
        <f>I74+1.5*K74</f>
        <v/>
      </c>
      <c r="O74">
        <f>I74-1.5*K74</f>
        <v/>
      </c>
      <c r="P74">
        <f>AND(L74&lt;N74,M74&gt;O74)</f>
        <v/>
      </c>
      <c r="Q74">
        <f>MAX(D55:D74)</f>
        <v/>
      </c>
      <c r="R74">
        <f>MIN(E55:E74)</f>
        <v/>
      </c>
      <c r="S74">
        <f>F74-((Q74+R74)/2+I74)/2</f>
        <v/>
      </c>
      <c r="T74">
        <f>FORECAST(A74,S55:S74,A55:A74)</f>
        <v/>
      </c>
    </row>
    <row r="75">
      <c r="A75" t="n">
        <v>73</v>
      </c>
      <c r="B75" s="2" t="n">
        <v>42844</v>
      </c>
      <c r="C75" t="n">
        <v>222.53</v>
      </c>
      <c r="D75" t="n">
        <v>222.94</v>
      </c>
      <c r="E75" t="n">
        <v>221.26</v>
      </c>
      <c r="F75" t="n">
        <v>221.5</v>
      </c>
      <c r="G75" t="n">
        <v>72401856</v>
      </c>
      <c r="H75">
        <f>MAX(D75-E75,ABS(D75-F74),ABS(E75-F74))</f>
        <v/>
      </c>
      <c r="I75">
        <f>AVERAGE(F56:F75)</f>
        <v/>
      </c>
      <c r="J75">
        <f>STDEVP(F56:F75)</f>
        <v/>
      </c>
      <c r="K75">
        <f>AVERAGE(H56:H75)</f>
        <v/>
      </c>
      <c r="L75">
        <f>I75+2.0*J75</f>
        <v/>
      </c>
      <c r="M75">
        <f>I75-2.0*J75</f>
        <v/>
      </c>
      <c r="N75">
        <f>I75+1.5*K75</f>
        <v/>
      </c>
      <c r="O75">
        <f>I75-1.5*K75</f>
        <v/>
      </c>
      <c r="P75">
        <f>AND(L75&lt;N75,M75&gt;O75)</f>
        <v/>
      </c>
      <c r="Q75">
        <f>MAX(D56:D75)</f>
        <v/>
      </c>
      <c r="R75">
        <f>MIN(E56:E75)</f>
        <v/>
      </c>
      <c r="S75">
        <f>F75-((Q75+R75)/2+I75)/2</f>
        <v/>
      </c>
      <c r="T75">
        <f>FORECAST(A75,S56:S75,A56:A75)</f>
        <v/>
      </c>
    </row>
    <row r="76">
      <c r="A76" t="n">
        <v>74</v>
      </c>
      <c r="B76" s="2" t="n">
        <v>42845</v>
      </c>
      <c r="C76" t="n">
        <v>222.18</v>
      </c>
      <c r="D76" t="n">
        <v>223.79</v>
      </c>
      <c r="E76" t="n">
        <v>221.83</v>
      </c>
      <c r="F76" t="n">
        <v>223.31</v>
      </c>
      <c r="G76" t="n">
        <v>97560568</v>
      </c>
      <c r="H76">
        <f>MAX(D76-E76,ABS(D76-F75),ABS(E76-F75))</f>
        <v/>
      </c>
      <c r="I76">
        <f>AVERAGE(F57:F76)</f>
        <v/>
      </c>
      <c r="J76">
        <f>STDEVP(F57:F76)</f>
        <v/>
      </c>
      <c r="K76">
        <f>AVERAGE(H57:H76)</f>
        <v/>
      </c>
      <c r="L76">
        <f>I76+2.0*J76</f>
        <v/>
      </c>
      <c r="M76">
        <f>I76-2.0*J76</f>
        <v/>
      </c>
      <c r="N76">
        <f>I76+1.5*K76</f>
        <v/>
      </c>
      <c r="O76">
        <f>I76-1.5*K76</f>
        <v/>
      </c>
      <c r="P76">
        <f>AND(L76&lt;N76,M76&gt;O76)</f>
        <v/>
      </c>
      <c r="Q76">
        <f>MAX(D57:D76)</f>
        <v/>
      </c>
      <c r="R76">
        <f>MIN(E57:E76)</f>
        <v/>
      </c>
      <c r="S76">
        <f>F76-((Q76+R76)/2+I76)/2</f>
        <v/>
      </c>
      <c r="T76">
        <f>FORECAST(A76,S57:S76,A57:A76)</f>
        <v/>
      </c>
    </row>
    <row r="77">
      <c r="A77" t="n">
        <v>75</v>
      </c>
      <c r="B77" s="2" t="n">
        <v>42846</v>
      </c>
      <c r="C77" t="n">
        <v>223.22</v>
      </c>
      <c r="D77" t="n">
        <v>223.28</v>
      </c>
      <c r="E77" t="n">
        <v>222.16</v>
      </c>
      <c r="F77" t="n">
        <v>222.6</v>
      </c>
      <c r="G77" t="n">
        <v>116338368</v>
      </c>
      <c r="H77">
        <f>MAX(D77-E77,ABS(D77-F76),ABS(E77-F76))</f>
        <v/>
      </c>
      <c r="I77">
        <f>AVERAGE(F58:F77)</f>
        <v/>
      </c>
      <c r="J77">
        <f>STDEVP(F58:F77)</f>
        <v/>
      </c>
      <c r="K77">
        <f>AVERAGE(H58:H77)</f>
        <v/>
      </c>
      <c r="L77">
        <f>I77+2.0*J77</f>
        <v/>
      </c>
      <c r="M77">
        <f>I77-2.0*J77</f>
        <v/>
      </c>
      <c r="N77">
        <f>I77+1.5*K77</f>
        <v/>
      </c>
      <c r="O77">
        <f>I77-1.5*K77</f>
        <v/>
      </c>
      <c r="P77">
        <f>AND(L77&lt;N77,M77&gt;O77)</f>
        <v/>
      </c>
      <c r="Q77">
        <f>MAX(D58:D77)</f>
        <v/>
      </c>
      <c r="R77">
        <f>MIN(E58:E77)</f>
        <v/>
      </c>
      <c r="S77">
        <f>F77-((Q77+R77)/2+I77)/2</f>
        <v/>
      </c>
      <c r="T77">
        <f>FORECAST(A77,S58:S77,A58:A77)</f>
        <v/>
      </c>
    </row>
    <row r="78">
      <c r="A78" t="n">
        <v>76</v>
      </c>
      <c r="B78" s="2" t="n">
        <v>42849</v>
      </c>
      <c r="C78" t="n">
        <v>225.05</v>
      </c>
      <c r="D78" t="n">
        <v>225.27</v>
      </c>
      <c r="E78" t="n">
        <v>222.57</v>
      </c>
      <c r="F78" t="n">
        <v>225.04</v>
      </c>
      <c r="G78" t="n">
        <v>125633672</v>
      </c>
      <c r="H78">
        <f>MAX(D78-E78,ABS(D78-F77),ABS(E78-F77))</f>
        <v/>
      </c>
      <c r="I78">
        <f>AVERAGE(F59:F78)</f>
        <v/>
      </c>
      <c r="J78">
        <f>STDEVP(F59:F78)</f>
        <v/>
      </c>
      <c r="K78">
        <f>AVERAGE(H59:H78)</f>
        <v/>
      </c>
      <c r="L78">
        <f>I78+2.0*J78</f>
        <v/>
      </c>
      <c r="M78">
        <f>I78-2.0*J78</f>
        <v/>
      </c>
      <c r="N78">
        <f>I78+1.5*K78</f>
        <v/>
      </c>
      <c r="O78">
        <f>I78-1.5*K78</f>
        <v/>
      </c>
      <c r="P78">
        <f>AND(L78&lt;N78,M78&gt;O78)</f>
        <v/>
      </c>
      <c r="Q78">
        <f>MAX(D59:D78)</f>
        <v/>
      </c>
      <c r="R78">
        <f>MIN(E59:E78)</f>
        <v/>
      </c>
      <c r="S78">
        <f>F78-((Q78+R78)/2+I78)/2</f>
        <v/>
      </c>
      <c r="T78">
        <f>FORECAST(A78,S59:S78,A59:A78)</f>
        <v/>
      </c>
    </row>
    <row r="79">
      <c r="A79" t="n">
        <v>77</v>
      </c>
      <c r="B79" s="2" t="n">
        <v>42850</v>
      </c>
      <c r="C79" t="n">
        <v>225.75</v>
      </c>
      <c r="D79" t="n">
        <v>226.73</v>
      </c>
      <c r="E79" t="n">
        <v>225.65</v>
      </c>
      <c r="F79" t="n">
        <v>226.35</v>
      </c>
      <c r="G79" t="n">
        <v>80831256</v>
      </c>
      <c r="H79">
        <f>MAX(D79-E79,ABS(D79-F78),ABS(E79-F78))</f>
        <v/>
      </c>
      <c r="I79">
        <f>AVERAGE(F60:F79)</f>
        <v/>
      </c>
      <c r="J79">
        <f>STDEVP(F60:F79)</f>
        <v/>
      </c>
      <c r="K79">
        <f>AVERAGE(H60:H79)</f>
        <v/>
      </c>
      <c r="L79">
        <f>I79+2.0*J79</f>
        <v/>
      </c>
      <c r="M79">
        <f>I79-2.0*J79</f>
        <v/>
      </c>
      <c r="N79">
        <f>I79+1.5*K79</f>
        <v/>
      </c>
      <c r="O79">
        <f>I79-1.5*K79</f>
        <v/>
      </c>
      <c r="P79">
        <f>AND(L79&lt;N79,M79&gt;O79)</f>
        <v/>
      </c>
      <c r="Q79">
        <f>MAX(D60:D79)</f>
        <v/>
      </c>
      <c r="R79">
        <f>MIN(E60:E79)</f>
        <v/>
      </c>
      <c r="S79">
        <f>F79-((Q79+R79)/2+I79)/2</f>
        <v/>
      </c>
      <c r="T79">
        <f>FORECAST(A79,S60:S79,A60:A79)</f>
        <v/>
      </c>
    </row>
    <row r="80">
      <c r="A80" t="n">
        <v>78</v>
      </c>
      <c r="B80" s="2" t="n">
        <v>42851</v>
      </c>
      <c r="C80" t="n">
        <v>226.31</v>
      </c>
      <c r="D80" t="n">
        <v>227.28</v>
      </c>
      <c r="E80" t="n">
        <v>226.16</v>
      </c>
      <c r="F80" t="n">
        <v>226.21</v>
      </c>
      <c r="G80" t="n">
        <v>89266768</v>
      </c>
      <c r="H80">
        <f>MAX(D80-E80,ABS(D80-F79),ABS(E80-F79))</f>
        <v/>
      </c>
      <c r="I80">
        <f>AVERAGE(F61:F80)</f>
        <v/>
      </c>
      <c r="J80">
        <f>STDEVP(F61:F80)</f>
        <v/>
      </c>
      <c r="K80">
        <f>AVERAGE(H61:H80)</f>
        <v/>
      </c>
      <c r="L80">
        <f>I80+2.0*J80</f>
        <v/>
      </c>
      <c r="M80">
        <f>I80-2.0*J80</f>
        <v/>
      </c>
      <c r="N80">
        <f>I80+1.5*K80</f>
        <v/>
      </c>
      <c r="O80">
        <f>I80-1.5*K80</f>
        <v/>
      </c>
      <c r="P80">
        <f>AND(L80&lt;N80,M80&gt;O80)</f>
        <v/>
      </c>
      <c r="Q80">
        <f>MAX(D61:D80)</f>
        <v/>
      </c>
      <c r="R80">
        <f>MIN(E61:E80)</f>
        <v/>
      </c>
      <c r="S80">
        <f>F80-((Q80+R80)/2+I80)/2</f>
        <v/>
      </c>
      <c r="T80">
        <f>FORECAST(A80,S61:S80,A61:A80)</f>
        <v/>
      </c>
    </row>
    <row r="81">
      <c r="A81" t="n">
        <v>79</v>
      </c>
      <c r="B81" s="2" t="n">
        <v>42852</v>
      </c>
      <c r="C81" t="n">
        <v>226.56</v>
      </c>
      <c r="D81" t="n">
        <v>226.73</v>
      </c>
      <c r="E81" t="n">
        <v>225.81</v>
      </c>
      <c r="F81" t="n">
        <v>226.4</v>
      </c>
      <c r="G81" t="n">
        <v>60503960</v>
      </c>
      <c r="H81">
        <f>MAX(D81-E81,ABS(D81-F80),ABS(E81-F80))</f>
        <v/>
      </c>
      <c r="I81">
        <f>AVERAGE(F62:F81)</f>
        <v/>
      </c>
      <c r="J81">
        <f>STDEVP(F62:F81)</f>
        <v/>
      </c>
      <c r="K81">
        <f>AVERAGE(H62:H81)</f>
        <v/>
      </c>
      <c r="L81">
        <f>I81+2.0*J81</f>
        <v/>
      </c>
      <c r="M81">
        <f>I81-2.0*J81</f>
        <v/>
      </c>
      <c r="N81">
        <f>I81+1.5*K81</f>
        <v/>
      </c>
      <c r="O81">
        <f>I81-1.5*K81</f>
        <v/>
      </c>
      <c r="P81">
        <f>AND(L81&lt;N81,M81&gt;O81)</f>
        <v/>
      </c>
      <c r="Q81">
        <f>MAX(D62:D81)</f>
        <v/>
      </c>
      <c r="R81">
        <f>MIN(E62:E81)</f>
        <v/>
      </c>
      <c r="S81">
        <f>F81-((Q81+R81)/2+I81)/2</f>
        <v/>
      </c>
      <c r="T81">
        <f>FORECAST(A81,S62:S81,A62:A81)</f>
        <v/>
      </c>
    </row>
    <row r="82">
      <c r="A82" t="n">
        <v>80</v>
      </c>
      <c r="B82" s="2" t="n">
        <v>42853</v>
      </c>
      <c r="C82" t="n">
        <v>226.68</v>
      </c>
      <c r="D82" t="n">
        <v>226.71</v>
      </c>
      <c r="E82" t="n">
        <v>225.76</v>
      </c>
      <c r="F82" t="n">
        <v>225.91</v>
      </c>
      <c r="G82" t="n">
        <v>66956400</v>
      </c>
      <c r="H82">
        <f>MAX(D82-E82,ABS(D82-F81),ABS(E82-F81))</f>
        <v/>
      </c>
      <c r="I82">
        <f>AVERAGE(F63:F82)</f>
        <v/>
      </c>
      <c r="J82">
        <f>STDEVP(F63:F82)</f>
        <v/>
      </c>
      <c r="K82">
        <f>AVERAGE(H63:H82)</f>
        <v/>
      </c>
      <c r="L82">
        <f>I82+2.0*J82</f>
        <v/>
      </c>
      <c r="M82">
        <f>I82-2.0*J82</f>
        <v/>
      </c>
      <c r="N82">
        <f>I82+1.5*K82</f>
        <v/>
      </c>
      <c r="O82">
        <f>I82-1.5*K82</f>
        <v/>
      </c>
      <c r="P82">
        <f>AND(L82&lt;N82,M82&gt;O82)</f>
        <v/>
      </c>
      <c r="Q82">
        <f>MAX(D63:D82)</f>
        <v/>
      </c>
      <c r="R82">
        <f>MIN(E63:E82)</f>
        <v/>
      </c>
      <c r="S82">
        <f>F82-((Q82+R82)/2+I82)/2</f>
        <v/>
      </c>
      <c r="T82">
        <f>FORECAST(A82,S63:S82,A63:A82)</f>
        <v/>
      </c>
    </row>
    <row r="83">
      <c r="A83" t="n">
        <v>81</v>
      </c>
      <c r="B83" s="2" t="n">
        <v>42856</v>
      </c>
      <c r="C83" t="n">
        <v>226.48</v>
      </c>
      <c r="D83" t="n">
        <v>226.94</v>
      </c>
      <c r="E83" t="n">
        <v>226.02</v>
      </c>
      <c r="F83" t="n">
        <v>226.48</v>
      </c>
      <c r="G83" t="n">
        <v>70486576</v>
      </c>
      <c r="H83">
        <f>MAX(D83-E83,ABS(D83-F82),ABS(E83-F82))</f>
        <v/>
      </c>
      <c r="I83">
        <f>AVERAGE(F64:F83)</f>
        <v/>
      </c>
      <c r="J83">
        <f>STDEVP(F64:F83)</f>
        <v/>
      </c>
      <c r="K83">
        <f>AVERAGE(H64:H83)</f>
        <v/>
      </c>
      <c r="L83">
        <f>I83+2.0*J83</f>
        <v/>
      </c>
      <c r="M83">
        <f>I83-2.0*J83</f>
        <v/>
      </c>
      <c r="N83">
        <f>I83+1.5*K83</f>
        <v/>
      </c>
      <c r="O83">
        <f>I83-1.5*K83</f>
        <v/>
      </c>
      <c r="P83">
        <f>AND(L83&lt;N83,M83&gt;O83)</f>
        <v/>
      </c>
      <c r="Q83">
        <f>MAX(D64:D83)</f>
        <v/>
      </c>
      <c r="R83">
        <f>MIN(E64:E83)</f>
        <v/>
      </c>
      <c r="S83">
        <f>F83-((Q83+R83)/2+I83)/2</f>
        <v/>
      </c>
      <c r="T83">
        <f>FORECAST(A83,S64:S83,A64:A83)</f>
        <v/>
      </c>
    </row>
    <row r="84">
      <c r="A84" t="n">
        <v>82</v>
      </c>
      <c r="B84" s="2" t="n">
        <v>42857</v>
      </c>
      <c r="C84" t="n">
        <v>226.63</v>
      </c>
      <c r="D84" t="n">
        <v>226.76</v>
      </c>
      <c r="E84" t="n">
        <v>226.12</v>
      </c>
      <c r="F84" t="n">
        <v>226.56</v>
      </c>
      <c r="G84" t="n">
        <v>60467504</v>
      </c>
      <c r="H84">
        <f>MAX(D84-E84,ABS(D84-F83),ABS(E84-F83))</f>
        <v/>
      </c>
      <c r="I84">
        <f>AVERAGE(F65:F84)</f>
        <v/>
      </c>
      <c r="J84">
        <f>STDEVP(F65:F84)</f>
        <v/>
      </c>
      <c r="K84">
        <f>AVERAGE(H65:H84)</f>
        <v/>
      </c>
      <c r="L84">
        <f>I84+2.0*J84</f>
        <v/>
      </c>
      <c r="M84">
        <f>I84-2.0*J84</f>
        <v/>
      </c>
      <c r="N84">
        <f>I84+1.5*K84</f>
        <v/>
      </c>
      <c r="O84">
        <f>I84-1.5*K84</f>
        <v/>
      </c>
      <c r="P84">
        <f>AND(L84&lt;N84,M84&gt;O84)</f>
        <v/>
      </c>
      <c r="Q84">
        <f>MAX(D65:D84)</f>
        <v/>
      </c>
      <c r="R84">
        <f>MIN(E65:E84)</f>
        <v/>
      </c>
      <c r="S84">
        <f>F84-((Q84+R84)/2+I84)/2</f>
        <v/>
      </c>
      <c r="T84">
        <f>FORECAST(A84,S65:S84,A65:A84)</f>
        <v/>
      </c>
    </row>
    <row r="85">
      <c r="A85" t="n">
        <v>83</v>
      </c>
      <c r="B85" s="2" t="n">
        <v>42858</v>
      </c>
      <c r="C85" t="n">
        <v>226.11</v>
      </c>
      <c r="D85" t="n">
        <v>226.66</v>
      </c>
      <c r="E85" t="n">
        <v>225.55</v>
      </c>
      <c r="F85" t="n">
        <v>226.29</v>
      </c>
      <c r="G85" t="n">
        <v>77078864</v>
      </c>
      <c r="H85">
        <f>MAX(D85-E85,ABS(D85-F84),ABS(E85-F84))</f>
        <v/>
      </c>
      <c r="I85">
        <f>AVERAGE(F66:F85)</f>
        <v/>
      </c>
      <c r="J85">
        <f>STDEVP(F66:F85)</f>
        <v/>
      </c>
      <c r="K85">
        <f>AVERAGE(H66:H85)</f>
        <v/>
      </c>
      <c r="L85">
        <f>I85+2.0*J85</f>
        <v/>
      </c>
      <c r="M85">
        <f>I85-2.0*J85</f>
        <v/>
      </c>
      <c r="N85">
        <f>I85+1.5*K85</f>
        <v/>
      </c>
      <c r="O85">
        <f>I85-1.5*K85</f>
        <v/>
      </c>
      <c r="P85">
        <f>AND(L85&lt;N85,M85&gt;O85)</f>
        <v/>
      </c>
      <c r="Q85">
        <f>MAX(D66:D85)</f>
        <v/>
      </c>
      <c r="R85">
        <f>MIN(E66:E85)</f>
        <v/>
      </c>
      <c r="S85">
        <f>F85-((Q85+R85)/2+I85)/2</f>
        <v/>
      </c>
      <c r="T85">
        <f>FORECAST(A85,S66:S85,A66:A85)</f>
        <v/>
      </c>
    </row>
    <row r="86">
      <c r="A86" t="n">
        <v>84</v>
      </c>
      <c r="B86" s="2" t="n">
        <v>42859</v>
      </c>
      <c r="C86" t="n">
        <v>226.62</v>
      </c>
      <c r="D86" t="n">
        <v>226.71</v>
      </c>
      <c r="E86" t="n">
        <v>225.62</v>
      </c>
      <c r="F86" t="n">
        <v>226.55</v>
      </c>
      <c r="G86" t="n">
        <v>64774736</v>
      </c>
      <c r="H86">
        <f>MAX(D86-E86,ABS(D86-F85),ABS(E86-F85))</f>
        <v/>
      </c>
      <c r="I86">
        <f>AVERAGE(F67:F86)</f>
        <v/>
      </c>
      <c r="J86">
        <f>STDEVP(F67:F86)</f>
        <v/>
      </c>
      <c r="K86">
        <f>AVERAGE(H67:H86)</f>
        <v/>
      </c>
      <c r="L86">
        <f>I86+2.0*J86</f>
        <v/>
      </c>
      <c r="M86">
        <f>I86-2.0*J86</f>
        <v/>
      </c>
      <c r="N86">
        <f>I86+1.5*K86</f>
        <v/>
      </c>
      <c r="O86">
        <f>I86-1.5*K86</f>
        <v/>
      </c>
      <c r="P86">
        <f>AND(L86&lt;N86,M86&gt;O86)</f>
        <v/>
      </c>
      <c r="Q86">
        <f>MAX(D67:D86)</f>
        <v/>
      </c>
      <c r="R86">
        <f>MIN(E67:E86)</f>
        <v/>
      </c>
      <c r="S86">
        <f>F86-((Q86+R86)/2+I86)/2</f>
        <v/>
      </c>
      <c r="T86">
        <f>FORECAST(A86,S67:S86,A67:A86)</f>
        <v/>
      </c>
    </row>
    <row r="87">
      <c r="A87" t="n">
        <v>85</v>
      </c>
      <c r="B87" s="2" t="n">
        <v>42860</v>
      </c>
      <c r="C87" t="n">
        <v>226.96</v>
      </c>
      <c r="D87" t="n">
        <v>227.46</v>
      </c>
      <c r="E87" t="n">
        <v>226.48</v>
      </c>
      <c r="F87" t="n">
        <v>227.44</v>
      </c>
      <c r="G87" t="n">
        <v>65342296</v>
      </c>
      <c r="H87">
        <f>MAX(D87-E87,ABS(D87-F86),ABS(E87-F86))</f>
        <v/>
      </c>
      <c r="I87">
        <f>AVERAGE(F68:F87)</f>
        <v/>
      </c>
      <c r="J87">
        <f>STDEVP(F68:F87)</f>
        <v/>
      </c>
      <c r="K87">
        <f>AVERAGE(H68:H87)</f>
        <v/>
      </c>
      <c r="L87">
        <f>I87+2.0*J87</f>
        <v/>
      </c>
      <c r="M87">
        <f>I87-2.0*J87</f>
        <v/>
      </c>
      <c r="N87">
        <f>I87+1.5*K87</f>
        <v/>
      </c>
      <c r="O87">
        <f>I87-1.5*K87</f>
        <v/>
      </c>
      <c r="P87">
        <f>AND(L87&lt;N87,M87&gt;O87)</f>
        <v/>
      </c>
      <c r="Q87">
        <f>MAX(D68:D87)</f>
        <v/>
      </c>
      <c r="R87">
        <f>MIN(E68:E87)</f>
        <v/>
      </c>
      <c r="S87">
        <f>F87-((Q87+R87)/2+I87)/2</f>
        <v/>
      </c>
      <c r="T87">
        <f>FORECAST(A87,S68:S87,A68:A87)</f>
        <v/>
      </c>
    </row>
    <row r="88">
      <c r="A88" t="n">
        <v>86</v>
      </c>
      <c r="B88" s="2" t="n">
        <v>42863</v>
      </c>
      <c r="C88" t="n">
        <v>227.49</v>
      </c>
      <c r="D88" t="n">
        <v>227.65</v>
      </c>
      <c r="E88" t="n">
        <v>226.94</v>
      </c>
      <c r="F88" t="n">
        <v>227.41</v>
      </c>
      <c r="G88" t="n">
        <v>50993060</v>
      </c>
      <c r="H88">
        <f>MAX(D88-E88,ABS(D88-F87),ABS(E88-F87))</f>
        <v/>
      </c>
      <c r="I88">
        <f>AVERAGE(F69:F88)</f>
        <v/>
      </c>
      <c r="J88">
        <f>STDEVP(F69:F88)</f>
        <v/>
      </c>
      <c r="K88">
        <f>AVERAGE(H69:H88)</f>
        <v/>
      </c>
      <c r="L88">
        <f>I88+2.0*J88</f>
        <v/>
      </c>
      <c r="M88">
        <f>I88-2.0*J88</f>
        <v/>
      </c>
      <c r="N88">
        <f>I88+1.5*K88</f>
        <v/>
      </c>
      <c r="O88">
        <f>I88-1.5*K88</f>
        <v/>
      </c>
      <c r="P88">
        <f>AND(L88&lt;N88,M88&gt;O88)</f>
        <v/>
      </c>
      <c r="Q88">
        <f>MAX(D69:D88)</f>
        <v/>
      </c>
      <c r="R88">
        <f>MIN(E69:E88)</f>
        <v/>
      </c>
      <c r="S88">
        <f>F88-((Q88+R88)/2+I88)/2</f>
        <v/>
      </c>
      <c r="T88">
        <f>FORECAST(A88,S69:S88,A69:A88)</f>
        <v/>
      </c>
    </row>
    <row r="89">
      <c r="A89" t="n">
        <v>87</v>
      </c>
      <c r="B89" s="2" t="n">
        <v>42864</v>
      </c>
      <c r="C89" t="n">
        <v>227.69</v>
      </c>
      <c r="D89" t="n">
        <v>227.91</v>
      </c>
      <c r="E89" t="n">
        <v>226.82</v>
      </c>
      <c r="F89" t="n">
        <v>227.2</v>
      </c>
      <c r="G89" t="n">
        <v>54130976</v>
      </c>
      <c r="H89">
        <f>MAX(D89-E89,ABS(D89-F88),ABS(E89-F88))</f>
        <v/>
      </c>
      <c r="I89">
        <f>AVERAGE(F70:F89)</f>
        <v/>
      </c>
      <c r="J89">
        <f>STDEVP(F70:F89)</f>
        <v/>
      </c>
      <c r="K89">
        <f>AVERAGE(H70:H89)</f>
        <v/>
      </c>
      <c r="L89">
        <f>I89+2.0*J89</f>
        <v/>
      </c>
      <c r="M89">
        <f>I89-2.0*J89</f>
        <v/>
      </c>
      <c r="N89">
        <f>I89+1.5*K89</f>
        <v/>
      </c>
      <c r="O89">
        <f>I89-1.5*K89</f>
        <v/>
      </c>
      <c r="P89">
        <f>AND(L89&lt;N89,M89&gt;O89)</f>
        <v/>
      </c>
      <c r="Q89">
        <f>MAX(D70:D89)</f>
        <v/>
      </c>
      <c r="R89">
        <f>MIN(E70:E89)</f>
        <v/>
      </c>
      <c r="S89">
        <f>F89-((Q89+R89)/2+I89)/2</f>
        <v/>
      </c>
      <c r="T89">
        <f>FORECAST(A89,S70:S89,A70:A89)</f>
        <v/>
      </c>
    </row>
    <row r="90">
      <c r="A90" t="n">
        <v>88</v>
      </c>
      <c r="B90" s="2" t="n">
        <v>42865</v>
      </c>
      <c r="C90" t="n">
        <v>227.15</v>
      </c>
      <c r="D90" t="n">
        <v>227.61</v>
      </c>
      <c r="E90" t="n">
        <v>226.92</v>
      </c>
      <c r="F90" t="n">
        <v>227.61</v>
      </c>
      <c r="G90" t="n">
        <v>57219496</v>
      </c>
      <c r="H90">
        <f>MAX(D90-E90,ABS(D90-F89),ABS(E90-F89))</f>
        <v/>
      </c>
      <c r="I90">
        <f>AVERAGE(F71:F90)</f>
        <v/>
      </c>
      <c r="J90">
        <f>STDEVP(F71:F90)</f>
        <v/>
      </c>
      <c r="K90">
        <f>AVERAGE(H71:H90)</f>
        <v/>
      </c>
      <c r="L90">
        <f>I90+2.0*J90</f>
        <v/>
      </c>
      <c r="M90">
        <f>I90-2.0*J90</f>
        <v/>
      </c>
      <c r="N90">
        <f>I90+1.5*K90</f>
        <v/>
      </c>
      <c r="O90">
        <f>I90-1.5*K90</f>
        <v/>
      </c>
      <c r="P90">
        <f>AND(L90&lt;N90,M90&gt;O90)</f>
        <v/>
      </c>
      <c r="Q90">
        <f>MAX(D71:D90)</f>
        <v/>
      </c>
      <c r="R90">
        <f>MIN(E71:E90)</f>
        <v/>
      </c>
      <c r="S90">
        <f>F90-((Q90+R90)/2+I90)/2</f>
        <v/>
      </c>
      <c r="T90">
        <f>FORECAST(A90,S71:S90,A71:A90)</f>
        <v/>
      </c>
    </row>
    <row r="91">
      <c r="A91" t="n">
        <v>89</v>
      </c>
      <c r="B91" s="2" t="n">
        <v>42866</v>
      </c>
      <c r="C91" t="n">
        <v>227.11</v>
      </c>
      <c r="D91" t="n">
        <v>227.32</v>
      </c>
      <c r="E91" t="n">
        <v>225.95</v>
      </c>
      <c r="F91" t="n">
        <v>227.14</v>
      </c>
      <c r="G91" t="n">
        <v>65718612</v>
      </c>
      <c r="H91">
        <f>MAX(D91-E91,ABS(D91-F90),ABS(E91-F90))</f>
        <v/>
      </c>
      <c r="I91">
        <f>AVERAGE(F72:F91)</f>
        <v/>
      </c>
      <c r="J91">
        <f>STDEVP(F72:F91)</f>
        <v/>
      </c>
      <c r="K91">
        <f>AVERAGE(H72:H91)</f>
        <v/>
      </c>
      <c r="L91">
        <f>I91+2.0*J91</f>
        <v/>
      </c>
      <c r="M91">
        <f>I91-2.0*J91</f>
        <v/>
      </c>
      <c r="N91">
        <f>I91+1.5*K91</f>
        <v/>
      </c>
      <c r="O91">
        <f>I91-1.5*K91</f>
        <v/>
      </c>
      <c r="P91">
        <f>AND(L91&lt;N91,M91&gt;O91)</f>
        <v/>
      </c>
      <c r="Q91">
        <f>MAX(D72:D91)</f>
        <v/>
      </c>
      <c r="R91">
        <f>MIN(E72:E91)</f>
        <v/>
      </c>
      <c r="S91">
        <f>F91-((Q91+R91)/2+I91)/2</f>
        <v/>
      </c>
      <c r="T91">
        <f>FORECAST(A91,S72:S91,A72:A91)</f>
        <v/>
      </c>
    </row>
    <row r="92">
      <c r="A92" t="n">
        <v>90</v>
      </c>
      <c r="B92" s="2" t="n">
        <v>42867</v>
      </c>
      <c r="C92" t="n">
        <v>226.87</v>
      </c>
      <c r="D92" t="n">
        <v>227.19</v>
      </c>
      <c r="E92" t="n">
        <v>226.47</v>
      </c>
      <c r="F92" t="n">
        <v>226.76</v>
      </c>
      <c r="G92" t="n">
        <v>56817892</v>
      </c>
      <c r="H92">
        <f>MAX(D92-E92,ABS(D92-F91),ABS(E92-F91))</f>
        <v/>
      </c>
      <c r="I92">
        <f>AVERAGE(F73:F92)</f>
        <v/>
      </c>
      <c r="J92">
        <f>STDEVP(F73:F92)</f>
        <v/>
      </c>
      <c r="K92">
        <f>AVERAGE(H73:H92)</f>
        <v/>
      </c>
      <c r="L92">
        <f>I92+2.0*J92</f>
        <v/>
      </c>
      <c r="M92">
        <f>I92-2.0*J92</f>
        <v/>
      </c>
      <c r="N92">
        <f>I92+1.5*K92</f>
        <v/>
      </c>
      <c r="O92">
        <f>I92-1.5*K92</f>
        <v/>
      </c>
      <c r="P92">
        <f>AND(L92&lt;N92,M92&gt;O92)</f>
        <v/>
      </c>
      <c r="Q92">
        <f>MAX(D73:D92)</f>
        <v/>
      </c>
      <c r="R92">
        <f>MIN(E73:E92)</f>
        <v/>
      </c>
      <c r="S92">
        <f>F92-((Q92+R92)/2+I92)/2</f>
        <v/>
      </c>
      <c r="T92">
        <f>FORECAST(A92,S73:S92,A73:A92)</f>
        <v/>
      </c>
    </row>
    <row r="93">
      <c r="A93" t="n">
        <v>91</v>
      </c>
      <c r="B93" s="2" t="n">
        <v>42870</v>
      </c>
      <c r="C93" t="n">
        <v>227.23</v>
      </c>
      <c r="D93" t="n">
        <v>228.15</v>
      </c>
      <c r="E93" t="n">
        <v>227.21</v>
      </c>
      <c r="F93" t="n">
        <v>228.01</v>
      </c>
      <c r="G93" t="n">
        <v>65255528</v>
      </c>
      <c r="H93">
        <f>MAX(D93-E93,ABS(D93-F92),ABS(E93-F92))</f>
        <v/>
      </c>
      <c r="I93">
        <f>AVERAGE(F74:F93)</f>
        <v/>
      </c>
      <c r="J93">
        <f>STDEVP(F74:F93)</f>
        <v/>
      </c>
      <c r="K93">
        <f>AVERAGE(H74:H93)</f>
        <v/>
      </c>
      <c r="L93">
        <f>I93+2.0*J93</f>
        <v/>
      </c>
      <c r="M93">
        <f>I93-2.0*J93</f>
        <v/>
      </c>
      <c r="N93">
        <f>I93+1.5*K93</f>
        <v/>
      </c>
      <c r="O93">
        <f>I93-1.5*K93</f>
        <v/>
      </c>
      <c r="P93">
        <f>AND(L93&lt;N93,M93&gt;O93)</f>
        <v/>
      </c>
      <c r="Q93">
        <f>MAX(D74:D93)</f>
        <v/>
      </c>
      <c r="R93">
        <f>MIN(E74:E93)</f>
        <v/>
      </c>
      <c r="S93">
        <f>F93-((Q93+R93)/2+I93)/2</f>
        <v/>
      </c>
      <c r="T93">
        <f>FORECAST(A93,S74:S93,A74:A93)</f>
        <v/>
      </c>
    </row>
    <row r="94">
      <c r="A94" t="n">
        <v>92</v>
      </c>
      <c r="B94" s="2" t="n">
        <v>42871</v>
      </c>
      <c r="C94" t="n">
        <v>228.34</v>
      </c>
      <c r="D94" t="n">
        <v>228.36</v>
      </c>
      <c r="E94" t="n">
        <v>227.38</v>
      </c>
      <c r="F94" t="n">
        <v>227.8</v>
      </c>
      <c r="G94" t="n">
        <v>54003024</v>
      </c>
      <c r="H94">
        <f>MAX(D94-E94,ABS(D94-F93),ABS(E94-F93))</f>
        <v/>
      </c>
      <c r="I94">
        <f>AVERAGE(F75:F94)</f>
        <v/>
      </c>
      <c r="J94">
        <f>STDEVP(F75:F94)</f>
        <v/>
      </c>
      <c r="K94">
        <f>AVERAGE(H75:H94)</f>
        <v/>
      </c>
      <c r="L94">
        <f>I94+2.0*J94</f>
        <v/>
      </c>
      <c r="M94">
        <f>I94-2.0*J94</f>
        <v/>
      </c>
      <c r="N94">
        <f>I94+1.5*K94</f>
        <v/>
      </c>
      <c r="O94">
        <f>I94-1.5*K94</f>
        <v/>
      </c>
      <c r="P94">
        <f>AND(L94&lt;N94,M94&gt;O94)</f>
        <v/>
      </c>
      <c r="Q94">
        <f>MAX(D75:D94)</f>
        <v/>
      </c>
      <c r="R94">
        <f>MIN(E75:E94)</f>
        <v/>
      </c>
      <c r="S94">
        <f>F94-((Q94+R94)/2+I94)/2</f>
        <v/>
      </c>
      <c r="T94">
        <f>FORECAST(A94,S75:S94,A75:A94)</f>
        <v/>
      </c>
    </row>
    <row r="95">
      <c r="A95" t="n">
        <v>93</v>
      </c>
      <c r="B95" s="2" t="n">
        <v>42872</v>
      </c>
      <c r="C95" t="n">
        <v>225.93</v>
      </c>
      <c r="D95" t="n">
        <v>226.44</v>
      </c>
      <c r="E95" t="n">
        <v>223.7</v>
      </c>
      <c r="F95" t="n">
        <v>223.76</v>
      </c>
      <c r="G95" t="n">
        <v>181451968</v>
      </c>
      <c r="H95">
        <f>MAX(D95-E95,ABS(D95-F94),ABS(E95-F94))</f>
        <v/>
      </c>
      <c r="I95">
        <f>AVERAGE(F76:F95)</f>
        <v/>
      </c>
      <c r="J95">
        <f>STDEVP(F76:F95)</f>
        <v/>
      </c>
      <c r="K95">
        <f>AVERAGE(H76:H95)</f>
        <v/>
      </c>
      <c r="L95">
        <f>I95+2.0*J95</f>
        <v/>
      </c>
      <c r="M95">
        <f>I95-2.0*J95</f>
        <v/>
      </c>
      <c r="N95">
        <f>I95+1.5*K95</f>
        <v/>
      </c>
      <c r="O95">
        <f>I95-1.5*K95</f>
        <v/>
      </c>
      <c r="P95">
        <f>AND(L95&lt;N95,M95&gt;O95)</f>
        <v/>
      </c>
      <c r="Q95">
        <f>MAX(D76:D95)</f>
        <v/>
      </c>
      <c r="R95">
        <f>MIN(E76:E95)</f>
        <v/>
      </c>
      <c r="S95">
        <f>F95-((Q95+R95)/2+I95)/2</f>
        <v/>
      </c>
      <c r="T95">
        <f>FORECAST(A95,S76:S95,A76:A95)</f>
        <v/>
      </c>
    </row>
    <row r="96">
      <c r="A96" t="n">
        <v>94</v>
      </c>
      <c r="B96" s="2" t="n">
        <v>42873</v>
      </c>
      <c r="C96" t="n">
        <v>223.68</v>
      </c>
      <c r="D96" t="n">
        <v>225.59</v>
      </c>
      <c r="E96" t="n">
        <v>223.39</v>
      </c>
      <c r="F96" t="n">
        <v>224.66</v>
      </c>
      <c r="G96" t="n">
        <v>112816072</v>
      </c>
      <c r="H96">
        <f>MAX(D96-E96,ABS(D96-F95),ABS(E96-F95))</f>
        <v/>
      </c>
      <c r="I96">
        <f>AVERAGE(F77:F96)</f>
        <v/>
      </c>
      <c r="J96">
        <f>STDEVP(F77:F96)</f>
        <v/>
      </c>
      <c r="K96">
        <f>AVERAGE(H77:H96)</f>
        <v/>
      </c>
      <c r="L96">
        <f>I96+2.0*J96</f>
        <v/>
      </c>
      <c r="M96">
        <f>I96-2.0*J96</f>
        <v/>
      </c>
      <c r="N96">
        <f>I96+1.5*K96</f>
        <v/>
      </c>
      <c r="O96">
        <f>I96-1.5*K96</f>
        <v/>
      </c>
      <c r="P96">
        <f>AND(L96&lt;N96,M96&gt;O96)</f>
        <v/>
      </c>
      <c r="Q96">
        <f>MAX(D77:D96)</f>
        <v/>
      </c>
      <c r="R96">
        <f>MIN(E77:E96)</f>
        <v/>
      </c>
      <c r="S96">
        <f>F96-((Q96+R96)/2+I96)/2</f>
        <v/>
      </c>
      <c r="T96">
        <f>FORECAST(A96,S77:S96,A77:A96)</f>
        <v/>
      </c>
    </row>
    <row r="97">
      <c r="A97" t="n">
        <v>95</v>
      </c>
      <c r="B97" s="2" t="n">
        <v>42874</v>
      </c>
      <c r="C97" t="n">
        <v>225.2</v>
      </c>
      <c r="D97" t="n">
        <v>226.86</v>
      </c>
      <c r="E97" t="n">
        <v>225.14</v>
      </c>
      <c r="F97" t="n">
        <v>226.12</v>
      </c>
      <c r="G97" t="n">
        <v>121208928</v>
      </c>
      <c r="H97">
        <f>MAX(D97-E97,ABS(D97-F96),ABS(E97-F96))</f>
        <v/>
      </c>
      <c r="I97">
        <f>AVERAGE(F78:F97)</f>
        <v/>
      </c>
      <c r="J97">
        <f>STDEVP(F78:F97)</f>
        <v/>
      </c>
      <c r="K97">
        <f>AVERAGE(H78:H97)</f>
        <v/>
      </c>
      <c r="L97">
        <f>I97+2.0*J97</f>
        <v/>
      </c>
      <c r="M97">
        <f>I97-2.0*J97</f>
        <v/>
      </c>
      <c r="N97">
        <f>I97+1.5*K97</f>
        <v/>
      </c>
      <c r="O97">
        <f>I97-1.5*K97</f>
        <v/>
      </c>
      <c r="P97">
        <f>AND(L97&lt;N97,M97&gt;O97)</f>
        <v/>
      </c>
      <c r="Q97">
        <f>MAX(D78:D97)</f>
        <v/>
      </c>
      <c r="R97">
        <f>MIN(E78:E97)</f>
        <v/>
      </c>
      <c r="S97">
        <f>F97-((Q97+R97)/2+I97)/2</f>
        <v/>
      </c>
      <c r="T97">
        <f>FORECAST(A97,S78:S97,A78:A97)</f>
        <v/>
      </c>
    </row>
    <row r="98">
      <c r="A98" t="n">
        <v>96</v>
      </c>
      <c r="B98" s="2" t="n">
        <v>42877</v>
      </c>
      <c r="C98" t="n">
        <v>226.68</v>
      </c>
      <c r="D98" t="n">
        <v>227.45</v>
      </c>
      <c r="E98" t="n">
        <v>226.61</v>
      </c>
      <c r="F98" t="n">
        <v>227.27</v>
      </c>
      <c r="G98" t="n">
        <v>64298244</v>
      </c>
      <c r="H98">
        <f>MAX(D98-E98,ABS(D98-F97),ABS(E98-F97))</f>
        <v/>
      </c>
      <c r="I98">
        <f>AVERAGE(F79:F98)</f>
        <v/>
      </c>
      <c r="J98">
        <f>STDEVP(F79:F98)</f>
        <v/>
      </c>
      <c r="K98">
        <f>AVERAGE(H79:H98)</f>
        <v/>
      </c>
      <c r="L98">
        <f>I98+2.0*J98</f>
        <v/>
      </c>
      <c r="M98">
        <f>I98-2.0*J98</f>
        <v/>
      </c>
      <c r="N98">
        <f>I98+1.5*K98</f>
        <v/>
      </c>
      <c r="O98">
        <f>I98-1.5*K98</f>
        <v/>
      </c>
      <c r="P98">
        <f>AND(L98&lt;N98,M98&gt;O98)</f>
        <v/>
      </c>
      <c r="Q98">
        <f>MAX(D79:D98)</f>
        <v/>
      </c>
      <c r="R98">
        <f>MIN(E79:E98)</f>
        <v/>
      </c>
      <c r="S98">
        <f>F98-((Q98+R98)/2+I98)/2</f>
        <v/>
      </c>
      <c r="T98">
        <f>FORECAST(A98,S79:S98,A79:A98)</f>
        <v/>
      </c>
    </row>
    <row r="99">
      <c r="A99" t="n">
        <v>97</v>
      </c>
      <c r="B99" s="2" t="n">
        <v>42878</v>
      </c>
      <c r="C99" t="n">
        <v>227.68</v>
      </c>
      <c r="D99" t="n">
        <v>227.96</v>
      </c>
      <c r="E99" t="n">
        <v>227.26</v>
      </c>
      <c r="F99" t="n">
        <v>227.78</v>
      </c>
      <c r="G99" t="n">
        <v>50946640</v>
      </c>
      <c r="H99">
        <f>MAX(D99-E99,ABS(D99-F98),ABS(E99-F98))</f>
        <v/>
      </c>
      <c r="I99">
        <f>AVERAGE(F80:F99)</f>
        <v/>
      </c>
      <c r="J99">
        <f>STDEVP(F80:F99)</f>
        <v/>
      </c>
      <c r="K99">
        <f>AVERAGE(H80:H99)</f>
        <v/>
      </c>
      <c r="L99">
        <f>I99+2.0*J99</f>
        <v/>
      </c>
      <c r="M99">
        <f>I99-2.0*J99</f>
        <v/>
      </c>
      <c r="N99">
        <f>I99+1.5*K99</f>
        <v/>
      </c>
      <c r="O99">
        <f>I99-1.5*K99</f>
        <v/>
      </c>
      <c r="P99">
        <f>AND(L99&lt;N99,M99&gt;O99)</f>
        <v/>
      </c>
      <c r="Q99">
        <f>MAX(D80:D99)</f>
        <v/>
      </c>
      <c r="R99">
        <f>MIN(E80:E99)</f>
        <v/>
      </c>
      <c r="S99">
        <f>F99-((Q99+R99)/2+I99)/2</f>
        <v/>
      </c>
      <c r="T99">
        <f>FORECAST(A99,S80:S99,A80:A99)</f>
        <v/>
      </c>
    </row>
    <row r="100">
      <c r="A100" t="n">
        <v>98</v>
      </c>
      <c r="B100" s="2" t="n">
        <v>42879</v>
      </c>
      <c r="C100" t="n">
        <v>228.03</v>
      </c>
      <c r="D100" t="n">
        <v>228.42</v>
      </c>
      <c r="E100" t="n">
        <v>227.66</v>
      </c>
      <c r="F100" t="n">
        <v>228.31</v>
      </c>
      <c r="G100" t="n">
        <v>51831288</v>
      </c>
      <c r="H100">
        <f>MAX(D100-E100,ABS(D100-F99),ABS(E100-F99))</f>
        <v/>
      </c>
      <c r="I100">
        <f>AVERAGE(F81:F100)</f>
        <v/>
      </c>
      <c r="J100">
        <f>STDEVP(F81:F100)</f>
        <v/>
      </c>
      <c r="K100">
        <f>AVERAGE(H81:H100)</f>
        <v/>
      </c>
      <c r="L100">
        <f>I100+2.0*J100</f>
        <v/>
      </c>
      <c r="M100">
        <f>I100-2.0*J100</f>
        <v/>
      </c>
      <c r="N100">
        <f>I100+1.5*K100</f>
        <v/>
      </c>
      <c r="O100">
        <f>I100-1.5*K100</f>
        <v/>
      </c>
      <c r="P100">
        <f>AND(L100&lt;N100,M100&gt;O100)</f>
        <v/>
      </c>
      <c r="Q100">
        <f>MAX(D81:D100)</f>
        <v/>
      </c>
      <c r="R100">
        <f>MIN(E81:E100)</f>
        <v/>
      </c>
      <c r="S100">
        <f>F100-((Q100+R100)/2+I100)/2</f>
        <v/>
      </c>
      <c r="T100">
        <f>FORECAST(A100,S81:S100,A81:A100)</f>
        <v/>
      </c>
    </row>
    <row r="101">
      <c r="A101" t="n">
        <v>99</v>
      </c>
      <c r="B101" s="2" t="n">
        <v>42880</v>
      </c>
      <c r="C101" t="n">
        <v>228.87</v>
      </c>
      <c r="D101" t="n">
        <v>229.7</v>
      </c>
      <c r="E101" t="n">
        <v>228.64</v>
      </c>
      <c r="F101" t="n">
        <v>229.4</v>
      </c>
      <c r="G101" t="n">
        <v>67524256</v>
      </c>
      <c r="H101">
        <f>MAX(D101-E101,ABS(D101-F100),ABS(E101-F100))</f>
        <v/>
      </c>
      <c r="I101">
        <f>AVERAGE(F82:F101)</f>
        <v/>
      </c>
      <c r="J101">
        <f>STDEVP(F82:F101)</f>
        <v/>
      </c>
      <c r="K101">
        <f>AVERAGE(H82:H101)</f>
        <v/>
      </c>
      <c r="L101">
        <f>I101+2.0*J101</f>
        <v/>
      </c>
      <c r="M101">
        <f>I101-2.0*J101</f>
        <v/>
      </c>
      <c r="N101">
        <f>I101+1.5*K101</f>
        <v/>
      </c>
      <c r="O101">
        <f>I101-1.5*K101</f>
        <v/>
      </c>
      <c r="P101">
        <f>AND(L101&lt;N101,M101&gt;O101)</f>
        <v/>
      </c>
      <c r="Q101">
        <f>MAX(D82:D101)</f>
        <v/>
      </c>
      <c r="R101">
        <f>MIN(E82:E101)</f>
        <v/>
      </c>
      <c r="S101">
        <f>F101-((Q101+R101)/2+I101)/2</f>
        <v/>
      </c>
      <c r="T101">
        <f>FORECAST(A101,S82:S101,A82:A101)</f>
        <v/>
      </c>
    </row>
    <row r="102">
      <c r="A102" t="n">
        <v>100</v>
      </c>
      <c r="B102" s="2" t="n">
        <v>42881</v>
      </c>
      <c r="C102" t="n">
        <v>229.19</v>
      </c>
      <c r="D102" t="n">
        <v>229.53</v>
      </c>
      <c r="E102" t="n">
        <v>229.1</v>
      </c>
      <c r="F102" t="n">
        <v>229.35</v>
      </c>
      <c r="G102" t="n">
        <v>49142620</v>
      </c>
      <c r="H102">
        <f>MAX(D102-E102,ABS(D102-F101),ABS(E102-F101))</f>
        <v/>
      </c>
      <c r="I102">
        <f>AVERAGE(F83:F102)</f>
        <v/>
      </c>
      <c r="J102">
        <f>STDEVP(F83:F102)</f>
        <v/>
      </c>
      <c r="K102">
        <f>AVERAGE(H83:H102)</f>
        <v/>
      </c>
      <c r="L102">
        <f>I102+2.0*J102</f>
        <v/>
      </c>
      <c r="M102">
        <f>I102-2.0*J102</f>
        <v/>
      </c>
      <c r="N102">
        <f>I102+1.5*K102</f>
        <v/>
      </c>
      <c r="O102">
        <f>I102-1.5*K102</f>
        <v/>
      </c>
      <c r="P102">
        <f>AND(L102&lt;N102,M102&gt;O102)</f>
        <v/>
      </c>
      <c r="Q102">
        <f>MAX(D83:D102)</f>
        <v/>
      </c>
      <c r="R102">
        <f>MIN(E83:E102)</f>
        <v/>
      </c>
      <c r="S102">
        <f>F102-((Q102+R102)/2+I102)/2</f>
        <v/>
      </c>
      <c r="T102">
        <f>FORECAST(A102,S83:S102,A83:A102)</f>
        <v/>
      </c>
    </row>
    <row r="103">
      <c r="A103" t="n">
        <v>101</v>
      </c>
      <c r="B103" s="2" t="n">
        <v>42885</v>
      </c>
      <c r="C103" t="n">
        <v>229</v>
      </c>
      <c r="D103" t="n">
        <v>229.43</v>
      </c>
      <c r="E103" t="n">
        <v>228.83</v>
      </c>
      <c r="F103" t="n">
        <v>229.15</v>
      </c>
      <c r="G103" t="n">
        <v>37098796</v>
      </c>
      <c r="H103">
        <f>MAX(D103-E103,ABS(D103-F102),ABS(E103-F102))</f>
        <v/>
      </c>
      <c r="I103">
        <f>AVERAGE(F84:F103)</f>
        <v/>
      </c>
      <c r="J103">
        <f>STDEVP(F84:F103)</f>
        <v/>
      </c>
      <c r="K103">
        <f>AVERAGE(H84:H103)</f>
        <v/>
      </c>
      <c r="L103">
        <f>I103+2.0*J103</f>
        <v/>
      </c>
      <c r="M103">
        <f>I103-2.0*J103</f>
        <v/>
      </c>
      <c r="N103">
        <f>I103+1.5*K103</f>
        <v/>
      </c>
      <c r="O103">
        <f>I103-1.5*K103</f>
        <v/>
      </c>
      <c r="P103">
        <f>AND(L103&lt;N103,M103&gt;O103)</f>
        <v/>
      </c>
      <c r="Q103">
        <f>MAX(D84:D103)</f>
        <v/>
      </c>
      <c r="R103">
        <f>MIN(E84:E103)</f>
        <v/>
      </c>
      <c r="S103">
        <f>F103-((Q103+R103)/2+I103)/2</f>
        <v/>
      </c>
      <c r="T103">
        <f>FORECAST(A103,S84:S103,A84:A103)</f>
        <v/>
      </c>
    </row>
    <row r="104">
      <c r="A104" t="n">
        <v>102</v>
      </c>
      <c r="B104" s="2" t="n">
        <v>42886</v>
      </c>
      <c r="C104" t="n">
        <v>229.47</v>
      </c>
      <c r="D104" t="n">
        <v>229.51</v>
      </c>
      <c r="E104" t="n">
        <v>228.34</v>
      </c>
      <c r="F104" t="n">
        <v>229.09</v>
      </c>
      <c r="G104" t="n">
        <v>96742576</v>
      </c>
      <c r="H104">
        <f>MAX(D104-E104,ABS(D104-F103),ABS(E104-F103))</f>
        <v/>
      </c>
      <c r="I104">
        <f>AVERAGE(F85:F104)</f>
        <v/>
      </c>
      <c r="J104">
        <f>STDEVP(F85:F104)</f>
        <v/>
      </c>
      <c r="K104">
        <f>AVERAGE(H85:H104)</f>
        <v/>
      </c>
      <c r="L104">
        <f>I104+2.0*J104</f>
        <v/>
      </c>
      <c r="M104">
        <f>I104-2.0*J104</f>
        <v/>
      </c>
      <c r="N104">
        <f>I104+1.5*K104</f>
        <v/>
      </c>
      <c r="O104">
        <f>I104-1.5*K104</f>
        <v/>
      </c>
      <c r="P104">
        <f>AND(L104&lt;N104,M104&gt;O104)</f>
        <v/>
      </c>
      <c r="Q104">
        <f>MAX(D85:D104)</f>
        <v/>
      </c>
      <c r="R104">
        <f>MIN(E85:E104)</f>
        <v/>
      </c>
      <c r="S104">
        <f>F104-((Q104+R104)/2+I104)/2</f>
        <v/>
      </c>
      <c r="T104">
        <f>FORECAST(A104,S85:S104,A85:A104)</f>
        <v/>
      </c>
    </row>
    <row r="105">
      <c r="A105" t="n">
        <v>103</v>
      </c>
      <c r="B105" s="2" t="n">
        <v>42887</v>
      </c>
      <c r="C105" t="n">
        <v>229.6</v>
      </c>
      <c r="D105" t="n">
        <v>230.94</v>
      </c>
      <c r="E105" t="n">
        <v>229.28</v>
      </c>
      <c r="F105" t="n">
        <v>230.92</v>
      </c>
      <c r="G105" t="n">
        <v>72678144</v>
      </c>
      <c r="H105">
        <f>MAX(D105-E105,ABS(D105-F104),ABS(E105-F104))</f>
        <v/>
      </c>
      <c r="I105">
        <f>AVERAGE(F86:F105)</f>
        <v/>
      </c>
      <c r="J105">
        <f>STDEVP(F86:F105)</f>
        <v/>
      </c>
      <c r="K105">
        <f>AVERAGE(H86:H105)</f>
        <v/>
      </c>
      <c r="L105">
        <f>I105+2.0*J105</f>
        <v/>
      </c>
      <c r="M105">
        <f>I105-2.0*J105</f>
        <v/>
      </c>
      <c r="N105">
        <f>I105+1.5*K105</f>
        <v/>
      </c>
      <c r="O105">
        <f>I105-1.5*K105</f>
        <v/>
      </c>
      <c r="P105">
        <f>AND(L105&lt;N105,M105&gt;O105)</f>
        <v/>
      </c>
      <c r="Q105">
        <f>MAX(D86:D105)</f>
        <v/>
      </c>
      <c r="R105">
        <f>MIN(E86:E105)</f>
        <v/>
      </c>
      <c r="S105">
        <f>F105-((Q105+R105)/2+I105)/2</f>
        <v/>
      </c>
      <c r="T105">
        <f>FORECAST(A105,S86:S105,A86:A105)</f>
        <v/>
      </c>
    </row>
    <row r="106">
      <c r="A106" t="n">
        <v>104</v>
      </c>
      <c r="B106" s="2" t="n">
        <v>42888</v>
      </c>
      <c r="C106" t="n">
        <v>230.97</v>
      </c>
      <c r="D106" t="n">
        <v>231.86</v>
      </c>
      <c r="E106" t="n">
        <v>230.65</v>
      </c>
      <c r="F106" t="n">
        <v>231.69</v>
      </c>
      <c r="G106" t="n">
        <v>93444032</v>
      </c>
      <c r="H106">
        <f>MAX(D106-E106,ABS(D106-F105),ABS(E106-F105))</f>
        <v/>
      </c>
      <c r="I106">
        <f>AVERAGE(F87:F106)</f>
        <v/>
      </c>
      <c r="J106">
        <f>STDEVP(F87:F106)</f>
        <v/>
      </c>
      <c r="K106">
        <f>AVERAGE(H87:H106)</f>
        <v/>
      </c>
      <c r="L106">
        <f>I106+2.0*J106</f>
        <v/>
      </c>
      <c r="M106">
        <f>I106-2.0*J106</f>
        <v/>
      </c>
      <c r="N106">
        <f>I106+1.5*K106</f>
        <v/>
      </c>
      <c r="O106">
        <f>I106-1.5*K106</f>
        <v/>
      </c>
      <c r="P106">
        <f>AND(L106&lt;N106,M106&gt;O106)</f>
        <v/>
      </c>
      <c r="Q106">
        <f>MAX(D87:D106)</f>
        <v/>
      </c>
      <c r="R106">
        <f>MIN(E87:E106)</f>
        <v/>
      </c>
      <c r="S106">
        <f>F106-((Q106+R106)/2+I106)/2</f>
        <v/>
      </c>
      <c r="T106">
        <f>FORECAST(A106,S87:S106,A87:A106)</f>
        <v/>
      </c>
    </row>
    <row r="107">
      <c r="A107" t="n">
        <v>105</v>
      </c>
      <c r="B107" s="2" t="n">
        <v>42891</v>
      </c>
      <c r="C107" t="n">
        <v>231.5</v>
      </c>
      <c r="D107" t="n">
        <v>231.81</v>
      </c>
      <c r="E107" t="n">
        <v>231.3</v>
      </c>
      <c r="F107" t="n">
        <v>231.51</v>
      </c>
      <c r="G107" t="n">
        <v>47107480</v>
      </c>
      <c r="H107">
        <f>MAX(D107-E107,ABS(D107-F106),ABS(E107-F106))</f>
        <v/>
      </c>
      <c r="I107">
        <f>AVERAGE(F88:F107)</f>
        <v/>
      </c>
      <c r="J107">
        <f>STDEVP(F88:F107)</f>
        <v/>
      </c>
      <c r="K107">
        <f>AVERAGE(H88:H107)</f>
        <v/>
      </c>
      <c r="L107">
        <f>I107+2.0*J107</f>
        <v/>
      </c>
      <c r="M107">
        <f>I107-2.0*J107</f>
        <v/>
      </c>
      <c r="N107">
        <f>I107+1.5*K107</f>
        <v/>
      </c>
      <c r="O107">
        <f>I107-1.5*K107</f>
        <v/>
      </c>
      <c r="P107">
        <f>AND(L107&lt;N107,M107&gt;O107)</f>
        <v/>
      </c>
      <c r="Q107">
        <f>MAX(D88:D107)</f>
        <v/>
      </c>
      <c r="R107">
        <f>MIN(E88:E107)</f>
        <v/>
      </c>
      <c r="S107">
        <f>F107-((Q107+R107)/2+I107)/2</f>
        <v/>
      </c>
      <c r="T107">
        <f>FORECAST(A107,S88:S107,A88:A107)</f>
        <v/>
      </c>
    </row>
    <row r="108">
      <c r="A108" t="n">
        <v>106</v>
      </c>
      <c r="B108" s="2" t="n">
        <v>42892</v>
      </c>
      <c r="C108" t="n">
        <v>230.9</v>
      </c>
      <c r="D108" t="n">
        <v>231.51</v>
      </c>
      <c r="E108" t="n">
        <v>230.69</v>
      </c>
      <c r="F108" t="n">
        <v>230.77</v>
      </c>
      <c r="G108" t="n">
        <v>53089976</v>
      </c>
      <c r="H108">
        <f>MAX(D108-E108,ABS(D108-F107),ABS(E108-F107))</f>
        <v/>
      </c>
      <c r="I108">
        <f>AVERAGE(F89:F108)</f>
        <v/>
      </c>
      <c r="J108">
        <f>STDEVP(F89:F108)</f>
        <v/>
      </c>
      <c r="K108">
        <f>AVERAGE(H89:H108)</f>
        <v/>
      </c>
      <c r="L108">
        <f>I108+2.0*J108</f>
        <v/>
      </c>
      <c r="M108">
        <f>I108-2.0*J108</f>
        <v/>
      </c>
      <c r="N108">
        <f>I108+1.5*K108</f>
        <v/>
      </c>
      <c r="O108">
        <f>I108-1.5*K108</f>
        <v/>
      </c>
      <c r="P108">
        <f>AND(L108&lt;N108,M108&gt;O108)</f>
        <v/>
      </c>
      <c r="Q108">
        <f>MAX(D89:D108)</f>
        <v/>
      </c>
      <c r="R108">
        <f>MIN(E89:E108)</f>
        <v/>
      </c>
      <c r="S108">
        <f>F108-((Q108+R108)/2+I108)/2</f>
        <v/>
      </c>
      <c r="T108">
        <f>FORECAST(A108,S89:S108,A89:A108)</f>
        <v/>
      </c>
    </row>
    <row r="109">
      <c r="A109" t="n">
        <v>107</v>
      </c>
      <c r="B109" s="2" t="n">
        <v>42893</v>
      </c>
      <c r="C109" t="n">
        <v>231.14</v>
      </c>
      <c r="D109" t="n">
        <v>231.45</v>
      </c>
      <c r="E109" t="n">
        <v>230.41</v>
      </c>
      <c r="F109" t="n">
        <v>231.2</v>
      </c>
      <c r="G109" t="n">
        <v>57061952</v>
      </c>
      <c r="H109">
        <f>MAX(D109-E109,ABS(D109-F108),ABS(E109-F108))</f>
        <v/>
      </c>
      <c r="I109">
        <f>AVERAGE(F90:F109)</f>
        <v/>
      </c>
      <c r="J109">
        <f>STDEVP(F90:F109)</f>
        <v/>
      </c>
      <c r="K109">
        <f>AVERAGE(H90:H109)</f>
        <v/>
      </c>
      <c r="L109">
        <f>I109+2.0*J109</f>
        <v/>
      </c>
      <c r="M109">
        <f>I109-2.0*J109</f>
        <v/>
      </c>
      <c r="N109">
        <f>I109+1.5*K109</f>
        <v/>
      </c>
      <c r="O109">
        <f>I109-1.5*K109</f>
        <v/>
      </c>
      <c r="P109">
        <f>AND(L109&lt;N109,M109&gt;O109)</f>
        <v/>
      </c>
      <c r="Q109">
        <f>MAX(D90:D109)</f>
        <v/>
      </c>
      <c r="R109">
        <f>MIN(E90:E109)</f>
        <v/>
      </c>
      <c r="S109">
        <f>F109-((Q109+R109)/2+I109)/2</f>
        <v/>
      </c>
      <c r="T109">
        <f>FORECAST(A109,S90:S109,A90:A109)</f>
        <v/>
      </c>
    </row>
    <row r="110">
      <c r="A110" t="n">
        <v>108</v>
      </c>
      <c r="B110" s="2" t="n">
        <v>42894</v>
      </c>
      <c r="C110" t="n">
        <v>231.31</v>
      </c>
      <c r="D110" t="n">
        <v>231.84</v>
      </c>
      <c r="E110" t="n">
        <v>230.74</v>
      </c>
      <c r="F110" t="n">
        <v>231.32</v>
      </c>
      <c r="G110" t="n">
        <v>69504536</v>
      </c>
      <c r="H110">
        <f>MAX(D110-E110,ABS(D110-F109),ABS(E110-F109))</f>
        <v/>
      </c>
      <c r="I110">
        <f>AVERAGE(F91:F110)</f>
        <v/>
      </c>
      <c r="J110">
        <f>STDEVP(F91:F110)</f>
        <v/>
      </c>
      <c r="K110">
        <f>AVERAGE(H91:H110)</f>
        <v/>
      </c>
      <c r="L110">
        <f>I110+2.0*J110</f>
        <v/>
      </c>
      <c r="M110">
        <f>I110-2.0*J110</f>
        <v/>
      </c>
      <c r="N110">
        <f>I110+1.5*K110</f>
        <v/>
      </c>
      <c r="O110">
        <f>I110-1.5*K110</f>
        <v/>
      </c>
      <c r="P110">
        <f>AND(L110&lt;N110,M110&gt;O110)</f>
        <v/>
      </c>
      <c r="Q110">
        <f>MAX(D91:D110)</f>
        <v/>
      </c>
      <c r="R110">
        <f>MIN(E91:E110)</f>
        <v/>
      </c>
      <c r="S110">
        <f>F110-((Q110+R110)/2+I110)/2</f>
        <v/>
      </c>
      <c r="T110">
        <f>FORECAST(A110,S91:S110,A91:A110)</f>
        <v/>
      </c>
    </row>
    <row r="111">
      <c r="A111" t="n">
        <v>109</v>
      </c>
      <c r="B111" s="2" t="n">
        <v>42895</v>
      </c>
      <c r="C111" t="n">
        <v>231.61</v>
      </c>
      <c r="D111" t="n">
        <v>232.48</v>
      </c>
      <c r="E111" t="n">
        <v>229.58</v>
      </c>
      <c r="F111" t="n">
        <v>230.96</v>
      </c>
      <c r="G111" t="n">
        <v>139383184</v>
      </c>
      <c r="H111">
        <f>MAX(D111-E111,ABS(D111-F110),ABS(E111-F110))</f>
        <v/>
      </c>
      <c r="I111">
        <f>AVERAGE(F92:F111)</f>
        <v/>
      </c>
      <c r="J111">
        <f>STDEVP(F92:F111)</f>
        <v/>
      </c>
      <c r="K111">
        <f>AVERAGE(H92:H111)</f>
        <v/>
      </c>
      <c r="L111">
        <f>I111+2.0*J111</f>
        <v/>
      </c>
      <c r="M111">
        <f>I111-2.0*J111</f>
        <v/>
      </c>
      <c r="N111">
        <f>I111+1.5*K111</f>
        <v/>
      </c>
      <c r="O111">
        <f>I111-1.5*K111</f>
        <v/>
      </c>
      <c r="P111">
        <f>AND(L111&lt;N111,M111&gt;O111)</f>
        <v/>
      </c>
      <c r="Q111">
        <f>MAX(D92:D111)</f>
        <v/>
      </c>
      <c r="R111">
        <f>MIN(E92:E111)</f>
        <v/>
      </c>
      <c r="S111">
        <f>F111-((Q111+R111)/2+I111)/2</f>
        <v/>
      </c>
      <c r="T111">
        <f>FORECAST(A111,S92:S111,A92:A111)</f>
        <v/>
      </c>
    </row>
    <row r="112">
      <c r="A112" t="n">
        <v>110</v>
      </c>
      <c r="B112" s="2" t="n">
        <v>42898</v>
      </c>
      <c r="C112" t="n">
        <v>230.7</v>
      </c>
      <c r="D112" t="n">
        <v>230.97</v>
      </c>
      <c r="E112" t="n">
        <v>229.99</v>
      </c>
      <c r="F112" t="n">
        <v>230.92</v>
      </c>
      <c r="G112" t="n">
        <v>90748160</v>
      </c>
      <c r="H112">
        <f>MAX(D112-E112,ABS(D112-F111),ABS(E112-F111))</f>
        <v/>
      </c>
      <c r="I112">
        <f>AVERAGE(F93:F112)</f>
        <v/>
      </c>
      <c r="J112">
        <f>STDEVP(F93:F112)</f>
        <v/>
      </c>
      <c r="K112">
        <f>AVERAGE(H93:H112)</f>
        <v/>
      </c>
      <c r="L112">
        <f>I112+2.0*J112</f>
        <v/>
      </c>
      <c r="M112">
        <f>I112-2.0*J112</f>
        <v/>
      </c>
      <c r="N112">
        <f>I112+1.5*K112</f>
        <v/>
      </c>
      <c r="O112">
        <f>I112-1.5*K112</f>
        <v/>
      </c>
      <c r="P112">
        <f>AND(L112&lt;N112,M112&gt;O112)</f>
        <v/>
      </c>
      <c r="Q112">
        <f>MAX(D93:D112)</f>
        <v/>
      </c>
      <c r="R112">
        <f>MIN(E93:E112)</f>
        <v/>
      </c>
      <c r="S112">
        <f>F112-((Q112+R112)/2+I112)/2</f>
        <v/>
      </c>
      <c r="T112">
        <f>FORECAST(A112,S93:S112,A93:A112)</f>
        <v/>
      </c>
    </row>
    <row r="113">
      <c r="A113" t="n">
        <v>111</v>
      </c>
      <c r="B113" s="2" t="n">
        <v>42899</v>
      </c>
      <c r="C113" t="n">
        <v>231.51</v>
      </c>
      <c r="D113" t="n">
        <v>232.1</v>
      </c>
      <c r="E113" t="n">
        <v>231.13</v>
      </c>
      <c r="F113" t="n">
        <v>232.05</v>
      </c>
      <c r="G113" t="n">
        <v>63303744</v>
      </c>
      <c r="H113">
        <f>MAX(D113-E113,ABS(D113-F112),ABS(E113-F112))</f>
        <v/>
      </c>
      <c r="I113">
        <f>AVERAGE(F94:F113)</f>
        <v/>
      </c>
      <c r="J113">
        <f>STDEVP(F94:F113)</f>
        <v/>
      </c>
      <c r="K113">
        <f>AVERAGE(H94:H113)</f>
        <v/>
      </c>
      <c r="L113">
        <f>I113+2.0*J113</f>
        <v/>
      </c>
      <c r="M113">
        <f>I113-2.0*J113</f>
        <v/>
      </c>
      <c r="N113">
        <f>I113+1.5*K113</f>
        <v/>
      </c>
      <c r="O113">
        <f>I113-1.5*K113</f>
        <v/>
      </c>
      <c r="P113">
        <f>AND(L113&lt;N113,M113&gt;O113)</f>
        <v/>
      </c>
      <c r="Q113">
        <f>MAX(D94:D113)</f>
        <v/>
      </c>
      <c r="R113">
        <f>MIN(E94:E113)</f>
        <v/>
      </c>
      <c r="S113">
        <f>F113-((Q113+R113)/2+I113)/2</f>
        <v/>
      </c>
      <c r="T113">
        <f>FORECAST(A113,S94:S113,A94:A113)</f>
        <v/>
      </c>
    </row>
    <row r="114">
      <c r="A114" t="n">
        <v>112</v>
      </c>
      <c r="B114" s="2" t="n">
        <v>42900</v>
      </c>
      <c r="C114" t="n">
        <v>232.34</v>
      </c>
      <c r="D114" t="n">
        <v>232.35</v>
      </c>
      <c r="E114" t="n">
        <v>230.85</v>
      </c>
      <c r="F114" t="n">
        <v>231.75</v>
      </c>
      <c r="G114" t="n">
        <v>82837904</v>
      </c>
      <c r="H114">
        <f>MAX(D114-E114,ABS(D114-F113),ABS(E114-F113))</f>
        <v/>
      </c>
      <c r="I114">
        <f>AVERAGE(F95:F114)</f>
        <v/>
      </c>
      <c r="J114">
        <f>STDEVP(F95:F114)</f>
        <v/>
      </c>
      <c r="K114">
        <f>AVERAGE(H95:H114)</f>
        <v/>
      </c>
      <c r="L114">
        <f>I114+2.0*J114</f>
        <v/>
      </c>
      <c r="M114">
        <f>I114-2.0*J114</f>
        <v/>
      </c>
      <c r="N114">
        <f>I114+1.5*K114</f>
        <v/>
      </c>
      <c r="O114">
        <f>I114-1.5*K114</f>
        <v/>
      </c>
      <c r="P114">
        <f>AND(L114&lt;N114,M114&gt;O114)</f>
        <v/>
      </c>
      <c r="Q114">
        <f>MAX(D95:D114)</f>
        <v/>
      </c>
      <c r="R114">
        <f>MIN(E95:E114)</f>
        <v/>
      </c>
      <c r="S114">
        <f>F114-((Q114+R114)/2+I114)/2</f>
        <v/>
      </c>
      <c r="T114">
        <f>FORECAST(A114,S95:S114,A95:A114)</f>
        <v/>
      </c>
    </row>
    <row r="115">
      <c r="A115" t="n">
        <v>113</v>
      </c>
      <c r="B115" s="2" t="n">
        <v>42901</v>
      </c>
      <c r="C115" t="n">
        <v>230.27</v>
      </c>
      <c r="D115" t="n">
        <v>231.44</v>
      </c>
      <c r="E115" t="n">
        <v>229.97</v>
      </c>
      <c r="F115" t="n">
        <v>231.31</v>
      </c>
      <c r="G115" t="n">
        <v>70046440</v>
      </c>
      <c r="H115">
        <f>MAX(D115-E115,ABS(D115-F114),ABS(E115-F114))</f>
        <v/>
      </c>
      <c r="I115">
        <f>AVERAGE(F96:F115)</f>
        <v/>
      </c>
      <c r="J115">
        <f>STDEVP(F96:F115)</f>
        <v/>
      </c>
      <c r="K115">
        <f>AVERAGE(H96:H115)</f>
        <v/>
      </c>
      <c r="L115">
        <f>I115+2.0*J115</f>
        <v/>
      </c>
      <c r="M115">
        <f>I115-2.0*J115</f>
        <v/>
      </c>
      <c r="N115">
        <f>I115+1.5*K115</f>
        <v/>
      </c>
      <c r="O115">
        <f>I115-1.5*K115</f>
        <v/>
      </c>
      <c r="P115">
        <f>AND(L115&lt;N115,M115&gt;O115)</f>
        <v/>
      </c>
      <c r="Q115">
        <f>MAX(D96:D115)</f>
        <v/>
      </c>
      <c r="R115">
        <f>MIN(E96:E115)</f>
        <v/>
      </c>
      <c r="S115">
        <f>F115-((Q115+R115)/2+I115)/2</f>
        <v/>
      </c>
      <c r="T115">
        <f>FORECAST(A115,S96:S115,A96:A115)</f>
        <v/>
      </c>
    </row>
    <row r="116">
      <c r="A116" t="n">
        <v>114</v>
      </c>
      <c r="B116" s="2" t="n">
        <v>42902</v>
      </c>
      <c r="C116" t="n">
        <v>231.48</v>
      </c>
      <c r="D116" t="n">
        <v>231.54</v>
      </c>
      <c r="E116" t="n">
        <v>230.4</v>
      </c>
      <c r="F116" t="n">
        <v>231.36</v>
      </c>
      <c r="G116" t="n">
        <v>88676880</v>
      </c>
      <c r="H116">
        <f>MAX(D116-E116,ABS(D116-F115),ABS(E116-F115))</f>
        <v/>
      </c>
      <c r="I116">
        <f>AVERAGE(F97:F116)</f>
        <v/>
      </c>
      <c r="J116">
        <f>STDEVP(F97:F116)</f>
        <v/>
      </c>
      <c r="K116">
        <f>AVERAGE(H97:H116)</f>
        <v/>
      </c>
      <c r="L116">
        <f>I116+2.0*J116</f>
        <v/>
      </c>
      <c r="M116">
        <f>I116-2.0*J116</f>
        <v/>
      </c>
      <c r="N116">
        <f>I116+1.5*K116</f>
        <v/>
      </c>
      <c r="O116">
        <f>I116-1.5*K116</f>
        <v/>
      </c>
      <c r="P116">
        <f>AND(L116&lt;N116,M116&gt;O116)</f>
        <v/>
      </c>
      <c r="Q116">
        <f>MAX(D97:D116)</f>
        <v/>
      </c>
      <c r="R116">
        <f>MIN(E97:E116)</f>
        <v/>
      </c>
      <c r="S116">
        <f>F116-((Q116+R116)/2+I116)/2</f>
        <v/>
      </c>
      <c r="T116">
        <f>FORECAST(A116,S97:S116,A97:A116)</f>
        <v/>
      </c>
    </row>
    <row r="117">
      <c r="A117" t="n">
        <v>115</v>
      </c>
      <c r="B117" s="2" t="n">
        <v>42905</v>
      </c>
      <c r="C117" t="n">
        <v>232.26</v>
      </c>
      <c r="D117" t="n">
        <v>233.35</v>
      </c>
      <c r="E117" t="n">
        <v>232.16</v>
      </c>
      <c r="F117" t="n">
        <v>233.28</v>
      </c>
      <c r="G117" t="n">
        <v>68299992</v>
      </c>
      <c r="H117">
        <f>MAX(D117-E117,ABS(D117-F116),ABS(E117-F116))</f>
        <v/>
      </c>
      <c r="I117">
        <f>AVERAGE(F98:F117)</f>
        <v/>
      </c>
      <c r="J117">
        <f>STDEVP(F98:F117)</f>
        <v/>
      </c>
      <c r="K117">
        <f>AVERAGE(H98:H117)</f>
        <v/>
      </c>
      <c r="L117">
        <f>I117+2.0*J117</f>
        <v/>
      </c>
      <c r="M117">
        <f>I117-2.0*J117</f>
        <v/>
      </c>
      <c r="N117">
        <f>I117+1.5*K117</f>
        <v/>
      </c>
      <c r="O117">
        <f>I117-1.5*K117</f>
        <v/>
      </c>
      <c r="P117">
        <f>AND(L117&lt;N117,M117&gt;O117)</f>
        <v/>
      </c>
      <c r="Q117">
        <f>MAX(D98:D117)</f>
        <v/>
      </c>
      <c r="R117">
        <f>MIN(E98:E117)</f>
        <v/>
      </c>
      <c r="S117">
        <f>F117-((Q117+R117)/2+I117)/2</f>
        <v/>
      </c>
      <c r="T117">
        <f>FORECAST(A117,S98:S117,A98:A117)</f>
        <v/>
      </c>
    </row>
    <row r="118">
      <c r="A118" t="n">
        <v>116</v>
      </c>
      <c r="B118" s="2" t="n">
        <v>42906</v>
      </c>
      <c r="C118" t="n">
        <v>232.89</v>
      </c>
      <c r="D118" t="n">
        <v>232.9</v>
      </c>
      <c r="E118" t="n">
        <v>231.69</v>
      </c>
      <c r="F118" t="n">
        <v>231.71</v>
      </c>
      <c r="G118" t="n">
        <v>59681776</v>
      </c>
      <c r="H118">
        <f>MAX(D118-E118,ABS(D118-F117),ABS(E118-F117))</f>
        <v/>
      </c>
      <c r="I118">
        <f>AVERAGE(F99:F118)</f>
        <v/>
      </c>
      <c r="J118">
        <f>STDEVP(F99:F118)</f>
        <v/>
      </c>
      <c r="K118">
        <f>AVERAGE(H99:H118)</f>
        <v/>
      </c>
      <c r="L118">
        <f>I118+2.0*J118</f>
        <v/>
      </c>
      <c r="M118">
        <f>I118-2.0*J118</f>
        <v/>
      </c>
      <c r="N118">
        <f>I118+1.5*K118</f>
        <v/>
      </c>
      <c r="O118">
        <f>I118-1.5*K118</f>
        <v/>
      </c>
      <c r="P118">
        <f>AND(L118&lt;N118,M118&gt;O118)</f>
        <v/>
      </c>
      <c r="Q118">
        <f>MAX(D99:D118)</f>
        <v/>
      </c>
      <c r="R118">
        <f>MIN(E99:E118)</f>
        <v/>
      </c>
      <c r="S118">
        <f>F118-((Q118+R118)/2+I118)/2</f>
        <v/>
      </c>
      <c r="T118">
        <f>FORECAST(A118,S99:S118,A99:A118)</f>
        <v/>
      </c>
    </row>
    <row r="119">
      <c r="A119" t="n">
        <v>117</v>
      </c>
      <c r="B119" s="2" t="n">
        <v>42907</v>
      </c>
      <c r="C119" t="n">
        <v>232.1</v>
      </c>
      <c r="D119" t="n">
        <v>232.26</v>
      </c>
      <c r="E119" t="n">
        <v>231.14</v>
      </c>
      <c r="F119" t="n">
        <v>231.65</v>
      </c>
      <c r="G119" t="n">
        <v>58707680</v>
      </c>
      <c r="H119">
        <f>MAX(D119-E119,ABS(D119-F118),ABS(E119-F118))</f>
        <v/>
      </c>
      <c r="I119">
        <f>AVERAGE(F100:F119)</f>
        <v/>
      </c>
      <c r="J119">
        <f>STDEVP(F100:F119)</f>
        <v/>
      </c>
      <c r="K119">
        <f>AVERAGE(H100:H119)</f>
        <v/>
      </c>
      <c r="L119">
        <f>I119+2.0*J119</f>
        <v/>
      </c>
      <c r="M119">
        <f>I119-2.0*J119</f>
        <v/>
      </c>
      <c r="N119">
        <f>I119+1.5*K119</f>
        <v/>
      </c>
      <c r="O119">
        <f>I119-1.5*K119</f>
        <v/>
      </c>
      <c r="P119">
        <f>AND(L119&lt;N119,M119&gt;O119)</f>
        <v/>
      </c>
      <c r="Q119">
        <f>MAX(D100:D119)</f>
        <v/>
      </c>
      <c r="R119">
        <f>MIN(E100:E119)</f>
        <v/>
      </c>
      <c r="S119">
        <f>F119-((Q119+R119)/2+I119)/2</f>
        <v/>
      </c>
      <c r="T119">
        <f>FORECAST(A119,S100:S119,A100:A119)</f>
        <v/>
      </c>
    </row>
    <row r="120">
      <c r="A120" t="n">
        <v>118</v>
      </c>
      <c r="B120" s="2" t="n">
        <v>42908</v>
      </c>
      <c r="C120" t="n">
        <v>231.66</v>
      </c>
      <c r="D120" t="n">
        <v>232.21</v>
      </c>
      <c r="E120" t="n">
        <v>231.36</v>
      </c>
      <c r="F120" t="n">
        <v>231.55</v>
      </c>
      <c r="G120" t="n">
        <v>46301224</v>
      </c>
      <c r="H120">
        <f>MAX(D120-E120,ABS(D120-F119),ABS(E120-F119))</f>
        <v/>
      </c>
      <c r="I120">
        <f>AVERAGE(F101:F120)</f>
        <v/>
      </c>
      <c r="J120">
        <f>STDEVP(F101:F120)</f>
        <v/>
      </c>
      <c r="K120">
        <f>AVERAGE(H101:H120)</f>
        <v/>
      </c>
      <c r="L120">
        <f>I120+2.0*J120</f>
        <v/>
      </c>
      <c r="M120">
        <f>I120-2.0*J120</f>
        <v/>
      </c>
      <c r="N120">
        <f>I120+1.5*K120</f>
        <v/>
      </c>
      <c r="O120">
        <f>I120-1.5*K120</f>
        <v/>
      </c>
      <c r="P120">
        <f>AND(L120&lt;N120,M120&gt;O120)</f>
        <v/>
      </c>
      <c r="Q120">
        <f>MAX(D101:D120)</f>
        <v/>
      </c>
      <c r="R120">
        <f>MIN(E101:E120)</f>
        <v/>
      </c>
      <c r="S120">
        <f>F120-((Q120+R120)/2+I120)/2</f>
        <v/>
      </c>
      <c r="T120">
        <f>FORECAST(A120,S101:S120,A101:A120)</f>
        <v/>
      </c>
    </row>
    <row r="121">
      <c r="A121" t="n">
        <v>119</v>
      </c>
      <c r="B121" s="2" t="n">
        <v>42909</v>
      </c>
      <c r="C121" t="n">
        <v>231.61</v>
      </c>
      <c r="D121" t="n">
        <v>232.19</v>
      </c>
      <c r="E121" t="n">
        <v>231.19</v>
      </c>
      <c r="F121" t="n">
        <v>231.82</v>
      </c>
      <c r="G121" t="n">
        <v>70253848</v>
      </c>
      <c r="H121">
        <f>MAX(D121-E121,ABS(D121-F120),ABS(E121-F120))</f>
        <v/>
      </c>
      <c r="I121">
        <f>AVERAGE(F102:F121)</f>
        <v/>
      </c>
      <c r="J121">
        <f>STDEVP(F102:F121)</f>
        <v/>
      </c>
      <c r="K121">
        <f>AVERAGE(H102:H121)</f>
        <v/>
      </c>
      <c r="L121">
        <f>I121+2.0*J121</f>
        <v/>
      </c>
      <c r="M121">
        <f>I121-2.0*J121</f>
        <v/>
      </c>
      <c r="N121">
        <f>I121+1.5*K121</f>
        <v/>
      </c>
      <c r="O121">
        <f>I121-1.5*K121</f>
        <v/>
      </c>
      <c r="P121">
        <f>AND(L121&lt;N121,M121&gt;O121)</f>
        <v/>
      </c>
      <c r="Q121">
        <f>MAX(D102:D121)</f>
        <v/>
      </c>
      <c r="R121">
        <f>MIN(E102:E121)</f>
        <v/>
      </c>
      <c r="S121">
        <f>F121-((Q121+R121)/2+I121)/2</f>
        <v/>
      </c>
      <c r="T121">
        <f>FORECAST(A121,S102:S121,A102:A121)</f>
        <v/>
      </c>
    </row>
    <row r="122">
      <c r="A122" t="n">
        <v>120</v>
      </c>
      <c r="B122" s="2" t="n">
        <v>42912</v>
      </c>
      <c r="C122" t="n">
        <v>232.56</v>
      </c>
      <c r="D122" t="n">
        <v>233.02</v>
      </c>
      <c r="E122" t="n">
        <v>231.74</v>
      </c>
      <c r="F122" t="n">
        <v>231.98</v>
      </c>
      <c r="G122" t="n">
        <v>59465848</v>
      </c>
      <c r="H122">
        <f>MAX(D122-E122,ABS(D122-F121),ABS(E122-F121))</f>
        <v/>
      </c>
      <c r="I122">
        <f>AVERAGE(F103:F122)</f>
        <v/>
      </c>
      <c r="J122">
        <f>STDEVP(F103:F122)</f>
        <v/>
      </c>
      <c r="K122">
        <f>AVERAGE(H103:H122)</f>
        <v/>
      </c>
      <c r="L122">
        <f>I122+2.0*J122</f>
        <v/>
      </c>
      <c r="M122">
        <f>I122-2.0*J122</f>
        <v/>
      </c>
      <c r="N122">
        <f>I122+1.5*K122</f>
        <v/>
      </c>
      <c r="O122">
        <f>I122-1.5*K122</f>
        <v/>
      </c>
      <c r="P122">
        <f>AND(L122&lt;N122,M122&gt;O122)</f>
        <v/>
      </c>
      <c r="Q122">
        <f>MAX(D103:D122)</f>
        <v/>
      </c>
      <c r="R122">
        <f>MIN(E103:E122)</f>
        <v/>
      </c>
      <c r="S122">
        <f>F122-((Q122+R122)/2+I122)/2</f>
        <v/>
      </c>
      <c r="T122">
        <f>FORECAST(A122,S103:S122,A103:A122)</f>
        <v/>
      </c>
    </row>
    <row r="123">
      <c r="A123" t="n">
        <v>121</v>
      </c>
      <c r="B123" s="2" t="n">
        <v>42913</v>
      </c>
      <c r="C123" t="n">
        <v>231.74</v>
      </c>
      <c r="D123" t="n">
        <v>232.06</v>
      </c>
      <c r="E123" t="n">
        <v>230.09</v>
      </c>
      <c r="F123" t="n">
        <v>230.11</v>
      </c>
      <c r="G123" t="n">
        <v>86259016</v>
      </c>
      <c r="H123">
        <f>MAX(D123-E123,ABS(D123-F122),ABS(E123-F122))</f>
        <v/>
      </c>
      <c r="I123">
        <f>AVERAGE(F104:F123)</f>
        <v/>
      </c>
      <c r="J123">
        <f>STDEVP(F104:F123)</f>
        <v/>
      </c>
      <c r="K123">
        <f>AVERAGE(H104:H123)</f>
        <v/>
      </c>
      <c r="L123">
        <f>I123+2.0*J123</f>
        <v/>
      </c>
      <c r="M123">
        <f>I123-2.0*J123</f>
        <v/>
      </c>
      <c r="N123">
        <f>I123+1.5*K123</f>
        <v/>
      </c>
      <c r="O123">
        <f>I123-1.5*K123</f>
        <v/>
      </c>
      <c r="P123">
        <f>AND(L123&lt;N123,M123&gt;O123)</f>
        <v/>
      </c>
      <c r="Q123">
        <f>MAX(D104:D123)</f>
        <v/>
      </c>
      <c r="R123">
        <f>MIN(E104:E123)</f>
        <v/>
      </c>
      <c r="S123">
        <f>F123-((Q123+R123)/2+I123)/2</f>
        <v/>
      </c>
      <c r="T123">
        <f>FORECAST(A123,S104:S123,A104:A123)</f>
        <v/>
      </c>
    </row>
    <row r="124">
      <c r="A124" t="n">
        <v>122</v>
      </c>
      <c r="B124" s="2" t="n">
        <v>42914</v>
      </c>
      <c r="C124" t="n">
        <v>231.22</v>
      </c>
      <c r="D124" t="n">
        <v>232.38</v>
      </c>
      <c r="E124" t="n">
        <v>230.97</v>
      </c>
      <c r="F124" t="n">
        <v>232.17</v>
      </c>
      <c r="G124" t="n">
        <v>73458688</v>
      </c>
      <c r="H124">
        <f>MAX(D124-E124,ABS(D124-F123),ABS(E124-F123))</f>
        <v/>
      </c>
      <c r="I124">
        <f>AVERAGE(F105:F124)</f>
        <v/>
      </c>
      <c r="J124">
        <f>STDEVP(F105:F124)</f>
        <v/>
      </c>
      <c r="K124">
        <f>AVERAGE(H105:H124)</f>
        <v/>
      </c>
      <c r="L124">
        <f>I124+2.0*J124</f>
        <v/>
      </c>
      <c r="M124">
        <f>I124-2.0*J124</f>
        <v/>
      </c>
      <c r="N124">
        <f>I124+1.5*K124</f>
        <v/>
      </c>
      <c r="O124">
        <f>I124-1.5*K124</f>
        <v/>
      </c>
      <c r="P124">
        <f>AND(L124&lt;N124,M124&gt;O124)</f>
        <v/>
      </c>
      <c r="Q124">
        <f>MAX(D105:D124)</f>
        <v/>
      </c>
      <c r="R124">
        <f>MIN(E105:E124)</f>
        <v/>
      </c>
      <c r="S124">
        <f>F124-((Q124+R124)/2+I124)/2</f>
        <v/>
      </c>
      <c r="T124">
        <f>FORECAST(A124,S105:S124,A105:A124)</f>
        <v/>
      </c>
    </row>
    <row r="125">
      <c r="A125" t="n">
        <v>123</v>
      </c>
      <c r="B125" s="2" t="n">
        <v>42915</v>
      </c>
      <c r="C125" t="n">
        <v>232.33</v>
      </c>
      <c r="D125" t="n">
        <v>232.39</v>
      </c>
      <c r="E125" t="n">
        <v>228.8</v>
      </c>
      <c r="F125" t="n">
        <v>230.13</v>
      </c>
      <c r="G125" t="n">
        <v>112165824</v>
      </c>
      <c r="H125">
        <f>MAX(D125-E125,ABS(D125-F124),ABS(E125-F124))</f>
        <v/>
      </c>
      <c r="I125">
        <f>AVERAGE(F106:F125)</f>
        <v/>
      </c>
      <c r="J125">
        <f>STDEVP(F106:F125)</f>
        <v/>
      </c>
      <c r="K125">
        <f>AVERAGE(H106:H125)</f>
        <v/>
      </c>
      <c r="L125">
        <f>I125+2.0*J125</f>
        <v/>
      </c>
      <c r="M125">
        <f>I125-2.0*J125</f>
        <v/>
      </c>
      <c r="N125">
        <f>I125+1.5*K125</f>
        <v/>
      </c>
      <c r="O125">
        <f>I125-1.5*K125</f>
        <v/>
      </c>
      <c r="P125">
        <f>AND(L125&lt;N125,M125&gt;O125)</f>
        <v/>
      </c>
      <c r="Q125">
        <f>MAX(D106:D125)</f>
        <v/>
      </c>
      <c r="R125">
        <f>MIN(E106:E125)</f>
        <v/>
      </c>
      <c r="S125">
        <f>F125-((Q125+R125)/2+I125)/2</f>
        <v/>
      </c>
      <c r="T125">
        <f>FORECAST(A125,S106:S125,A106:A125)</f>
        <v/>
      </c>
    </row>
    <row r="126">
      <c r="A126" t="n">
        <v>124</v>
      </c>
      <c r="B126" s="2" t="n">
        <v>42916</v>
      </c>
      <c r="C126" t="n">
        <v>231.01</v>
      </c>
      <c r="D126" t="n">
        <v>231.42</v>
      </c>
      <c r="E126" t="n">
        <v>230.34</v>
      </c>
      <c r="F126" t="n">
        <v>230.56</v>
      </c>
      <c r="G126" t="n">
        <v>91055080</v>
      </c>
      <c r="H126">
        <f>MAX(D126-E126,ABS(D126-F125),ABS(E126-F125))</f>
        <v/>
      </c>
      <c r="I126">
        <f>AVERAGE(F107:F126)</f>
        <v/>
      </c>
      <c r="J126">
        <f>STDEVP(F107:F126)</f>
        <v/>
      </c>
      <c r="K126">
        <f>AVERAGE(H107:H126)</f>
        <v/>
      </c>
      <c r="L126">
        <f>I126+2.0*J126</f>
        <v/>
      </c>
      <c r="M126">
        <f>I126-2.0*J126</f>
        <v/>
      </c>
      <c r="N126">
        <f>I126+1.5*K126</f>
        <v/>
      </c>
      <c r="O126">
        <f>I126-1.5*K126</f>
        <v/>
      </c>
      <c r="P126">
        <f>AND(L126&lt;N126,M126&gt;O126)</f>
        <v/>
      </c>
      <c r="Q126">
        <f>MAX(D107:D126)</f>
        <v/>
      </c>
      <c r="R126">
        <f>MIN(E107:E126)</f>
        <v/>
      </c>
      <c r="S126">
        <f>F126-((Q126+R126)/2+I126)/2</f>
        <v/>
      </c>
      <c r="T126">
        <f>FORECAST(A126,S107:S126,A107:A126)</f>
        <v/>
      </c>
    </row>
    <row r="127">
      <c r="A127" t="n">
        <v>125</v>
      </c>
      <c r="B127" s="2" t="n">
        <v>42919</v>
      </c>
      <c r="C127" t="n">
        <v>231.59</v>
      </c>
      <c r="D127" t="n">
        <v>232.06</v>
      </c>
      <c r="E127" t="n">
        <v>230.95</v>
      </c>
      <c r="F127" t="n">
        <v>230.95</v>
      </c>
      <c r="G127" t="n">
        <v>41063396</v>
      </c>
      <c r="H127">
        <f>MAX(D127-E127,ABS(D127-F126),ABS(E127-F126))</f>
        <v/>
      </c>
      <c r="I127">
        <f>AVERAGE(F108:F127)</f>
        <v/>
      </c>
      <c r="J127">
        <f>STDEVP(F108:F127)</f>
        <v/>
      </c>
      <c r="K127">
        <f>AVERAGE(H108:H127)</f>
        <v/>
      </c>
      <c r="L127">
        <f>I127+2.0*J127</f>
        <v/>
      </c>
      <c r="M127">
        <f>I127-2.0*J127</f>
        <v/>
      </c>
      <c r="N127">
        <f>I127+1.5*K127</f>
        <v/>
      </c>
      <c r="O127">
        <f>I127-1.5*K127</f>
        <v/>
      </c>
      <c r="P127">
        <f>AND(L127&lt;N127,M127&gt;O127)</f>
        <v/>
      </c>
      <c r="Q127">
        <f>MAX(D108:D127)</f>
        <v/>
      </c>
      <c r="R127">
        <f>MIN(E108:E127)</f>
        <v/>
      </c>
      <c r="S127">
        <f>F127-((Q127+R127)/2+I127)/2</f>
        <v/>
      </c>
      <c r="T127">
        <f>FORECAST(A127,S108:S127,A108:A127)</f>
        <v/>
      </c>
    </row>
    <row r="128">
      <c r="A128" t="n">
        <v>126</v>
      </c>
      <c r="B128" s="2" t="n">
        <v>42921</v>
      </c>
      <c r="C128" t="n">
        <v>231.35</v>
      </c>
      <c r="D128" t="n">
        <v>231.71</v>
      </c>
      <c r="E128" t="n">
        <v>230.46</v>
      </c>
      <c r="F128" t="n">
        <v>231.48</v>
      </c>
      <c r="G128" t="n">
        <v>57082112</v>
      </c>
      <c r="H128">
        <f>MAX(D128-E128,ABS(D128-F127),ABS(E128-F127))</f>
        <v/>
      </c>
      <c r="I128">
        <f>AVERAGE(F109:F128)</f>
        <v/>
      </c>
      <c r="J128">
        <f>STDEVP(F109:F128)</f>
        <v/>
      </c>
      <c r="K128">
        <f>AVERAGE(H109:H128)</f>
        <v/>
      </c>
      <c r="L128">
        <f>I128+2.0*J128</f>
        <v/>
      </c>
      <c r="M128">
        <f>I128-2.0*J128</f>
        <v/>
      </c>
      <c r="N128">
        <f>I128+1.5*K128</f>
        <v/>
      </c>
      <c r="O128">
        <f>I128-1.5*K128</f>
        <v/>
      </c>
      <c r="P128">
        <f>AND(L128&lt;N128,M128&gt;O128)</f>
        <v/>
      </c>
      <c r="Q128">
        <f>MAX(D109:D128)</f>
        <v/>
      </c>
      <c r="R128">
        <f>MIN(E109:E128)</f>
        <v/>
      </c>
      <c r="S128">
        <f>F128-((Q128+R128)/2+I128)/2</f>
        <v/>
      </c>
      <c r="T128">
        <f>FORECAST(A128,S109:S128,A109:A128)</f>
        <v/>
      </c>
    </row>
    <row r="129">
      <c r="A129" t="n">
        <v>127</v>
      </c>
      <c r="B129" s="2" t="n">
        <v>42922</v>
      </c>
      <c r="C129" t="n">
        <v>230.64</v>
      </c>
      <c r="D129" t="n">
        <v>230.77</v>
      </c>
      <c r="E129" t="n">
        <v>229.16</v>
      </c>
      <c r="F129" t="n">
        <v>229.36</v>
      </c>
      <c r="G129" t="n">
        <v>69339864</v>
      </c>
      <c r="H129">
        <f>MAX(D129-E129,ABS(D129-F128),ABS(E129-F128))</f>
        <v/>
      </c>
      <c r="I129">
        <f>AVERAGE(F110:F129)</f>
        <v/>
      </c>
      <c r="J129">
        <f>STDEVP(F110:F129)</f>
        <v/>
      </c>
      <c r="K129">
        <f>AVERAGE(H110:H129)</f>
        <v/>
      </c>
      <c r="L129">
        <f>I129+2.0*J129</f>
        <v/>
      </c>
      <c r="M129">
        <f>I129-2.0*J129</f>
        <v/>
      </c>
      <c r="N129">
        <f>I129+1.5*K129</f>
        <v/>
      </c>
      <c r="O129">
        <f>I129-1.5*K129</f>
        <v/>
      </c>
      <c r="P129">
        <f>AND(L129&lt;N129,M129&gt;O129)</f>
        <v/>
      </c>
      <c r="Q129">
        <f>MAX(D110:D129)</f>
        <v/>
      </c>
      <c r="R129">
        <f>MIN(E110:E129)</f>
        <v/>
      </c>
      <c r="S129">
        <f>F129-((Q129+R129)/2+I129)/2</f>
        <v/>
      </c>
      <c r="T129">
        <f>FORECAST(A129,S110:S129,A110:A129)</f>
        <v/>
      </c>
    </row>
    <row r="130">
      <c r="A130" t="n">
        <v>128</v>
      </c>
      <c r="B130" s="2" t="n">
        <v>42923</v>
      </c>
      <c r="C130" t="n">
        <v>229.99</v>
      </c>
      <c r="D130" t="n">
        <v>231.01</v>
      </c>
      <c r="E130" t="n">
        <v>229.38</v>
      </c>
      <c r="F130" t="n">
        <v>230.85</v>
      </c>
      <c r="G130" t="n">
        <v>60799664</v>
      </c>
      <c r="H130">
        <f>MAX(D130-E130,ABS(D130-F129),ABS(E130-F129))</f>
        <v/>
      </c>
      <c r="I130">
        <f>AVERAGE(F111:F130)</f>
        <v/>
      </c>
      <c r="J130">
        <f>STDEVP(F111:F130)</f>
        <v/>
      </c>
      <c r="K130">
        <f>AVERAGE(H111:H130)</f>
        <v/>
      </c>
      <c r="L130">
        <f>I130+2.0*J130</f>
        <v/>
      </c>
      <c r="M130">
        <f>I130-2.0*J130</f>
        <v/>
      </c>
      <c r="N130">
        <f>I130+1.5*K130</f>
        <v/>
      </c>
      <c r="O130">
        <f>I130-1.5*K130</f>
        <v/>
      </c>
      <c r="P130">
        <f>AND(L130&lt;N130,M130&gt;O130)</f>
        <v/>
      </c>
      <c r="Q130">
        <f>MAX(D111:D130)</f>
        <v/>
      </c>
      <c r="R130">
        <f>MIN(E111:E130)</f>
        <v/>
      </c>
      <c r="S130">
        <f>F130-((Q130+R130)/2+I130)/2</f>
        <v/>
      </c>
      <c r="T130">
        <f>FORECAST(A130,S111:S130,A111:A130)</f>
        <v/>
      </c>
    </row>
    <row r="131">
      <c r="A131" t="n">
        <v>129</v>
      </c>
      <c r="B131" s="2" t="n">
        <v>42926</v>
      </c>
      <c r="C131" t="n">
        <v>230.7</v>
      </c>
      <c r="D131" t="n">
        <v>231.51</v>
      </c>
      <c r="E131" t="n">
        <v>230.52</v>
      </c>
      <c r="F131" t="n">
        <v>231.1</v>
      </c>
      <c r="G131" t="n">
        <v>38451396</v>
      </c>
      <c r="H131">
        <f>MAX(D131-E131,ABS(D131-F130),ABS(E131-F130))</f>
        <v/>
      </c>
      <c r="I131">
        <f>AVERAGE(F112:F131)</f>
        <v/>
      </c>
      <c r="J131">
        <f>STDEVP(F112:F131)</f>
        <v/>
      </c>
      <c r="K131">
        <f>AVERAGE(H112:H131)</f>
        <v/>
      </c>
      <c r="L131">
        <f>I131+2.0*J131</f>
        <v/>
      </c>
      <c r="M131">
        <f>I131-2.0*J131</f>
        <v/>
      </c>
      <c r="N131">
        <f>I131+1.5*K131</f>
        <v/>
      </c>
      <c r="O131">
        <f>I131-1.5*K131</f>
        <v/>
      </c>
      <c r="P131">
        <f>AND(L131&lt;N131,M131&gt;O131)</f>
        <v/>
      </c>
      <c r="Q131">
        <f>MAX(D112:D131)</f>
        <v/>
      </c>
      <c r="R131">
        <f>MIN(E112:E131)</f>
        <v/>
      </c>
      <c r="S131">
        <f>F131-((Q131+R131)/2+I131)/2</f>
        <v/>
      </c>
      <c r="T131">
        <f>FORECAST(A131,S112:S131,A112:A131)</f>
        <v/>
      </c>
    </row>
    <row r="132">
      <c r="A132" t="n">
        <v>130</v>
      </c>
      <c r="B132" s="2" t="n">
        <v>42927</v>
      </c>
      <c r="C132" t="n">
        <v>230.9</v>
      </c>
      <c r="D132" t="n">
        <v>231.27</v>
      </c>
      <c r="E132" t="n">
        <v>229.65</v>
      </c>
      <c r="F132" t="n">
        <v>230.93</v>
      </c>
      <c r="G132" t="n">
        <v>52810484</v>
      </c>
      <c r="H132">
        <f>MAX(D132-E132,ABS(D132-F131),ABS(E132-F131))</f>
        <v/>
      </c>
      <c r="I132">
        <f>AVERAGE(F113:F132)</f>
        <v/>
      </c>
      <c r="J132">
        <f>STDEVP(F113:F132)</f>
        <v/>
      </c>
      <c r="K132">
        <f>AVERAGE(H113:H132)</f>
        <v/>
      </c>
      <c r="L132">
        <f>I132+2.0*J132</f>
        <v/>
      </c>
      <c r="M132">
        <f>I132-2.0*J132</f>
        <v/>
      </c>
      <c r="N132">
        <f>I132+1.5*K132</f>
        <v/>
      </c>
      <c r="O132">
        <f>I132-1.5*K132</f>
        <v/>
      </c>
      <c r="P132">
        <f>AND(L132&lt;N132,M132&gt;O132)</f>
        <v/>
      </c>
      <c r="Q132">
        <f>MAX(D113:D132)</f>
        <v/>
      </c>
      <c r="R132">
        <f>MIN(E113:E132)</f>
        <v/>
      </c>
      <c r="S132">
        <f>F132-((Q132+R132)/2+I132)/2</f>
        <v/>
      </c>
      <c r="T132">
        <f>FORECAST(A132,S113:S132,A113:A132)</f>
        <v/>
      </c>
    </row>
    <row r="133">
      <c r="A133" t="n">
        <v>131</v>
      </c>
      <c r="B133" s="2" t="n">
        <v>42928</v>
      </c>
      <c r="C133" t="n">
        <v>231.99</v>
      </c>
      <c r="D133" t="n">
        <v>232.84</v>
      </c>
      <c r="E133" t="n">
        <v>231.99</v>
      </c>
      <c r="F133" t="n">
        <v>232.66</v>
      </c>
      <c r="G133" t="n">
        <v>62517696</v>
      </c>
      <c r="H133">
        <f>MAX(D133-E133,ABS(D133-F132),ABS(E133-F132))</f>
        <v/>
      </c>
      <c r="I133">
        <f>AVERAGE(F114:F133)</f>
        <v/>
      </c>
      <c r="J133">
        <f>STDEVP(F114:F133)</f>
        <v/>
      </c>
      <c r="K133">
        <f>AVERAGE(H114:H133)</f>
        <v/>
      </c>
      <c r="L133">
        <f>I133+2.0*J133</f>
        <v/>
      </c>
      <c r="M133">
        <f>I133-2.0*J133</f>
        <v/>
      </c>
      <c r="N133">
        <f>I133+1.5*K133</f>
        <v/>
      </c>
      <c r="O133">
        <f>I133-1.5*K133</f>
        <v/>
      </c>
      <c r="P133">
        <f>AND(L133&lt;N133,M133&gt;O133)</f>
        <v/>
      </c>
      <c r="Q133">
        <f>MAX(D114:D133)</f>
        <v/>
      </c>
      <c r="R133">
        <f>MIN(E114:E133)</f>
        <v/>
      </c>
      <c r="S133">
        <f>F133-((Q133+R133)/2+I133)/2</f>
        <v/>
      </c>
      <c r="T133">
        <f>FORECAST(A133,S114:S133,A114:A133)</f>
        <v/>
      </c>
    </row>
    <row r="134">
      <c r="A134" t="n">
        <v>132</v>
      </c>
      <c r="B134" s="2" t="n">
        <v>42929</v>
      </c>
      <c r="C134" t="n">
        <v>232.67</v>
      </c>
      <c r="D134" t="n">
        <v>233.18</v>
      </c>
      <c r="E134" t="n">
        <v>232.42</v>
      </c>
      <c r="F134" t="n">
        <v>233.05</v>
      </c>
      <c r="G134" t="n">
        <v>41396728</v>
      </c>
      <c r="H134">
        <f>MAX(D134-E134,ABS(D134-F133),ABS(E134-F133))</f>
        <v/>
      </c>
      <c r="I134">
        <f>AVERAGE(F115:F134)</f>
        <v/>
      </c>
      <c r="J134">
        <f>STDEVP(F115:F134)</f>
        <v/>
      </c>
      <c r="K134">
        <f>AVERAGE(H115:H134)</f>
        <v/>
      </c>
      <c r="L134">
        <f>I134+2.0*J134</f>
        <v/>
      </c>
      <c r="M134">
        <f>I134-2.0*J134</f>
        <v/>
      </c>
      <c r="N134">
        <f>I134+1.5*K134</f>
        <v/>
      </c>
      <c r="O134">
        <f>I134-1.5*K134</f>
        <v/>
      </c>
      <c r="P134">
        <f>AND(L134&lt;N134,M134&gt;O134)</f>
        <v/>
      </c>
      <c r="Q134">
        <f>MAX(D115:D134)</f>
        <v/>
      </c>
      <c r="R134">
        <f>MIN(E115:E134)</f>
        <v/>
      </c>
      <c r="S134">
        <f>F134-((Q134+R134)/2+I134)/2</f>
        <v/>
      </c>
      <c r="T134">
        <f>FORECAST(A134,S115:S134,A115:A134)</f>
        <v/>
      </c>
    </row>
    <row r="135">
      <c r="A135" t="n">
        <v>133</v>
      </c>
      <c r="B135" s="2" t="n">
        <v>42930</v>
      </c>
      <c r="C135" t="n">
        <v>233.06</v>
      </c>
      <c r="D135" t="n">
        <v>234.53</v>
      </c>
      <c r="E135" t="n">
        <v>232.95</v>
      </c>
      <c r="F135" t="n">
        <v>234.14</v>
      </c>
      <c r="G135" t="n">
        <v>63201796</v>
      </c>
      <c r="H135">
        <f>MAX(D135-E135,ABS(D135-F134),ABS(E135-F134))</f>
        <v/>
      </c>
      <c r="I135">
        <f>AVERAGE(F116:F135)</f>
        <v/>
      </c>
      <c r="J135">
        <f>STDEVP(F116:F135)</f>
        <v/>
      </c>
      <c r="K135">
        <f>AVERAGE(H116:H135)</f>
        <v/>
      </c>
      <c r="L135">
        <f>I135+2.0*J135</f>
        <v/>
      </c>
      <c r="M135">
        <f>I135-2.0*J135</f>
        <v/>
      </c>
      <c r="N135">
        <f>I135+1.5*K135</f>
        <v/>
      </c>
      <c r="O135">
        <f>I135-1.5*K135</f>
        <v/>
      </c>
      <c r="P135">
        <f>AND(L135&lt;N135,M135&gt;O135)</f>
        <v/>
      </c>
      <c r="Q135">
        <f>MAX(D116:D135)</f>
        <v/>
      </c>
      <c r="R135">
        <f>MIN(E116:E135)</f>
        <v/>
      </c>
      <c r="S135">
        <f>F135-((Q135+R135)/2+I135)/2</f>
        <v/>
      </c>
      <c r="T135">
        <f>FORECAST(A135,S116:S135,A116:A135)</f>
        <v/>
      </c>
    </row>
    <row r="136">
      <c r="A136" t="n">
        <v>134</v>
      </c>
      <c r="B136" s="2" t="n">
        <v>42933</v>
      </c>
      <c r="C136" t="n">
        <v>234.05</v>
      </c>
      <c r="D136" t="n">
        <v>234.47</v>
      </c>
      <c r="E136" t="n">
        <v>233.92</v>
      </c>
      <c r="F136" t="n">
        <v>234.11</v>
      </c>
      <c r="G136" t="n">
        <v>35167316</v>
      </c>
      <c r="H136">
        <f>MAX(D136-E136,ABS(D136-F135),ABS(E136-F135))</f>
        <v/>
      </c>
      <c r="I136">
        <f>AVERAGE(F117:F136)</f>
        <v/>
      </c>
      <c r="J136">
        <f>STDEVP(F117:F136)</f>
        <v/>
      </c>
      <c r="K136">
        <f>AVERAGE(H117:H136)</f>
        <v/>
      </c>
      <c r="L136">
        <f>I136+2.0*J136</f>
        <v/>
      </c>
      <c r="M136">
        <f>I136-2.0*J136</f>
        <v/>
      </c>
      <c r="N136">
        <f>I136+1.5*K136</f>
        <v/>
      </c>
      <c r="O136">
        <f>I136-1.5*K136</f>
        <v/>
      </c>
      <c r="P136">
        <f>AND(L136&lt;N136,M136&gt;O136)</f>
        <v/>
      </c>
      <c r="Q136">
        <f>MAX(D117:D136)</f>
        <v/>
      </c>
      <c r="R136">
        <f>MIN(E117:E136)</f>
        <v/>
      </c>
      <c r="S136">
        <f>F136-((Q136+R136)/2+I136)/2</f>
        <v/>
      </c>
      <c r="T136">
        <f>FORECAST(A136,S117:S136,A117:A136)</f>
        <v/>
      </c>
    </row>
    <row r="137">
      <c r="A137" t="n">
        <v>135</v>
      </c>
      <c r="B137" s="2" t="n">
        <v>42934</v>
      </c>
      <c r="C137" t="n">
        <v>233.66</v>
      </c>
      <c r="D137" t="n">
        <v>234.29</v>
      </c>
      <c r="E137" t="n">
        <v>233.29</v>
      </c>
      <c r="F137" t="n">
        <v>234.24</v>
      </c>
      <c r="G137" t="n">
        <v>44827112</v>
      </c>
      <c r="H137">
        <f>MAX(D137-E137,ABS(D137-F136),ABS(E137-F136))</f>
        <v/>
      </c>
      <c r="I137">
        <f>AVERAGE(F118:F137)</f>
        <v/>
      </c>
      <c r="J137">
        <f>STDEVP(F118:F137)</f>
        <v/>
      </c>
      <c r="K137">
        <f>AVERAGE(H118:H137)</f>
        <v/>
      </c>
      <c r="L137">
        <f>I137+2.0*J137</f>
        <v/>
      </c>
      <c r="M137">
        <f>I137-2.0*J137</f>
        <v/>
      </c>
      <c r="N137">
        <f>I137+1.5*K137</f>
        <v/>
      </c>
      <c r="O137">
        <f>I137-1.5*K137</f>
        <v/>
      </c>
      <c r="P137">
        <f>AND(L137&lt;N137,M137&gt;O137)</f>
        <v/>
      </c>
      <c r="Q137">
        <f>MAX(D118:D137)</f>
        <v/>
      </c>
      <c r="R137">
        <f>MIN(E118:E137)</f>
        <v/>
      </c>
      <c r="S137">
        <f>F137-((Q137+R137)/2+I137)/2</f>
        <v/>
      </c>
      <c r="T137">
        <f>FORECAST(A137,S118:S137,A118:A137)</f>
        <v/>
      </c>
    </row>
    <row r="138">
      <c r="A138" t="n">
        <v>136</v>
      </c>
      <c r="B138" s="2" t="n">
        <v>42935</v>
      </c>
      <c r="C138" t="n">
        <v>234.58</v>
      </c>
      <c r="D138" t="n">
        <v>235.51</v>
      </c>
      <c r="E138" t="n">
        <v>234.57</v>
      </c>
      <c r="F138" t="n">
        <v>235.5</v>
      </c>
      <c r="G138" t="n">
        <v>53523280</v>
      </c>
      <c r="H138">
        <f>MAX(D138-E138,ABS(D138-F137),ABS(E138-F137))</f>
        <v/>
      </c>
      <c r="I138">
        <f>AVERAGE(F119:F138)</f>
        <v/>
      </c>
      <c r="J138">
        <f>STDEVP(F119:F138)</f>
        <v/>
      </c>
      <c r="K138">
        <f>AVERAGE(H119:H138)</f>
        <v/>
      </c>
      <c r="L138">
        <f>I138+2.0*J138</f>
        <v/>
      </c>
      <c r="M138">
        <f>I138-2.0*J138</f>
        <v/>
      </c>
      <c r="N138">
        <f>I138+1.5*K138</f>
        <v/>
      </c>
      <c r="O138">
        <f>I138-1.5*K138</f>
        <v/>
      </c>
      <c r="P138">
        <f>AND(L138&lt;N138,M138&gt;O138)</f>
        <v/>
      </c>
      <c r="Q138">
        <f>MAX(D119:D138)</f>
        <v/>
      </c>
      <c r="R138">
        <f>MIN(E119:E138)</f>
        <v/>
      </c>
      <c r="S138">
        <f>F138-((Q138+R138)/2+I138)/2</f>
        <v/>
      </c>
      <c r="T138">
        <f>FORECAST(A138,S119:S138,A119:A138)</f>
        <v/>
      </c>
    </row>
    <row r="139">
      <c r="A139" t="n">
        <v>137</v>
      </c>
      <c r="B139" s="2" t="n">
        <v>42936</v>
      </c>
      <c r="C139" t="n">
        <v>235.78</v>
      </c>
      <c r="D139" t="n">
        <v>235.91</v>
      </c>
      <c r="E139" t="n">
        <v>235.01</v>
      </c>
      <c r="F139" t="n">
        <v>235.61</v>
      </c>
      <c r="G139" t="n">
        <v>49434036</v>
      </c>
      <c r="H139">
        <f>MAX(D139-E139,ABS(D139-F138),ABS(E139-F138))</f>
        <v/>
      </c>
      <c r="I139">
        <f>AVERAGE(F120:F139)</f>
        <v/>
      </c>
      <c r="J139">
        <f>STDEVP(F120:F139)</f>
        <v/>
      </c>
      <c r="K139">
        <f>AVERAGE(H120:H139)</f>
        <v/>
      </c>
      <c r="L139">
        <f>I139+2.0*J139</f>
        <v/>
      </c>
      <c r="M139">
        <f>I139-2.0*J139</f>
        <v/>
      </c>
      <c r="N139">
        <f>I139+1.5*K139</f>
        <v/>
      </c>
      <c r="O139">
        <f>I139-1.5*K139</f>
        <v/>
      </c>
      <c r="P139">
        <f>AND(L139&lt;N139,M139&gt;O139)</f>
        <v/>
      </c>
      <c r="Q139">
        <f>MAX(D120:D139)</f>
        <v/>
      </c>
      <c r="R139">
        <f>MIN(E120:E139)</f>
        <v/>
      </c>
      <c r="S139">
        <f>F139-((Q139+R139)/2+I139)/2</f>
        <v/>
      </c>
      <c r="T139">
        <f>FORECAST(A139,S120:S139,A120:A139)</f>
        <v/>
      </c>
    </row>
    <row r="140">
      <c r="A140" t="n">
        <v>138</v>
      </c>
      <c r="B140" s="2" t="n">
        <v>42937</v>
      </c>
      <c r="C140" t="n">
        <v>234.98</v>
      </c>
      <c r="D140" t="n">
        <v>235.43</v>
      </c>
      <c r="E140" t="n">
        <v>234.73</v>
      </c>
      <c r="F140" t="n">
        <v>235.4</v>
      </c>
      <c r="G140" t="n">
        <v>93037592</v>
      </c>
      <c r="H140">
        <f>MAX(D140-E140,ABS(D140-F139),ABS(E140-F139))</f>
        <v/>
      </c>
      <c r="I140">
        <f>AVERAGE(F121:F140)</f>
        <v/>
      </c>
      <c r="J140">
        <f>STDEVP(F121:F140)</f>
        <v/>
      </c>
      <c r="K140">
        <f>AVERAGE(H121:H140)</f>
        <v/>
      </c>
      <c r="L140">
        <f>I140+2.0*J140</f>
        <v/>
      </c>
      <c r="M140">
        <f>I140-2.0*J140</f>
        <v/>
      </c>
      <c r="N140">
        <f>I140+1.5*K140</f>
        <v/>
      </c>
      <c r="O140">
        <f>I140-1.5*K140</f>
        <v/>
      </c>
      <c r="P140">
        <f>AND(L140&lt;N140,M140&gt;O140)</f>
        <v/>
      </c>
      <c r="Q140">
        <f>MAX(D121:D140)</f>
        <v/>
      </c>
      <c r="R140">
        <f>MIN(E121:E140)</f>
        <v/>
      </c>
      <c r="S140">
        <f>F140-((Q140+R140)/2+I140)/2</f>
        <v/>
      </c>
      <c r="T140">
        <f>FORECAST(A140,S121:S140,A121:A140)</f>
        <v/>
      </c>
    </row>
    <row r="141">
      <c r="A141" t="n">
        <v>139</v>
      </c>
      <c r="B141" s="2" t="n">
        <v>42940</v>
      </c>
      <c r="C141" t="n">
        <v>235.31</v>
      </c>
      <c r="D141" t="n">
        <v>235.49</v>
      </c>
      <c r="E141" t="n">
        <v>234.83</v>
      </c>
      <c r="F141" t="n">
        <v>235.34</v>
      </c>
      <c r="G141" t="n">
        <v>48896096</v>
      </c>
      <c r="H141">
        <f>MAX(D141-E141,ABS(D141-F140),ABS(E141-F140))</f>
        <v/>
      </c>
      <c r="I141">
        <f>AVERAGE(F122:F141)</f>
        <v/>
      </c>
      <c r="J141">
        <f>STDEVP(F122:F141)</f>
        <v/>
      </c>
      <c r="K141">
        <f>AVERAGE(H122:H141)</f>
        <v/>
      </c>
      <c r="L141">
        <f>I141+2.0*J141</f>
        <v/>
      </c>
      <c r="M141">
        <f>I141-2.0*J141</f>
        <v/>
      </c>
      <c r="N141">
        <f>I141+1.5*K141</f>
        <v/>
      </c>
      <c r="O141">
        <f>I141-1.5*K141</f>
        <v/>
      </c>
      <c r="P141">
        <f>AND(L141&lt;N141,M141&gt;O141)</f>
        <v/>
      </c>
      <c r="Q141">
        <f>MAX(D122:D141)</f>
        <v/>
      </c>
      <c r="R141">
        <f>MIN(E122:E141)</f>
        <v/>
      </c>
      <c r="S141">
        <f>F141-((Q141+R141)/2+I141)/2</f>
        <v/>
      </c>
      <c r="T141">
        <f>FORECAST(A141,S122:S141,A122:A141)</f>
        <v/>
      </c>
    </row>
    <row r="142">
      <c r="A142" t="n">
        <v>140</v>
      </c>
      <c r="B142" s="2" t="n">
        <v>42941</v>
      </c>
      <c r="C142" t="n">
        <v>236.16</v>
      </c>
      <c r="D142" t="n">
        <v>236.28</v>
      </c>
      <c r="E142" t="n">
        <v>235.67</v>
      </c>
      <c r="F142" t="n">
        <v>235.91</v>
      </c>
      <c r="G142" t="n">
        <v>57593908</v>
      </c>
      <c r="H142">
        <f>MAX(D142-E142,ABS(D142-F141),ABS(E142-F141))</f>
        <v/>
      </c>
      <c r="I142">
        <f>AVERAGE(F123:F142)</f>
        <v/>
      </c>
      <c r="J142">
        <f>STDEVP(F123:F142)</f>
        <v/>
      </c>
      <c r="K142">
        <f>AVERAGE(H123:H142)</f>
        <v/>
      </c>
      <c r="L142">
        <f>I142+2.0*J142</f>
        <v/>
      </c>
      <c r="M142">
        <f>I142-2.0*J142</f>
        <v/>
      </c>
      <c r="N142">
        <f>I142+1.5*K142</f>
        <v/>
      </c>
      <c r="O142">
        <f>I142-1.5*K142</f>
        <v/>
      </c>
      <c r="P142">
        <f>AND(L142&lt;N142,M142&gt;O142)</f>
        <v/>
      </c>
      <c r="Q142">
        <f>MAX(D123:D142)</f>
        <v/>
      </c>
      <c r="R142">
        <f>MIN(E123:E142)</f>
        <v/>
      </c>
      <c r="S142">
        <f>F142-((Q142+R142)/2+I142)/2</f>
        <v/>
      </c>
      <c r="T142">
        <f>FORECAST(A142,S123:S142,A123:A142)</f>
        <v/>
      </c>
    </row>
    <row r="143">
      <c r="A143" t="n">
        <v>141</v>
      </c>
      <c r="B143" s="2" t="n">
        <v>42942</v>
      </c>
      <c r="C143" t="n">
        <v>236.23</v>
      </c>
      <c r="D143" t="n">
        <v>236.27</v>
      </c>
      <c r="E143" t="n">
        <v>235.64</v>
      </c>
      <c r="F143" t="n">
        <v>235.92</v>
      </c>
      <c r="G143" t="n">
        <v>49895744</v>
      </c>
      <c r="H143">
        <f>MAX(D143-E143,ABS(D143-F142),ABS(E143-F142))</f>
        <v/>
      </c>
      <c r="I143">
        <f>AVERAGE(F124:F143)</f>
        <v/>
      </c>
      <c r="J143">
        <f>STDEVP(F124:F143)</f>
        <v/>
      </c>
      <c r="K143">
        <f>AVERAGE(H124:H143)</f>
        <v/>
      </c>
      <c r="L143">
        <f>I143+2.0*J143</f>
        <v/>
      </c>
      <c r="M143">
        <f>I143-2.0*J143</f>
        <v/>
      </c>
      <c r="N143">
        <f>I143+1.5*K143</f>
        <v/>
      </c>
      <c r="O143">
        <f>I143-1.5*K143</f>
        <v/>
      </c>
      <c r="P143">
        <f>AND(L143&lt;N143,M143&gt;O143)</f>
        <v/>
      </c>
      <c r="Q143">
        <f>MAX(D124:D143)</f>
        <v/>
      </c>
      <c r="R143">
        <f>MIN(E124:E143)</f>
        <v/>
      </c>
      <c r="S143">
        <f>F143-((Q143+R143)/2+I143)/2</f>
        <v/>
      </c>
      <c r="T143">
        <f>FORECAST(A143,S124:S143,A124:A143)</f>
        <v/>
      </c>
    </row>
    <row r="144">
      <c r="A144" t="n">
        <v>142</v>
      </c>
      <c r="B144" s="2" t="n">
        <v>42943</v>
      </c>
      <c r="C144" t="n">
        <v>236.43</v>
      </c>
      <c r="D144" t="n">
        <v>236.47</v>
      </c>
      <c r="E144" t="n">
        <v>234.26</v>
      </c>
      <c r="F144" t="n">
        <v>235.7</v>
      </c>
      <c r="G144" t="n">
        <v>74217968</v>
      </c>
      <c r="H144">
        <f>MAX(D144-E144,ABS(D144-F143),ABS(E144-F143))</f>
        <v/>
      </c>
      <c r="I144">
        <f>AVERAGE(F125:F144)</f>
        <v/>
      </c>
      <c r="J144">
        <f>STDEVP(F125:F144)</f>
        <v/>
      </c>
      <c r="K144">
        <f>AVERAGE(H125:H144)</f>
        <v/>
      </c>
      <c r="L144">
        <f>I144+2.0*J144</f>
        <v/>
      </c>
      <c r="M144">
        <f>I144-2.0*J144</f>
        <v/>
      </c>
      <c r="N144">
        <f>I144+1.5*K144</f>
        <v/>
      </c>
      <c r="O144">
        <f>I144-1.5*K144</f>
        <v/>
      </c>
      <c r="P144">
        <f>AND(L144&lt;N144,M144&gt;O144)</f>
        <v/>
      </c>
      <c r="Q144">
        <f>MAX(D125:D144)</f>
        <v/>
      </c>
      <c r="R144">
        <f>MIN(E125:E144)</f>
        <v/>
      </c>
      <c r="S144">
        <f>F144-((Q144+R144)/2+I144)/2</f>
        <v/>
      </c>
      <c r="T144">
        <f>FORECAST(A144,S125:S144,A125:A144)</f>
        <v/>
      </c>
    </row>
    <row r="145">
      <c r="A145" t="n">
        <v>143</v>
      </c>
      <c r="B145" s="2" t="n">
        <v>42944</v>
      </c>
      <c r="C145" t="n">
        <v>235.18</v>
      </c>
      <c r="D145" t="n">
        <v>235.57</v>
      </c>
      <c r="E145" t="n">
        <v>234.68</v>
      </c>
      <c r="F145" t="n">
        <v>235.43</v>
      </c>
      <c r="G145" t="n">
        <v>52531244</v>
      </c>
      <c r="H145">
        <f>MAX(D145-E145,ABS(D145-F144),ABS(E145-F144))</f>
        <v/>
      </c>
      <c r="I145">
        <f>AVERAGE(F126:F145)</f>
        <v/>
      </c>
      <c r="J145">
        <f>STDEVP(F126:F145)</f>
        <v/>
      </c>
      <c r="K145">
        <f>AVERAGE(H126:H145)</f>
        <v/>
      </c>
      <c r="L145">
        <f>I145+2.0*J145</f>
        <v/>
      </c>
      <c r="M145">
        <f>I145-2.0*J145</f>
        <v/>
      </c>
      <c r="N145">
        <f>I145+1.5*K145</f>
        <v/>
      </c>
      <c r="O145">
        <f>I145-1.5*K145</f>
        <v/>
      </c>
      <c r="P145">
        <f>AND(L145&lt;N145,M145&gt;O145)</f>
        <v/>
      </c>
      <c r="Q145">
        <f>MAX(D126:D145)</f>
        <v/>
      </c>
      <c r="R145">
        <f>MIN(E126:E145)</f>
        <v/>
      </c>
      <c r="S145">
        <f>F145-((Q145+R145)/2+I145)/2</f>
        <v/>
      </c>
      <c r="T145">
        <f>FORECAST(A145,S126:S145,A126:A145)</f>
        <v/>
      </c>
    </row>
    <row r="146">
      <c r="A146" t="n">
        <v>144</v>
      </c>
      <c r="B146" s="2" t="n">
        <v>42947</v>
      </c>
      <c r="C146" t="n">
        <v>235.87</v>
      </c>
      <c r="D146" t="n">
        <v>235.97</v>
      </c>
      <c r="E146" t="n">
        <v>235.07</v>
      </c>
      <c r="F146" t="n">
        <v>235.29</v>
      </c>
      <c r="G146" t="n">
        <v>69049712</v>
      </c>
      <c r="H146">
        <f>MAX(D146-E146,ABS(D146-F145),ABS(E146-F145))</f>
        <v/>
      </c>
      <c r="I146">
        <f>AVERAGE(F127:F146)</f>
        <v/>
      </c>
      <c r="J146">
        <f>STDEVP(F127:F146)</f>
        <v/>
      </c>
      <c r="K146">
        <f>AVERAGE(H127:H146)</f>
        <v/>
      </c>
      <c r="L146">
        <f>I146+2.0*J146</f>
        <v/>
      </c>
      <c r="M146">
        <f>I146-2.0*J146</f>
        <v/>
      </c>
      <c r="N146">
        <f>I146+1.5*K146</f>
        <v/>
      </c>
      <c r="O146">
        <f>I146-1.5*K146</f>
        <v/>
      </c>
      <c r="P146">
        <f>AND(L146&lt;N146,M146&gt;O146)</f>
        <v/>
      </c>
      <c r="Q146">
        <f>MAX(D127:D146)</f>
        <v/>
      </c>
      <c r="R146">
        <f>MIN(E127:E146)</f>
        <v/>
      </c>
      <c r="S146">
        <f>F146-((Q146+R146)/2+I146)/2</f>
        <v/>
      </c>
      <c r="T146">
        <f>FORECAST(A146,S127:S146,A127:A146)</f>
        <v/>
      </c>
    </row>
    <row r="147">
      <c r="A147" t="n">
        <v>145</v>
      </c>
      <c r="B147" s="2" t="n">
        <v>42948</v>
      </c>
      <c r="C147" t="n">
        <v>235.95</v>
      </c>
      <c r="D147" t="n">
        <v>235.99</v>
      </c>
      <c r="E147" t="n">
        <v>235.24</v>
      </c>
      <c r="F147" t="n">
        <v>235.82</v>
      </c>
      <c r="G147" t="n">
        <v>57735292</v>
      </c>
      <c r="H147">
        <f>MAX(D147-E147,ABS(D147-F146),ABS(E147-F146))</f>
        <v/>
      </c>
      <c r="I147">
        <f>AVERAGE(F128:F147)</f>
        <v/>
      </c>
      <c r="J147">
        <f>STDEVP(F128:F147)</f>
        <v/>
      </c>
      <c r="K147">
        <f>AVERAGE(H128:H147)</f>
        <v/>
      </c>
      <c r="L147">
        <f>I147+2.0*J147</f>
        <v/>
      </c>
      <c r="M147">
        <f>I147-2.0*J147</f>
        <v/>
      </c>
      <c r="N147">
        <f>I147+1.5*K147</f>
        <v/>
      </c>
      <c r="O147">
        <f>I147-1.5*K147</f>
        <v/>
      </c>
      <c r="P147">
        <f>AND(L147&lt;N147,M147&gt;O147)</f>
        <v/>
      </c>
      <c r="Q147">
        <f>MAX(D128:D147)</f>
        <v/>
      </c>
      <c r="R147">
        <f>MIN(E128:E147)</f>
        <v/>
      </c>
      <c r="S147">
        <f>F147-((Q147+R147)/2+I147)/2</f>
        <v/>
      </c>
      <c r="T147">
        <f>FORECAST(A147,S128:S147,A128:A147)</f>
        <v/>
      </c>
    </row>
    <row r="148">
      <c r="A148" t="n">
        <v>146</v>
      </c>
      <c r="B148" s="2" t="n">
        <v>42949</v>
      </c>
      <c r="C148" t="n">
        <v>235.96</v>
      </c>
      <c r="D148" t="n">
        <v>236.09</v>
      </c>
      <c r="E148" t="n">
        <v>234.91</v>
      </c>
      <c r="F148" t="n">
        <v>235.93</v>
      </c>
      <c r="G148" t="n">
        <v>49513776</v>
      </c>
      <c r="H148">
        <f>MAX(D148-E148,ABS(D148-F147),ABS(E148-F147))</f>
        <v/>
      </c>
      <c r="I148">
        <f>AVERAGE(F129:F148)</f>
        <v/>
      </c>
      <c r="J148">
        <f>STDEVP(F129:F148)</f>
        <v/>
      </c>
      <c r="K148">
        <f>AVERAGE(H129:H148)</f>
        <v/>
      </c>
      <c r="L148">
        <f>I148+2.0*J148</f>
        <v/>
      </c>
      <c r="M148">
        <f>I148-2.0*J148</f>
        <v/>
      </c>
      <c r="N148">
        <f>I148+1.5*K148</f>
        <v/>
      </c>
      <c r="O148">
        <f>I148-1.5*K148</f>
        <v/>
      </c>
      <c r="P148">
        <f>AND(L148&lt;N148,M148&gt;O148)</f>
        <v/>
      </c>
      <c r="Q148">
        <f>MAX(D129:D148)</f>
        <v/>
      </c>
      <c r="R148">
        <f>MIN(E129:E148)</f>
        <v/>
      </c>
      <c r="S148">
        <f>F148-((Q148+R148)/2+I148)/2</f>
        <v/>
      </c>
      <c r="T148">
        <f>FORECAST(A148,S129:S148,A129:A148)</f>
        <v/>
      </c>
    </row>
    <row r="149">
      <c r="A149" t="n">
        <v>147</v>
      </c>
      <c r="B149" s="2" t="n">
        <v>42950</v>
      </c>
      <c r="C149" t="n">
        <v>235.81</v>
      </c>
      <c r="D149" t="n">
        <v>235.84</v>
      </c>
      <c r="E149" t="n">
        <v>235.17</v>
      </c>
      <c r="F149" t="n">
        <v>235.48</v>
      </c>
      <c r="G149" t="n">
        <v>42848608</v>
      </c>
      <c r="H149">
        <f>MAX(D149-E149,ABS(D149-F148),ABS(E149-F148))</f>
        <v/>
      </c>
      <c r="I149">
        <f>AVERAGE(F130:F149)</f>
        <v/>
      </c>
      <c r="J149">
        <f>STDEVP(F130:F149)</f>
        <v/>
      </c>
      <c r="K149">
        <f>AVERAGE(H130:H149)</f>
        <v/>
      </c>
      <c r="L149">
        <f>I149+2.0*J149</f>
        <v/>
      </c>
      <c r="M149">
        <f>I149-2.0*J149</f>
        <v/>
      </c>
      <c r="N149">
        <f>I149+1.5*K149</f>
        <v/>
      </c>
      <c r="O149">
        <f>I149-1.5*K149</f>
        <v/>
      </c>
      <c r="P149">
        <f>AND(L149&lt;N149,M149&gt;O149)</f>
        <v/>
      </c>
      <c r="Q149">
        <f>MAX(D130:D149)</f>
        <v/>
      </c>
      <c r="R149">
        <f>MIN(E130:E149)</f>
        <v/>
      </c>
      <c r="S149">
        <f>F149-((Q149+R149)/2+I149)/2</f>
        <v/>
      </c>
      <c r="T149">
        <f>FORECAST(A149,S130:S149,A130:A149)</f>
        <v/>
      </c>
    </row>
    <row r="150">
      <c r="A150" t="n">
        <v>148</v>
      </c>
      <c r="B150" s="2" t="n">
        <v>42951</v>
      </c>
      <c r="C150" t="n">
        <v>236.01</v>
      </c>
      <c r="D150" t="n">
        <v>236.27</v>
      </c>
      <c r="E150" t="n">
        <v>235.49</v>
      </c>
      <c r="F150" t="n">
        <v>235.9</v>
      </c>
      <c r="G150" t="n">
        <v>63127488</v>
      </c>
      <c r="H150">
        <f>MAX(D150-E150,ABS(D150-F149),ABS(E150-F149))</f>
        <v/>
      </c>
      <c r="I150">
        <f>AVERAGE(F131:F150)</f>
        <v/>
      </c>
      <c r="J150">
        <f>STDEVP(F131:F150)</f>
        <v/>
      </c>
      <c r="K150">
        <f>AVERAGE(H131:H150)</f>
        <v/>
      </c>
      <c r="L150">
        <f>I150+2.0*J150</f>
        <v/>
      </c>
      <c r="M150">
        <f>I150-2.0*J150</f>
        <v/>
      </c>
      <c r="N150">
        <f>I150+1.5*K150</f>
        <v/>
      </c>
      <c r="O150">
        <f>I150-1.5*K150</f>
        <v/>
      </c>
      <c r="P150">
        <f>AND(L150&lt;N150,M150&gt;O150)</f>
        <v/>
      </c>
      <c r="Q150">
        <f>MAX(D131:D150)</f>
        <v/>
      </c>
      <c r="R150">
        <f>MIN(E131:E150)</f>
        <v/>
      </c>
      <c r="S150">
        <f>F150-((Q150+R150)/2+I150)/2</f>
        <v/>
      </c>
      <c r="T150">
        <f>FORECAST(A150,S131:S150,A131:A150)</f>
        <v/>
      </c>
    </row>
    <row r="151">
      <c r="A151" t="n">
        <v>149</v>
      </c>
      <c r="B151" s="2" t="n">
        <v>42954</v>
      </c>
      <c r="C151" t="n">
        <v>235.98</v>
      </c>
      <c r="D151" t="n">
        <v>236.34</v>
      </c>
      <c r="E151" t="n">
        <v>235.87</v>
      </c>
      <c r="F151" t="n">
        <v>236.34</v>
      </c>
      <c r="G151" t="n">
        <v>33555464</v>
      </c>
      <c r="H151">
        <f>MAX(D151-E151,ABS(D151-F150),ABS(E151-F150))</f>
        <v/>
      </c>
      <c r="I151">
        <f>AVERAGE(F132:F151)</f>
        <v/>
      </c>
      <c r="J151">
        <f>STDEVP(F132:F151)</f>
        <v/>
      </c>
      <c r="K151">
        <f>AVERAGE(H132:H151)</f>
        <v/>
      </c>
      <c r="L151">
        <f>I151+2.0*J151</f>
        <v/>
      </c>
      <c r="M151">
        <f>I151-2.0*J151</f>
        <v/>
      </c>
      <c r="N151">
        <f>I151+1.5*K151</f>
        <v/>
      </c>
      <c r="O151">
        <f>I151-1.5*K151</f>
        <v/>
      </c>
      <c r="P151">
        <f>AND(L151&lt;N151,M151&gt;O151)</f>
        <v/>
      </c>
      <c r="Q151">
        <f>MAX(D132:D151)</f>
        <v/>
      </c>
      <c r="R151">
        <f>MIN(E132:E151)</f>
        <v/>
      </c>
      <c r="S151">
        <f>F151-((Q151+R151)/2+I151)/2</f>
        <v/>
      </c>
      <c r="T151">
        <f>FORECAST(A151,S132:S151,A132:A151)</f>
        <v/>
      </c>
    </row>
    <row r="152">
      <c r="A152" t="n">
        <v>150</v>
      </c>
      <c r="B152" s="2" t="n">
        <v>42955</v>
      </c>
      <c r="C152" t="n">
        <v>236</v>
      </c>
      <c r="D152" t="n">
        <v>237.33</v>
      </c>
      <c r="E152" t="n">
        <v>235.35</v>
      </c>
      <c r="F152" t="n">
        <v>235.76</v>
      </c>
      <c r="G152" t="n">
        <v>64729500</v>
      </c>
      <c r="H152">
        <f>MAX(D152-E152,ABS(D152-F151),ABS(E152-F151))</f>
        <v/>
      </c>
      <c r="I152">
        <f>AVERAGE(F133:F152)</f>
        <v/>
      </c>
      <c r="J152">
        <f>STDEVP(F133:F152)</f>
        <v/>
      </c>
      <c r="K152">
        <f>AVERAGE(H133:H152)</f>
        <v/>
      </c>
      <c r="L152">
        <f>I152+2.0*J152</f>
        <v/>
      </c>
      <c r="M152">
        <f>I152-2.0*J152</f>
        <v/>
      </c>
      <c r="N152">
        <f>I152+1.5*K152</f>
        <v/>
      </c>
      <c r="O152">
        <f>I152-1.5*K152</f>
        <v/>
      </c>
      <c r="P152">
        <f>AND(L152&lt;N152,M152&gt;O152)</f>
        <v/>
      </c>
      <c r="Q152">
        <f>MAX(D133:D152)</f>
        <v/>
      </c>
      <c r="R152">
        <f>MIN(E133:E152)</f>
        <v/>
      </c>
      <c r="S152">
        <f>F152-((Q152+R152)/2+I152)/2</f>
        <v/>
      </c>
      <c r="T152">
        <f>FORECAST(A152,S133:S152,A133:A152)</f>
        <v/>
      </c>
    </row>
    <row r="153">
      <c r="A153" t="n">
        <v>151</v>
      </c>
      <c r="B153" s="2" t="n">
        <v>42956</v>
      </c>
      <c r="C153" t="n">
        <v>235.01</v>
      </c>
      <c r="D153" t="n">
        <v>235.81</v>
      </c>
      <c r="E153" t="n">
        <v>234.62</v>
      </c>
      <c r="F153" t="n">
        <v>235.75</v>
      </c>
      <c r="G153" t="n">
        <v>65687312</v>
      </c>
      <c r="H153">
        <f>MAX(D153-E153,ABS(D153-F152),ABS(E153-F152))</f>
        <v/>
      </c>
      <c r="I153">
        <f>AVERAGE(F134:F153)</f>
        <v/>
      </c>
      <c r="J153">
        <f>STDEVP(F134:F153)</f>
        <v/>
      </c>
      <c r="K153">
        <f>AVERAGE(H134:H153)</f>
        <v/>
      </c>
      <c r="L153">
        <f>I153+2.0*J153</f>
        <v/>
      </c>
      <c r="M153">
        <f>I153-2.0*J153</f>
        <v/>
      </c>
      <c r="N153">
        <f>I153+1.5*K153</f>
        <v/>
      </c>
      <c r="O153">
        <f>I153-1.5*K153</f>
        <v/>
      </c>
      <c r="P153">
        <f>AND(L153&lt;N153,M153&gt;O153)</f>
        <v/>
      </c>
      <c r="Q153">
        <f>MAX(D134:D153)</f>
        <v/>
      </c>
      <c r="R153">
        <f>MIN(E134:E153)</f>
        <v/>
      </c>
      <c r="S153">
        <f>F153-((Q153+R153)/2+I153)/2</f>
        <v/>
      </c>
      <c r="T153">
        <f>FORECAST(A153,S134:S153,A134:A153)</f>
        <v/>
      </c>
    </row>
    <row r="154">
      <c r="A154" t="n">
        <v>152</v>
      </c>
      <c r="B154" s="2" t="n">
        <v>42957</v>
      </c>
      <c r="C154" t="n">
        <v>234.84</v>
      </c>
      <c r="D154" t="n">
        <v>234.98</v>
      </c>
      <c r="E154" t="n">
        <v>232.37</v>
      </c>
      <c r="F154" t="n">
        <v>232.42</v>
      </c>
      <c r="G154" t="n">
        <v>126355448</v>
      </c>
      <c r="H154">
        <f>MAX(D154-E154,ABS(D154-F153),ABS(E154-F153))</f>
        <v/>
      </c>
      <c r="I154">
        <f>AVERAGE(F135:F154)</f>
        <v/>
      </c>
      <c r="J154">
        <f>STDEVP(F135:F154)</f>
        <v/>
      </c>
      <c r="K154">
        <f>AVERAGE(H135:H154)</f>
        <v/>
      </c>
      <c r="L154">
        <f>I154+2.0*J154</f>
        <v/>
      </c>
      <c r="M154">
        <f>I154-2.0*J154</f>
        <v/>
      </c>
      <c r="N154">
        <f>I154+1.5*K154</f>
        <v/>
      </c>
      <c r="O154">
        <f>I154-1.5*K154</f>
        <v/>
      </c>
      <c r="P154">
        <f>AND(L154&lt;N154,M154&gt;O154)</f>
        <v/>
      </c>
      <c r="Q154">
        <f>MAX(D135:D154)</f>
        <v/>
      </c>
      <c r="R154">
        <f>MIN(E135:E154)</f>
        <v/>
      </c>
      <c r="S154">
        <f>F154-((Q154+R154)/2+I154)/2</f>
        <v/>
      </c>
      <c r="T154">
        <f>FORECAST(A154,S135:S154,A135:A154)</f>
        <v/>
      </c>
    </row>
    <row r="155">
      <c r="A155" t="n">
        <v>153</v>
      </c>
      <c r="B155" s="2" t="n">
        <v>42958</v>
      </c>
      <c r="C155" t="n">
        <v>232.67</v>
      </c>
      <c r="D155" t="n">
        <v>233.42</v>
      </c>
      <c r="E155" t="n">
        <v>232.41</v>
      </c>
      <c r="F155" t="n">
        <v>232.77</v>
      </c>
      <c r="G155" t="n">
        <v>78521472</v>
      </c>
      <c r="H155">
        <f>MAX(D155-E155,ABS(D155-F154),ABS(E155-F154))</f>
        <v/>
      </c>
      <c r="I155">
        <f>AVERAGE(F136:F155)</f>
        <v/>
      </c>
      <c r="J155">
        <f>STDEVP(F136:F155)</f>
        <v/>
      </c>
      <c r="K155">
        <f>AVERAGE(H136:H155)</f>
        <v/>
      </c>
      <c r="L155">
        <f>I155+2.0*J155</f>
        <v/>
      </c>
      <c r="M155">
        <f>I155-2.0*J155</f>
        <v/>
      </c>
      <c r="N155">
        <f>I155+1.5*K155</f>
        <v/>
      </c>
      <c r="O155">
        <f>I155-1.5*K155</f>
        <v/>
      </c>
      <c r="P155">
        <f>AND(L155&lt;N155,M155&gt;O155)</f>
        <v/>
      </c>
      <c r="Q155">
        <f>MAX(D136:D155)</f>
        <v/>
      </c>
      <c r="R155">
        <f>MIN(E136:E155)</f>
        <v/>
      </c>
      <c r="S155">
        <f>F155-((Q155+R155)/2+I155)/2</f>
        <v/>
      </c>
      <c r="T155">
        <f>FORECAST(A155,S136:S155,A136:A155)</f>
        <v/>
      </c>
    </row>
    <row r="156">
      <c r="A156" t="n">
        <v>154</v>
      </c>
      <c r="B156" s="2" t="n">
        <v>42961</v>
      </c>
      <c r="C156" t="n">
        <v>234.17</v>
      </c>
      <c r="D156" t="n">
        <v>235.31</v>
      </c>
      <c r="E156" t="n">
        <v>234.13</v>
      </c>
      <c r="F156" t="n">
        <v>235.07</v>
      </c>
      <c r="G156" t="n">
        <v>76866480</v>
      </c>
      <c r="H156">
        <f>MAX(D156-E156,ABS(D156-F155),ABS(E156-F155))</f>
        <v/>
      </c>
      <c r="I156">
        <f>AVERAGE(F137:F156)</f>
        <v/>
      </c>
      <c r="J156">
        <f>STDEVP(F137:F156)</f>
        <v/>
      </c>
      <c r="K156">
        <f>AVERAGE(H137:H156)</f>
        <v/>
      </c>
      <c r="L156">
        <f>I156+2.0*J156</f>
        <v/>
      </c>
      <c r="M156">
        <f>I156-2.0*J156</f>
        <v/>
      </c>
      <c r="N156">
        <f>I156+1.5*K156</f>
        <v/>
      </c>
      <c r="O156">
        <f>I156-1.5*K156</f>
        <v/>
      </c>
      <c r="P156">
        <f>AND(L156&lt;N156,M156&gt;O156)</f>
        <v/>
      </c>
      <c r="Q156">
        <f>MAX(D137:D156)</f>
        <v/>
      </c>
      <c r="R156">
        <f>MIN(E137:E156)</f>
        <v/>
      </c>
      <c r="S156">
        <f>F156-((Q156+R156)/2+I156)/2</f>
        <v/>
      </c>
      <c r="T156">
        <f>FORECAST(A156,S137:S156,A137:A156)</f>
        <v/>
      </c>
    </row>
    <row r="157">
      <c r="A157" t="n">
        <v>155</v>
      </c>
      <c r="B157" s="2" t="n">
        <v>42962</v>
      </c>
      <c r="C157" t="n">
        <v>235.49</v>
      </c>
      <c r="D157" t="n">
        <v>235.51</v>
      </c>
      <c r="E157" t="n">
        <v>234.71</v>
      </c>
      <c r="F157" t="n">
        <v>235.05</v>
      </c>
      <c r="G157" t="n">
        <v>57937020</v>
      </c>
      <c r="H157">
        <f>MAX(D157-E157,ABS(D157-F156),ABS(E157-F156))</f>
        <v/>
      </c>
      <c r="I157">
        <f>AVERAGE(F138:F157)</f>
        <v/>
      </c>
      <c r="J157">
        <f>STDEVP(F138:F157)</f>
        <v/>
      </c>
      <c r="K157">
        <f>AVERAGE(H138:H157)</f>
        <v/>
      </c>
      <c r="L157">
        <f>I157+2.0*J157</f>
        <v/>
      </c>
      <c r="M157">
        <f>I157-2.0*J157</f>
        <v/>
      </c>
      <c r="N157">
        <f>I157+1.5*K157</f>
        <v/>
      </c>
      <c r="O157">
        <f>I157-1.5*K157</f>
        <v/>
      </c>
      <c r="P157">
        <f>AND(L157&lt;N157,M157&gt;O157)</f>
        <v/>
      </c>
      <c r="Q157">
        <f>MAX(D138:D157)</f>
        <v/>
      </c>
      <c r="R157">
        <f>MIN(E138:E157)</f>
        <v/>
      </c>
      <c r="S157">
        <f>F157-((Q157+R157)/2+I157)/2</f>
        <v/>
      </c>
      <c r="T157">
        <f>FORECAST(A157,S138:S157,A138:A157)</f>
        <v/>
      </c>
    </row>
    <row r="158">
      <c r="A158" t="n">
        <v>156</v>
      </c>
      <c r="B158" s="2" t="n">
        <v>42963</v>
      </c>
      <c r="C158" t="n">
        <v>235.62</v>
      </c>
      <c r="D158" t="n">
        <v>236.06</v>
      </c>
      <c r="E158" t="n">
        <v>234.99</v>
      </c>
      <c r="F158" t="n">
        <v>235.46</v>
      </c>
      <c r="G158" t="n">
        <v>59481648</v>
      </c>
      <c r="H158">
        <f>MAX(D158-E158,ABS(D158-F157),ABS(E158-F157))</f>
        <v/>
      </c>
      <c r="I158">
        <f>AVERAGE(F139:F158)</f>
        <v/>
      </c>
      <c r="J158">
        <f>STDEVP(F139:F158)</f>
        <v/>
      </c>
      <c r="K158">
        <f>AVERAGE(H139:H158)</f>
        <v/>
      </c>
      <c r="L158">
        <f>I158+2.0*J158</f>
        <v/>
      </c>
      <c r="M158">
        <f>I158-2.0*J158</f>
        <v/>
      </c>
      <c r="N158">
        <f>I158+1.5*K158</f>
        <v/>
      </c>
      <c r="O158">
        <f>I158-1.5*K158</f>
        <v/>
      </c>
      <c r="P158">
        <f>AND(L158&lt;N158,M158&gt;O158)</f>
        <v/>
      </c>
      <c r="Q158">
        <f>MAX(D139:D158)</f>
        <v/>
      </c>
      <c r="R158">
        <f>MIN(E139:E158)</f>
        <v/>
      </c>
      <c r="S158">
        <f>F158-((Q158+R158)/2+I158)/2</f>
        <v/>
      </c>
      <c r="T158">
        <f>FORECAST(A158,S139:S158,A139:A158)</f>
        <v/>
      </c>
    </row>
    <row r="159">
      <c r="A159" t="n">
        <v>157</v>
      </c>
      <c r="B159" s="2" t="n">
        <v>42964</v>
      </c>
      <c r="C159" t="n">
        <v>234.79</v>
      </c>
      <c r="D159" t="n">
        <v>235.13</v>
      </c>
      <c r="E159" t="n">
        <v>231.79</v>
      </c>
      <c r="F159" t="n">
        <v>231.79</v>
      </c>
      <c r="G159" t="n">
        <v>134757072</v>
      </c>
      <c r="H159">
        <f>MAX(D159-E159,ABS(D159-F158),ABS(E159-F158))</f>
        <v/>
      </c>
      <c r="I159">
        <f>AVERAGE(F140:F159)</f>
        <v/>
      </c>
      <c r="J159">
        <f>STDEVP(F140:F159)</f>
        <v/>
      </c>
      <c r="K159">
        <f>AVERAGE(H140:H159)</f>
        <v/>
      </c>
      <c r="L159">
        <f>I159+2.0*J159</f>
        <v/>
      </c>
      <c r="M159">
        <f>I159-2.0*J159</f>
        <v/>
      </c>
      <c r="N159">
        <f>I159+1.5*K159</f>
        <v/>
      </c>
      <c r="O159">
        <f>I159-1.5*K159</f>
        <v/>
      </c>
      <c r="P159">
        <f>AND(L159&lt;N159,M159&gt;O159)</f>
        <v/>
      </c>
      <c r="Q159">
        <f>MAX(D140:D159)</f>
        <v/>
      </c>
      <c r="R159">
        <f>MIN(E140:E159)</f>
        <v/>
      </c>
      <c r="S159">
        <f>F159-((Q159+R159)/2+I159)/2</f>
        <v/>
      </c>
      <c r="T159">
        <f>FORECAST(A159,S140:S159,A140:A159)</f>
        <v/>
      </c>
    </row>
    <row r="160">
      <c r="A160" t="n">
        <v>158</v>
      </c>
      <c r="B160" s="2" t="n">
        <v>42965</v>
      </c>
      <c r="C160" t="n">
        <v>231.6</v>
      </c>
      <c r="D160" t="n">
        <v>232.83</v>
      </c>
      <c r="E160" t="n">
        <v>230.94</v>
      </c>
      <c r="F160" t="n">
        <v>231.42</v>
      </c>
      <c r="G160" t="n">
        <v>143417408</v>
      </c>
      <c r="H160">
        <f>MAX(D160-E160,ABS(D160-F159),ABS(E160-F159))</f>
        <v/>
      </c>
      <c r="I160">
        <f>AVERAGE(F141:F160)</f>
        <v/>
      </c>
      <c r="J160">
        <f>STDEVP(F141:F160)</f>
        <v/>
      </c>
      <c r="K160">
        <f>AVERAGE(H141:H160)</f>
        <v/>
      </c>
      <c r="L160">
        <f>I160+2.0*J160</f>
        <v/>
      </c>
      <c r="M160">
        <f>I160-2.0*J160</f>
        <v/>
      </c>
      <c r="N160">
        <f>I160+1.5*K160</f>
        <v/>
      </c>
      <c r="O160">
        <f>I160-1.5*K160</f>
        <v/>
      </c>
      <c r="P160">
        <f>AND(L160&lt;N160,M160&gt;O160)</f>
        <v/>
      </c>
      <c r="Q160">
        <f>MAX(D141:D160)</f>
        <v/>
      </c>
      <c r="R160">
        <f>MIN(E141:E160)</f>
        <v/>
      </c>
      <c r="S160">
        <f>F160-((Q160+R160)/2+I160)/2</f>
        <v/>
      </c>
      <c r="T160">
        <f>FORECAST(A160,S141:S160,A141:A160)</f>
        <v/>
      </c>
    </row>
    <row r="161">
      <c r="A161" t="n">
        <v>159</v>
      </c>
      <c r="B161" s="2" t="n">
        <v>42968</v>
      </c>
      <c r="C161" t="n">
        <v>231.36</v>
      </c>
      <c r="D161" t="n">
        <v>231.89</v>
      </c>
      <c r="E161" t="n">
        <v>230.58</v>
      </c>
      <c r="F161" t="n">
        <v>231.6</v>
      </c>
      <c r="G161" t="n">
        <v>68662792</v>
      </c>
      <c r="H161">
        <f>MAX(D161-E161,ABS(D161-F160),ABS(E161-F160))</f>
        <v/>
      </c>
      <c r="I161">
        <f>AVERAGE(F142:F161)</f>
        <v/>
      </c>
      <c r="J161">
        <f>STDEVP(F142:F161)</f>
        <v/>
      </c>
      <c r="K161">
        <f>AVERAGE(H142:H161)</f>
        <v/>
      </c>
      <c r="L161">
        <f>I161+2.0*J161</f>
        <v/>
      </c>
      <c r="M161">
        <f>I161-2.0*J161</f>
        <v/>
      </c>
      <c r="N161">
        <f>I161+1.5*K161</f>
        <v/>
      </c>
      <c r="O161">
        <f>I161-1.5*K161</f>
        <v/>
      </c>
      <c r="P161">
        <f>AND(L161&lt;N161,M161&gt;O161)</f>
        <v/>
      </c>
      <c r="Q161">
        <f>MAX(D142:D161)</f>
        <v/>
      </c>
      <c r="R161">
        <f>MIN(E142:E161)</f>
        <v/>
      </c>
      <c r="S161">
        <f>F161-((Q161+R161)/2+I161)/2</f>
        <v/>
      </c>
      <c r="T161">
        <f>FORECAST(A161,S142:S161,A142:A161)</f>
        <v/>
      </c>
    </row>
    <row r="162">
      <c r="A162" t="n">
        <v>160</v>
      </c>
      <c r="B162" s="2" t="n">
        <v>42969</v>
      </c>
      <c r="C162" t="n">
        <v>232.24</v>
      </c>
      <c r="D162" t="n">
        <v>234.2</v>
      </c>
      <c r="E162" t="n">
        <v>232.22</v>
      </c>
      <c r="F162" t="n">
        <v>234.03</v>
      </c>
      <c r="G162" t="n">
        <v>66219544</v>
      </c>
      <c r="H162">
        <f>MAX(D162-E162,ABS(D162-F161),ABS(E162-F161))</f>
        <v/>
      </c>
      <c r="I162">
        <f>AVERAGE(F143:F162)</f>
        <v/>
      </c>
      <c r="J162">
        <f>STDEVP(F143:F162)</f>
        <v/>
      </c>
      <c r="K162">
        <f>AVERAGE(H143:H162)</f>
        <v/>
      </c>
      <c r="L162">
        <f>I162+2.0*J162</f>
        <v/>
      </c>
      <c r="M162">
        <f>I162-2.0*J162</f>
        <v/>
      </c>
      <c r="N162">
        <f>I162+1.5*K162</f>
        <v/>
      </c>
      <c r="O162">
        <f>I162-1.5*K162</f>
        <v/>
      </c>
      <c r="P162">
        <f>AND(L162&lt;N162,M162&gt;O162)</f>
        <v/>
      </c>
      <c r="Q162">
        <f>MAX(D143:D162)</f>
        <v/>
      </c>
      <c r="R162">
        <f>MIN(E143:E162)</f>
        <v/>
      </c>
      <c r="S162">
        <f>F162-((Q162+R162)/2+I162)/2</f>
        <v/>
      </c>
      <c r="T162">
        <f>FORECAST(A162,S143:S162,A143:A162)</f>
        <v/>
      </c>
    </row>
    <row r="163">
      <c r="A163" t="n">
        <v>161</v>
      </c>
      <c r="B163" s="2" t="n">
        <v>42970</v>
      </c>
      <c r="C163" t="n">
        <v>232.97</v>
      </c>
      <c r="D163" t="n">
        <v>233.65</v>
      </c>
      <c r="E163" t="n">
        <v>232.81</v>
      </c>
      <c r="F163" t="n">
        <v>233.19</v>
      </c>
      <c r="G163" t="n">
        <v>52652352</v>
      </c>
      <c r="H163">
        <f>MAX(D163-E163,ABS(D163-F162),ABS(E163-F162))</f>
        <v/>
      </c>
      <c r="I163">
        <f>AVERAGE(F144:F163)</f>
        <v/>
      </c>
      <c r="J163">
        <f>STDEVP(F144:F163)</f>
        <v/>
      </c>
      <c r="K163">
        <f>AVERAGE(H144:H163)</f>
        <v/>
      </c>
      <c r="L163">
        <f>I163+2.0*J163</f>
        <v/>
      </c>
      <c r="M163">
        <f>I163-2.0*J163</f>
        <v/>
      </c>
      <c r="N163">
        <f>I163+1.5*K163</f>
        <v/>
      </c>
      <c r="O163">
        <f>I163-1.5*K163</f>
        <v/>
      </c>
      <c r="P163">
        <f>AND(L163&lt;N163,M163&gt;O163)</f>
        <v/>
      </c>
      <c r="Q163">
        <f>MAX(D144:D163)</f>
        <v/>
      </c>
      <c r="R163">
        <f>MIN(E144:E163)</f>
        <v/>
      </c>
      <c r="S163">
        <f>F163-((Q163+R163)/2+I163)/2</f>
        <v/>
      </c>
      <c r="T163">
        <f>FORECAST(A163,S144:S163,A144:A163)</f>
        <v/>
      </c>
    </row>
    <row r="164">
      <c r="A164" t="n">
        <v>162</v>
      </c>
      <c r="B164" s="2" t="n">
        <v>42971</v>
      </c>
      <c r="C164" t="n">
        <v>233.61</v>
      </c>
      <c r="D164" t="n">
        <v>233.78</v>
      </c>
      <c r="E164" t="n">
        <v>232.41</v>
      </c>
      <c r="F164" t="n">
        <v>232.64</v>
      </c>
      <c r="G164" t="n">
        <v>53216420</v>
      </c>
      <c r="H164">
        <f>MAX(D164-E164,ABS(D164-F163),ABS(E164-F163))</f>
        <v/>
      </c>
      <c r="I164">
        <f>AVERAGE(F145:F164)</f>
        <v/>
      </c>
      <c r="J164">
        <f>STDEVP(F145:F164)</f>
        <v/>
      </c>
      <c r="K164">
        <f>AVERAGE(H145:H164)</f>
        <v/>
      </c>
      <c r="L164">
        <f>I164+2.0*J164</f>
        <v/>
      </c>
      <c r="M164">
        <f>I164-2.0*J164</f>
        <v/>
      </c>
      <c r="N164">
        <f>I164+1.5*K164</f>
        <v/>
      </c>
      <c r="O164">
        <f>I164-1.5*K164</f>
        <v/>
      </c>
      <c r="P164">
        <f>AND(L164&lt;N164,M164&gt;O164)</f>
        <v/>
      </c>
      <c r="Q164">
        <f>MAX(D145:D164)</f>
        <v/>
      </c>
      <c r="R164">
        <f>MIN(E145:E164)</f>
        <v/>
      </c>
      <c r="S164">
        <f>F164-((Q164+R164)/2+I164)/2</f>
        <v/>
      </c>
      <c r="T164">
        <f>FORECAST(A164,S145:S164,A145:A164)</f>
        <v/>
      </c>
    </row>
    <row r="165">
      <c r="A165" t="n">
        <v>163</v>
      </c>
      <c r="B165" s="2" t="n">
        <v>42972</v>
      </c>
      <c r="C165" t="n">
        <v>233.51</v>
      </c>
      <c r="D165" t="n">
        <v>234.19</v>
      </c>
      <c r="E165" t="n">
        <v>233.02</v>
      </c>
      <c r="F165" t="n">
        <v>233.19</v>
      </c>
      <c r="G165" t="n">
        <v>67589040</v>
      </c>
      <c r="H165">
        <f>MAX(D165-E165,ABS(D165-F164),ABS(E165-F164))</f>
        <v/>
      </c>
      <c r="I165">
        <f>AVERAGE(F146:F165)</f>
        <v/>
      </c>
      <c r="J165">
        <f>STDEVP(F146:F165)</f>
        <v/>
      </c>
      <c r="K165">
        <f>AVERAGE(H146:H165)</f>
        <v/>
      </c>
      <c r="L165">
        <f>I165+2.0*J165</f>
        <v/>
      </c>
      <c r="M165">
        <f>I165-2.0*J165</f>
        <v/>
      </c>
      <c r="N165">
        <f>I165+1.5*K165</f>
        <v/>
      </c>
      <c r="O165">
        <f>I165-1.5*K165</f>
        <v/>
      </c>
      <c r="P165">
        <f>AND(L165&lt;N165,M165&gt;O165)</f>
        <v/>
      </c>
      <c r="Q165">
        <f>MAX(D146:D165)</f>
        <v/>
      </c>
      <c r="R165">
        <f>MIN(E146:E165)</f>
        <v/>
      </c>
      <c r="S165">
        <f>F165-((Q165+R165)/2+I165)/2</f>
        <v/>
      </c>
      <c r="T165">
        <f>FORECAST(A165,S146:S165,A146:A165)</f>
        <v/>
      </c>
    </row>
    <row r="166">
      <c r="A166" t="n">
        <v>164</v>
      </c>
      <c r="B166" s="2" t="n">
        <v>42975</v>
      </c>
      <c r="C166" t="n">
        <v>233.77</v>
      </c>
      <c r="D166" t="n">
        <v>233.8</v>
      </c>
      <c r="E166" t="n">
        <v>232.74</v>
      </c>
      <c r="F166" t="n">
        <v>233.2</v>
      </c>
      <c r="G166" t="n">
        <v>42544052</v>
      </c>
      <c r="H166">
        <f>MAX(D166-E166,ABS(D166-F165),ABS(E166-F165))</f>
        <v/>
      </c>
      <c r="I166">
        <f>AVERAGE(F147:F166)</f>
        <v/>
      </c>
      <c r="J166">
        <f>STDEVP(F147:F166)</f>
        <v/>
      </c>
      <c r="K166">
        <f>AVERAGE(H147:H166)</f>
        <v/>
      </c>
      <c r="L166">
        <f>I166+2.0*J166</f>
        <v/>
      </c>
      <c r="M166">
        <f>I166-2.0*J166</f>
        <v/>
      </c>
      <c r="N166">
        <f>I166+1.5*K166</f>
        <v/>
      </c>
      <c r="O166">
        <f>I166-1.5*K166</f>
        <v/>
      </c>
      <c r="P166">
        <f>AND(L166&lt;N166,M166&gt;O166)</f>
        <v/>
      </c>
      <c r="Q166">
        <f>MAX(D147:D166)</f>
        <v/>
      </c>
      <c r="R166">
        <f>MIN(E147:E166)</f>
        <v/>
      </c>
      <c r="S166">
        <f>F166-((Q166+R166)/2+I166)/2</f>
        <v/>
      </c>
      <c r="T166">
        <f>FORECAST(A166,S147:S166,A147:A166)</f>
        <v/>
      </c>
    </row>
    <row r="167">
      <c r="A167" t="n">
        <v>165</v>
      </c>
      <c r="B167" s="2" t="n">
        <v>42976</v>
      </c>
      <c r="C167" t="n">
        <v>231.76</v>
      </c>
      <c r="D167" t="n">
        <v>233.75</v>
      </c>
      <c r="E167" t="n">
        <v>231.63</v>
      </c>
      <c r="F167" t="n">
        <v>233.46</v>
      </c>
      <c r="G167" t="n">
        <v>53629680</v>
      </c>
      <c r="H167">
        <f>MAX(D167-E167,ABS(D167-F166),ABS(E167-F166))</f>
        <v/>
      </c>
      <c r="I167">
        <f>AVERAGE(F148:F167)</f>
        <v/>
      </c>
      <c r="J167">
        <f>STDEVP(F148:F167)</f>
        <v/>
      </c>
      <c r="K167">
        <f>AVERAGE(H148:H167)</f>
        <v/>
      </c>
      <c r="L167">
        <f>I167+2.0*J167</f>
        <v/>
      </c>
      <c r="M167">
        <f>I167-2.0*J167</f>
        <v/>
      </c>
      <c r="N167">
        <f>I167+1.5*K167</f>
        <v/>
      </c>
      <c r="O167">
        <f>I167-1.5*K167</f>
        <v/>
      </c>
      <c r="P167">
        <f>AND(L167&lt;N167,M167&gt;O167)</f>
        <v/>
      </c>
      <c r="Q167">
        <f>MAX(D148:D167)</f>
        <v/>
      </c>
      <c r="R167">
        <f>MIN(E148:E167)</f>
        <v/>
      </c>
      <c r="S167">
        <f>F167-((Q167+R167)/2+I167)/2</f>
        <v/>
      </c>
      <c r="T167">
        <f>FORECAST(A167,S148:S167,A148:A167)</f>
        <v/>
      </c>
    </row>
    <row r="168">
      <c r="A168" t="n">
        <v>166</v>
      </c>
      <c r="B168" s="2" t="n">
        <v>42977</v>
      </c>
      <c r="C168" t="n">
        <v>233.44</v>
      </c>
      <c r="D168" t="n">
        <v>234.87</v>
      </c>
      <c r="E168" t="n">
        <v>233.24</v>
      </c>
      <c r="F168" t="n">
        <v>234.57</v>
      </c>
      <c r="G168" t="n">
        <v>65056144</v>
      </c>
      <c r="H168">
        <f>MAX(D168-E168,ABS(D168-F167),ABS(E168-F167))</f>
        <v/>
      </c>
      <c r="I168">
        <f>AVERAGE(F149:F168)</f>
        <v/>
      </c>
      <c r="J168">
        <f>STDEVP(F149:F168)</f>
        <v/>
      </c>
      <c r="K168">
        <f>AVERAGE(H149:H168)</f>
        <v/>
      </c>
      <c r="L168">
        <f>I168+2.0*J168</f>
        <v/>
      </c>
      <c r="M168">
        <f>I168-2.0*J168</f>
        <v/>
      </c>
      <c r="N168">
        <f>I168+1.5*K168</f>
        <v/>
      </c>
      <c r="O168">
        <f>I168-1.5*K168</f>
        <v/>
      </c>
      <c r="P168">
        <f>AND(L168&lt;N168,M168&gt;O168)</f>
        <v/>
      </c>
      <c r="Q168">
        <f>MAX(D149:D168)</f>
        <v/>
      </c>
      <c r="R168">
        <f>MIN(E149:E168)</f>
        <v/>
      </c>
      <c r="S168">
        <f>F168-((Q168+R168)/2+I168)/2</f>
        <v/>
      </c>
      <c r="T168">
        <f>FORECAST(A168,S149:S168,A149:A168)</f>
        <v/>
      </c>
    </row>
    <row r="169">
      <c r="A169" t="n">
        <v>167</v>
      </c>
      <c r="B169" s="2" t="n">
        <v>42978</v>
      </c>
      <c r="C169" t="n">
        <v>235.25</v>
      </c>
      <c r="D169" t="n">
        <v>236.25</v>
      </c>
      <c r="E169" t="n">
        <v>234.61</v>
      </c>
      <c r="F169" t="n">
        <v>235.98</v>
      </c>
      <c r="G169" t="n">
        <v>108866560</v>
      </c>
      <c r="H169">
        <f>MAX(D169-E169,ABS(D169-F168),ABS(E169-F168))</f>
        <v/>
      </c>
      <c r="I169">
        <f>AVERAGE(F150:F169)</f>
        <v/>
      </c>
      <c r="J169">
        <f>STDEVP(F150:F169)</f>
        <v/>
      </c>
      <c r="K169">
        <f>AVERAGE(H150:H169)</f>
        <v/>
      </c>
      <c r="L169">
        <f>I169+2.0*J169</f>
        <v/>
      </c>
      <c r="M169">
        <f>I169-2.0*J169</f>
        <v/>
      </c>
      <c r="N169">
        <f>I169+1.5*K169</f>
        <v/>
      </c>
      <c r="O169">
        <f>I169-1.5*K169</f>
        <v/>
      </c>
      <c r="P169">
        <f>AND(L169&lt;N169,M169&gt;O169)</f>
        <v/>
      </c>
      <c r="Q169">
        <f>MAX(D150:D169)</f>
        <v/>
      </c>
      <c r="R169">
        <f>MIN(E150:E169)</f>
        <v/>
      </c>
      <c r="S169">
        <f>F169-((Q169+R169)/2+I169)/2</f>
        <v/>
      </c>
      <c r="T169">
        <f>FORECAST(A169,S150:S169,A150:A169)</f>
        <v/>
      </c>
    </row>
    <row r="170">
      <c r="A170" t="n">
        <v>168</v>
      </c>
      <c r="B170" s="2" t="n">
        <v>42979</v>
      </c>
      <c r="C170" t="n">
        <v>236.39</v>
      </c>
      <c r="D170" t="n">
        <v>236.78</v>
      </c>
      <c r="E170" t="n">
        <v>236.15</v>
      </c>
      <c r="F170" t="n">
        <v>236.31</v>
      </c>
      <c r="G170" t="n">
        <v>65031164</v>
      </c>
      <c r="H170">
        <f>MAX(D170-E170,ABS(D170-F169),ABS(E170-F169))</f>
        <v/>
      </c>
      <c r="I170">
        <f>AVERAGE(F151:F170)</f>
        <v/>
      </c>
      <c r="J170">
        <f>STDEVP(F151:F170)</f>
        <v/>
      </c>
      <c r="K170">
        <f>AVERAGE(H151:H170)</f>
        <v/>
      </c>
      <c r="L170">
        <f>I170+2.0*J170</f>
        <v/>
      </c>
      <c r="M170">
        <f>I170-2.0*J170</f>
        <v/>
      </c>
      <c r="N170">
        <f>I170+1.5*K170</f>
        <v/>
      </c>
      <c r="O170">
        <f>I170-1.5*K170</f>
        <v/>
      </c>
      <c r="P170">
        <f>AND(L170&lt;N170,M170&gt;O170)</f>
        <v/>
      </c>
      <c r="Q170">
        <f>MAX(D151:D170)</f>
        <v/>
      </c>
      <c r="R170">
        <f>MIN(E151:E170)</f>
        <v/>
      </c>
      <c r="S170">
        <f>F170-((Q170+R170)/2+I170)/2</f>
        <v/>
      </c>
      <c r="T170">
        <f>FORECAST(A170,S151:S170,A151:A170)</f>
        <v/>
      </c>
    </row>
    <row r="171">
      <c r="A171" t="n">
        <v>169</v>
      </c>
      <c r="B171" s="2" t="n">
        <v>42983</v>
      </c>
      <c r="C171" t="n">
        <v>235.76</v>
      </c>
      <c r="D171" t="n">
        <v>236.01</v>
      </c>
      <c r="E171" t="n">
        <v>233.56</v>
      </c>
      <c r="F171" t="n">
        <v>234.62</v>
      </c>
      <c r="G171" t="n">
        <v>95856440</v>
      </c>
      <c r="H171">
        <f>MAX(D171-E171,ABS(D171-F170),ABS(E171-F170))</f>
        <v/>
      </c>
      <c r="I171">
        <f>AVERAGE(F152:F171)</f>
        <v/>
      </c>
      <c r="J171">
        <f>STDEVP(F152:F171)</f>
        <v/>
      </c>
      <c r="K171">
        <f>AVERAGE(H152:H171)</f>
        <v/>
      </c>
      <c r="L171">
        <f>I171+2.0*J171</f>
        <v/>
      </c>
      <c r="M171">
        <f>I171-2.0*J171</f>
        <v/>
      </c>
      <c r="N171">
        <f>I171+1.5*K171</f>
        <v/>
      </c>
      <c r="O171">
        <f>I171-1.5*K171</f>
        <v/>
      </c>
      <c r="P171">
        <f>AND(L171&lt;N171,M171&gt;O171)</f>
        <v/>
      </c>
      <c r="Q171">
        <f>MAX(D152:D171)</f>
        <v/>
      </c>
      <c r="R171">
        <f>MIN(E152:E171)</f>
        <v/>
      </c>
      <c r="S171">
        <f>F171-((Q171+R171)/2+I171)/2</f>
        <v/>
      </c>
      <c r="T171">
        <f>FORECAST(A171,S152:S171,A152:A171)</f>
        <v/>
      </c>
    </row>
    <row r="172">
      <c r="A172" t="n">
        <v>170</v>
      </c>
      <c r="B172" s="2" t="n">
        <v>42984</v>
      </c>
      <c r="C172" t="n">
        <v>235.36</v>
      </c>
      <c r="D172" t="n">
        <v>235.78</v>
      </c>
      <c r="E172" t="n">
        <v>234.78</v>
      </c>
      <c r="F172" t="n">
        <v>235.42</v>
      </c>
      <c r="G172" t="n">
        <v>60741564</v>
      </c>
      <c r="H172">
        <f>MAX(D172-E172,ABS(D172-F171),ABS(E172-F171))</f>
        <v/>
      </c>
      <c r="I172">
        <f>AVERAGE(F153:F172)</f>
        <v/>
      </c>
      <c r="J172">
        <f>STDEVP(F153:F172)</f>
        <v/>
      </c>
      <c r="K172">
        <f>AVERAGE(H153:H172)</f>
        <v/>
      </c>
      <c r="L172">
        <f>I172+2.0*J172</f>
        <v/>
      </c>
      <c r="M172">
        <f>I172-2.0*J172</f>
        <v/>
      </c>
      <c r="N172">
        <f>I172+1.5*K172</f>
        <v/>
      </c>
      <c r="O172">
        <f>I172-1.5*K172</f>
        <v/>
      </c>
      <c r="P172">
        <f>AND(L172&lt;N172,M172&gt;O172)</f>
        <v/>
      </c>
      <c r="Q172">
        <f>MAX(D153:D172)</f>
        <v/>
      </c>
      <c r="R172">
        <f>MIN(E153:E172)</f>
        <v/>
      </c>
      <c r="S172">
        <f>F172-((Q172+R172)/2+I172)/2</f>
        <v/>
      </c>
      <c r="T172">
        <f>FORECAST(A172,S153:S172,A153:A172)</f>
        <v/>
      </c>
    </row>
    <row r="173">
      <c r="A173" t="n">
        <v>171</v>
      </c>
      <c r="B173" s="2" t="n">
        <v>42985</v>
      </c>
      <c r="C173" t="n">
        <v>235.75</v>
      </c>
      <c r="D173" t="n">
        <v>235.77</v>
      </c>
      <c r="E173" t="n">
        <v>234.94</v>
      </c>
      <c r="F173" t="n">
        <v>235.39</v>
      </c>
      <c r="G173" t="n">
        <v>60865172</v>
      </c>
      <c r="H173">
        <f>MAX(D173-E173,ABS(D173-F172),ABS(E173-F172))</f>
        <v/>
      </c>
      <c r="I173">
        <f>AVERAGE(F154:F173)</f>
        <v/>
      </c>
      <c r="J173">
        <f>STDEVP(F154:F173)</f>
        <v/>
      </c>
      <c r="K173">
        <f>AVERAGE(H154:H173)</f>
        <v/>
      </c>
      <c r="L173">
        <f>I173+2.0*J173</f>
        <v/>
      </c>
      <c r="M173">
        <f>I173-2.0*J173</f>
        <v/>
      </c>
      <c r="N173">
        <f>I173+1.5*K173</f>
        <v/>
      </c>
      <c r="O173">
        <f>I173-1.5*K173</f>
        <v/>
      </c>
      <c r="P173">
        <f>AND(L173&lt;N173,M173&gt;O173)</f>
        <v/>
      </c>
      <c r="Q173">
        <f>MAX(D154:D173)</f>
        <v/>
      </c>
      <c r="R173">
        <f>MIN(E154:E173)</f>
        <v/>
      </c>
      <c r="S173">
        <f>F173-((Q173+R173)/2+I173)/2</f>
        <v/>
      </c>
      <c r="T173">
        <f>FORECAST(A173,S154:S173,A154:A173)</f>
        <v/>
      </c>
    </row>
    <row r="174">
      <c r="A174" t="n">
        <v>172</v>
      </c>
      <c r="B174" s="2" t="n">
        <v>42986</v>
      </c>
      <c r="C174" t="n">
        <v>235.07</v>
      </c>
      <c r="D174" t="n">
        <v>235.62</v>
      </c>
      <c r="E174" t="n">
        <v>234.85</v>
      </c>
      <c r="F174" t="n">
        <v>235.11</v>
      </c>
      <c r="G174" t="n">
        <v>66946052</v>
      </c>
      <c r="H174">
        <f>MAX(D174-E174,ABS(D174-F173),ABS(E174-F173))</f>
        <v/>
      </c>
      <c r="I174">
        <f>AVERAGE(F155:F174)</f>
        <v/>
      </c>
      <c r="J174">
        <f>STDEVP(F155:F174)</f>
        <v/>
      </c>
      <c r="K174">
        <f>AVERAGE(H155:H174)</f>
        <v/>
      </c>
      <c r="L174">
        <f>I174+2.0*J174</f>
        <v/>
      </c>
      <c r="M174">
        <f>I174-2.0*J174</f>
        <v/>
      </c>
      <c r="N174">
        <f>I174+1.5*K174</f>
        <v/>
      </c>
      <c r="O174">
        <f>I174-1.5*K174</f>
        <v/>
      </c>
      <c r="P174">
        <f>AND(L174&lt;N174,M174&gt;O174)</f>
        <v/>
      </c>
      <c r="Q174">
        <f>MAX(D155:D174)</f>
        <v/>
      </c>
      <c r="R174">
        <f>MIN(E155:E174)</f>
        <v/>
      </c>
      <c r="S174">
        <f>F174-((Q174+R174)/2+I174)/2</f>
        <v/>
      </c>
      <c r="T174">
        <f>FORECAST(A174,S155:S174,A155:A174)</f>
        <v/>
      </c>
    </row>
    <row r="175">
      <c r="A175" t="n">
        <v>173</v>
      </c>
      <c r="B175" s="2" t="n">
        <v>42989</v>
      </c>
      <c r="C175" t="n">
        <v>236.51</v>
      </c>
      <c r="D175" t="n">
        <v>237.71</v>
      </c>
      <c r="E175" t="n">
        <v>236.49</v>
      </c>
      <c r="F175" t="n">
        <v>237.62</v>
      </c>
      <c r="G175" t="n">
        <v>74845424</v>
      </c>
      <c r="H175">
        <f>MAX(D175-E175,ABS(D175-F174),ABS(E175-F174))</f>
        <v/>
      </c>
      <c r="I175">
        <f>AVERAGE(F156:F175)</f>
        <v/>
      </c>
      <c r="J175">
        <f>STDEVP(F156:F175)</f>
        <v/>
      </c>
      <c r="K175">
        <f>AVERAGE(H156:H175)</f>
        <v/>
      </c>
      <c r="L175">
        <f>I175+2.0*J175</f>
        <v/>
      </c>
      <c r="M175">
        <f>I175-2.0*J175</f>
        <v/>
      </c>
      <c r="N175">
        <f>I175+1.5*K175</f>
        <v/>
      </c>
      <c r="O175">
        <f>I175-1.5*K175</f>
        <v/>
      </c>
      <c r="P175">
        <f>AND(L175&lt;N175,M175&gt;O175)</f>
        <v/>
      </c>
      <c r="Q175">
        <f>MAX(D156:D175)</f>
        <v/>
      </c>
      <c r="R175">
        <f>MIN(E156:E175)</f>
        <v/>
      </c>
      <c r="S175">
        <f>F175-((Q175+R175)/2+I175)/2</f>
        <v/>
      </c>
      <c r="T175">
        <f>FORECAST(A175,S156:S175,A156:A175)</f>
        <v/>
      </c>
    </row>
    <row r="176">
      <c r="A176" t="n">
        <v>174</v>
      </c>
      <c r="B176" s="2" t="n">
        <v>42990</v>
      </c>
      <c r="C176" t="n">
        <v>238.02</v>
      </c>
      <c r="D176" t="n">
        <v>238.46</v>
      </c>
      <c r="E176" t="n">
        <v>237.82</v>
      </c>
      <c r="F176" t="n">
        <v>238.42</v>
      </c>
      <c r="G176" t="n">
        <v>59670932</v>
      </c>
      <c r="H176">
        <f>MAX(D176-E176,ABS(D176-F175),ABS(E176-F175))</f>
        <v/>
      </c>
      <c r="I176">
        <f>AVERAGE(F157:F176)</f>
        <v/>
      </c>
      <c r="J176">
        <f>STDEVP(F157:F176)</f>
        <v/>
      </c>
      <c r="K176">
        <f>AVERAGE(H157:H176)</f>
        <v/>
      </c>
      <c r="L176">
        <f>I176+2.0*J176</f>
        <v/>
      </c>
      <c r="M176">
        <f>I176-2.0*J176</f>
        <v/>
      </c>
      <c r="N176">
        <f>I176+1.5*K176</f>
        <v/>
      </c>
      <c r="O176">
        <f>I176-1.5*K176</f>
        <v/>
      </c>
      <c r="P176">
        <f>AND(L176&lt;N176,M176&gt;O176)</f>
        <v/>
      </c>
      <c r="Q176">
        <f>MAX(D157:D176)</f>
        <v/>
      </c>
      <c r="R176">
        <f>MIN(E157:E176)</f>
        <v/>
      </c>
      <c r="S176">
        <f>F176-((Q176+R176)/2+I176)/2</f>
        <v/>
      </c>
      <c r="T176">
        <f>FORECAST(A176,S157:S176,A157:A176)</f>
        <v/>
      </c>
    </row>
    <row r="177">
      <c r="A177" t="n">
        <v>175</v>
      </c>
      <c r="B177" s="2" t="n">
        <v>42991</v>
      </c>
      <c r="C177" t="n">
        <v>238.11</v>
      </c>
      <c r="D177" t="n">
        <v>238.57</v>
      </c>
      <c r="E177" t="n">
        <v>237.98</v>
      </c>
      <c r="F177" t="n">
        <v>238.54</v>
      </c>
      <c r="G177" t="n">
        <v>62116640</v>
      </c>
      <c r="H177">
        <f>MAX(D177-E177,ABS(D177-F176),ABS(E177-F176))</f>
        <v/>
      </c>
      <c r="I177">
        <f>AVERAGE(F158:F177)</f>
        <v/>
      </c>
      <c r="J177">
        <f>STDEVP(F158:F177)</f>
        <v/>
      </c>
      <c r="K177">
        <f>AVERAGE(H158:H177)</f>
        <v/>
      </c>
      <c r="L177">
        <f>I177+2.0*J177</f>
        <v/>
      </c>
      <c r="M177">
        <f>I177-2.0*J177</f>
        <v/>
      </c>
      <c r="N177">
        <f>I177+1.5*K177</f>
        <v/>
      </c>
      <c r="O177">
        <f>I177-1.5*K177</f>
        <v/>
      </c>
      <c r="P177">
        <f>AND(L177&lt;N177,M177&gt;O177)</f>
        <v/>
      </c>
      <c r="Q177">
        <f>MAX(D158:D177)</f>
        <v/>
      </c>
      <c r="R177">
        <f>MIN(E158:E177)</f>
        <v/>
      </c>
      <c r="S177">
        <f>F177-((Q177+R177)/2+I177)/2</f>
        <v/>
      </c>
      <c r="T177">
        <f>FORECAST(A177,S158:S177,A158:A177)</f>
        <v/>
      </c>
    </row>
    <row r="178">
      <c r="A178" t="n">
        <v>176</v>
      </c>
      <c r="B178" s="2" t="n">
        <v>42992</v>
      </c>
      <c r="C178" t="n">
        <v>238.18</v>
      </c>
      <c r="D178" t="n">
        <v>238.68</v>
      </c>
      <c r="E178" t="n">
        <v>237.99</v>
      </c>
      <c r="F178" t="n">
        <v>238.46</v>
      </c>
      <c r="G178" t="n">
        <v>100101416</v>
      </c>
      <c r="H178">
        <f>MAX(D178-E178,ABS(D178-F177),ABS(E178-F177))</f>
        <v/>
      </c>
      <c r="I178">
        <f>AVERAGE(F159:F178)</f>
        <v/>
      </c>
      <c r="J178">
        <f>STDEVP(F159:F178)</f>
        <v/>
      </c>
      <c r="K178">
        <f>AVERAGE(H159:H178)</f>
        <v/>
      </c>
      <c r="L178">
        <f>I178+2.0*J178</f>
        <v/>
      </c>
      <c r="M178">
        <f>I178-2.0*J178</f>
        <v/>
      </c>
      <c r="N178">
        <f>I178+1.5*K178</f>
        <v/>
      </c>
      <c r="O178">
        <f>I178-1.5*K178</f>
        <v/>
      </c>
      <c r="P178">
        <f>AND(L178&lt;N178,M178&gt;O178)</f>
        <v/>
      </c>
      <c r="Q178">
        <f>MAX(D159:D178)</f>
        <v/>
      </c>
      <c r="R178">
        <f>MIN(E159:E178)</f>
        <v/>
      </c>
      <c r="S178">
        <f>F178-((Q178+R178)/2+I178)/2</f>
        <v/>
      </c>
      <c r="T178">
        <f>FORECAST(A178,S159:S178,A159:A178)</f>
        <v/>
      </c>
    </row>
    <row r="179">
      <c r="A179" t="n">
        <v>177</v>
      </c>
      <c r="B179" s="2" t="n">
        <v>42993</v>
      </c>
      <c r="C179" t="n">
        <v>238.3</v>
      </c>
      <c r="D179" t="n">
        <v>238.88</v>
      </c>
      <c r="E179" t="n">
        <v>238.19</v>
      </c>
      <c r="F179" t="n">
        <v>238.78</v>
      </c>
      <c r="G179" t="n">
        <v>99592680</v>
      </c>
      <c r="H179">
        <f>MAX(D179-E179,ABS(D179-F178),ABS(E179-F178))</f>
        <v/>
      </c>
      <c r="I179">
        <f>AVERAGE(F160:F179)</f>
        <v/>
      </c>
      <c r="J179">
        <f>STDEVP(F160:F179)</f>
        <v/>
      </c>
      <c r="K179">
        <f>AVERAGE(H160:H179)</f>
        <v/>
      </c>
      <c r="L179">
        <f>I179+2.0*J179</f>
        <v/>
      </c>
      <c r="M179">
        <f>I179-2.0*J179</f>
        <v/>
      </c>
      <c r="N179">
        <f>I179+1.5*K179</f>
        <v/>
      </c>
      <c r="O179">
        <f>I179-1.5*K179</f>
        <v/>
      </c>
      <c r="P179">
        <f>AND(L179&lt;N179,M179&gt;O179)</f>
        <v/>
      </c>
      <c r="Q179">
        <f>MAX(D160:D179)</f>
        <v/>
      </c>
      <c r="R179">
        <f>MIN(E160:E179)</f>
        <v/>
      </c>
      <c r="S179">
        <f>F179-((Q179+R179)/2+I179)/2</f>
        <v/>
      </c>
      <c r="T179">
        <f>FORECAST(A179,S160:S179,A160:A179)</f>
        <v/>
      </c>
    </row>
    <row r="180">
      <c r="A180" t="n">
        <v>178</v>
      </c>
      <c r="B180" s="2" t="n">
        <v>42996</v>
      </c>
      <c r="C180" t="n">
        <v>239.18</v>
      </c>
      <c r="D180" t="n">
        <v>239.67</v>
      </c>
      <c r="E180" t="n">
        <v>238.87</v>
      </c>
      <c r="F180" t="n">
        <v>239.29</v>
      </c>
      <c r="G180" t="n">
        <v>48250824</v>
      </c>
      <c r="H180">
        <f>MAX(D180-E180,ABS(D180-F179),ABS(E180-F179))</f>
        <v/>
      </c>
      <c r="I180">
        <f>AVERAGE(F161:F180)</f>
        <v/>
      </c>
      <c r="J180">
        <f>STDEVP(F161:F180)</f>
        <v/>
      </c>
      <c r="K180">
        <f>AVERAGE(H161:H180)</f>
        <v/>
      </c>
      <c r="L180">
        <f>I180+2.0*J180</f>
        <v/>
      </c>
      <c r="M180">
        <f>I180-2.0*J180</f>
        <v/>
      </c>
      <c r="N180">
        <f>I180+1.5*K180</f>
        <v/>
      </c>
      <c r="O180">
        <f>I180-1.5*K180</f>
        <v/>
      </c>
      <c r="P180">
        <f>AND(L180&lt;N180,M180&gt;O180)</f>
        <v/>
      </c>
      <c r="Q180">
        <f>MAX(D161:D180)</f>
        <v/>
      </c>
      <c r="R180">
        <f>MIN(E161:E180)</f>
        <v/>
      </c>
      <c r="S180">
        <f>F180-((Q180+R180)/2+I180)/2</f>
        <v/>
      </c>
      <c r="T180">
        <f>FORECAST(A180,S161:S180,A161:A180)</f>
        <v/>
      </c>
    </row>
    <row r="181">
      <c r="A181" t="n">
        <v>179</v>
      </c>
      <c r="B181" s="2" t="n">
        <v>42997</v>
      </c>
      <c r="C181" t="n">
        <v>239.56</v>
      </c>
      <c r="D181" t="n">
        <v>239.62</v>
      </c>
      <c r="E181" t="n">
        <v>239.17</v>
      </c>
      <c r="F181" t="n">
        <v>239.53</v>
      </c>
      <c r="G181" t="n">
        <v>49161788</v>
      </c>
      <c r="H181">
        <f>MAX(D181-E181,ABS(D181-F180),ABS(E181-F180))</f>
        <v/>
      </c>
      <c r="I181">
        <f>AVERAGE(F162:F181)</f>
        <v/>
      </c>
      <c r="J181">
        <f>STDEVP(F162:F181)</f>
        <v/>
      </c>
      <c r="K181">
        <f>AVERAGE(H162:H181)</f>
        <v/>
      </c>
      <c r="L181">
        <f>I181+2.0*J181</f>
        <v/>
      </c>
      <c r="M181">
        <f>I181-2.0*J181</f>
        <v/>
      </c>
      <c r="N181">
        <f>I181+1.5*K181</f>
        <v/>
      </c>
      <c r="O181">
        <f>I181-1.5*K181</f>
        <v/>
      </c>
      <c r="P181">
        <f>AND(L181&lt;N181,M181&gt;O181)</f>
        <v/>
      </c>
      <c r="Q181">
        <f>MAX(D162:D181)</f>
        <v/>
      </c>
      <c r="R181">
        <f>MIN(E162:E181)</f>
        <v/>
      </c>
      <c r="S181">
        <f>F181-((Q181+R181)/2+I181)/2</f>
        <v/>
      </c>
      <c r="T181">
        <f>FORECAST(A181,S162:S181,A162:A181)</f>
        <v/>
      </c>
    </row>
    <row r="182">
      <c r="A182" t="n">
        <v>180</v>
      </c>
      <c r="B182" s="2" t="n">
        <v>42998</v>
      </c>
      <c r="C182" t="n">
        <v>239.62</v>
      </c>
      <c r="D182" t="n">
        <v>239.74</v>
      </c>
      <c r="E182" t="n">
        <v>238.52</v>
      </c>
      <c r="F182" t="n">
        <v>239.61</v>
      </c>
      <c r="G182" t="n">
        <v>62171164</v>
      </c>
      <c r="H182">
        <f>MAX(D182-E182,ABS(D182-F181),ABS(E182-F181))</f>
        <v/>
      </c>
      <c r="I182">
        <f>AVERAGE(F163:F182)</f>
        <v/>
      </c>
      <c r="J182">
        <f>STDEVP(F163:F182)</f>
        <v/>
      </c>
      <c r="K182">
        <f>AVERAGE(H163:H182)</f>
        <v/>
      </c>
      <c r="L182">
        <f>I182+2.0*J182</f>
        <v/>
      </c>
      <c r="M182">
        <f>I182-2.0*J182</f>
        <v/>
      </c>
      <c r="N182">
        <f>I182+1.5*K182</f>
        <v/>
      </c>
      <c r="O182">
        <f>I182-1.5*K182</f>
        <v/>
      </c>
      <c r="P182">
        <f>AND(L182&lt;N182,M182&gt;O182)</f>
        <v/>
      </c>
      <c r="Q182">
        <f>MAX(D163:D182)</f>
        <v/>
      </c>
      <c r="R182">
        <f>MIN(E163:E182)</f>
        <v/>
      </c>
      <c r="S182">
        <f>F182-((Q182+R182)/2+I182)/2</f>
        <v/>
      </c>
      <c r="T182">
        <f>FORECAST(A182,S163:S182,A163:A182)</f>
        <v/>
      </c>
    </row>
    <row r="183">
      <c r="A183" t="n">
        <v>181</v>
      </c>
      <c r="B183" s="2" t="n">
        <v>42999</v>
      </c>
      <c r="C183" t="n">
        <v>239.44</v>
      </c>
      <c r="D183" t="n">
        <v>239.54</v>
      </c>
      <c r="E183" t="n">
        <v>238.78</v>
      </c>
      <c r="F183" t="n">
        <v>238.97</v>
      </c>
      <c r="G183" t="n">
        <v>50313136</v>
      </c>
      <c r="H183">
        <f>MAX(D183-E183,ABS(D183-F182),ABS(E183-F182))</f>
        <v/>
      </c>
      <c r="I183">
        <f>AVERAGE(F164:F183)</f>
        <v/>
      </c>
      <c r="J183">
        <f>STDEVP(F164:F183)</f>
        <v/>
      </c>
      <c r="K183">
        <f>AVERAGE(H164:H183)</f>
        <v/>
      </c>
      <c r="L183">
        <f>I183+2.0*J183</f>
        <v/>
      </c>
      <c r="M183">
        <f>I183-2.0*J183</f>
        <v/>
      </c>
      <c r="N183">
        <f>I183+1.5*K183</f>
        <v/>
      </c>
      <c r="O183">
        <f>I183-1.5*K183</f>
        <v/>
      </c>
      <c r="P183">
        <f>AND(L183&lt;N183,M183&gt;O183)</f>
        <v/>
      </c>
      <c r="Q183">
        <f>MAX(D164:D183)</f>
        <v/>
      </c>
      <c r="R183">
        <f>MIN(E164:E183)</f>
        <v/>
      </c>
      <c r="S183">
        <f>F183-((Q183+R183)/2+I183)/2</f>
        <v/>
      </c>
      <c r="T183">
        <f>FORECAST(A183,S164:S183,A164:A183)</f>
        <v/>
      </c>
    </row>
    <row r="184">
      <c r="A184" t="n">
        <v>182</v>
      </c>
      <c r="B184" s="2" t="n">
        <v>43000</v>
      </c>
      <c r="C184" t="n">
        <v>238.65</v>
      </c>
      <c r="D184" t="n">
        <v>239.2</v>
      </c>
      <c r="E184" t="n">
        <v>238.62</v>
      </c>
      <c r="F184" t="n">
        <v>239.02</v>
      </c>
      <c r="G184" t="n">
        <v>53446664</v>
      </c>
      <c r="H184">
        <f>MAX(D184-E184,ABS(D184-F183),ABS(E184-F183))</f>
        <v/>
      </c>
      <c r="I184">
        <f>AVERAGE(F165:F184)</f>
        <v/>
      </c>
      <c r="J184">
        <f>STDEVP(F165:F184)</f>
        <v/>
      </c>
      <c r="K184">
        <f>AVERAGE(H165:H184)</f>
        <v/>
      </c>
      <c r="L184">
        <f>I184+2.0*J184</f>
        <v/>
      </c>
      <c r="M184">
        <f>I184-2.0*J184</f>
        <v/>
      </c>
      <c r="N184">
        <f>I184+1.5*K184</f>
        <v/>
      </c>
      <c r="O184">
        <f>I184-1.5*K184</f>
        <v/>
      </c>
      <c r="P184">
        <f>AND(L184&lt;N184,M184&gt;O184)</f>
        <v/>
      </c>
      <c r="Q184">
        <f>MAX(D165:D184)</f>
        <v/>
      </c>
      <c r="R184">
        <f>MIN(E165:E184)</f>
        <v/>
      </c>
      <c r="S184">
        <f>F184-((Q184+R184)/2+I184)/2</f>
        <v/>
      </c>
      <c r="T184">
        <f>FORECAST(A184,S165:S184,A165:A184)</f>
        <v/>
      </c>
    </row>
    <row r="185">
      <c r="A185" t="n">
        <v>183</v>
      </c>
      <c r="B185" s="2" t="n">
        <v>43003</v>
      </c>
      <c r="C185" t="n">
        <v>238.74</v>
      </c>
      <c r="D185" t="n">
        <v>239.13</v>
      </c>
      <c r="E185" t="n">
        <v>237.72</v>
      </c>
      <c r="F185" t="n">
        <v>238.53</v>
      </c>
      <c r="G185" t="n">
        <v>59552032</v>
      </c>
      <c r="H185">
        <f>MAX(D185-E185,ABS(D185-F184),ABS(E185-F184))</f>
        <v/>
      </c>
      <c r="I185">
        <f>AVERAGE(F166:F185)</f>
        <v/>
      </c>
      <c r="J185">
        <f>STDEVP(F166:F185)</f>
        <v/>
      </c>
      <c r="K185">
        <f>AVERAGE(H166:H185)</f>
        <v/>
      </c>
      <c r="L185">
        <f>I185+2.0*J185</f>
        <v/>
      </c>
      <c r="M185">
        <f>I185-2.0*J185</f>
        <v/>
      </c>
      <c r="N185">
        <f>I185+1.5*K185</f>
        <v/>
      </c>
      <c r="O185">
        <f>I185-1.5*K185</f>
        <v/>
      </c>
      <c r="P185">
        <f>AND(L185&lt;N185,M185&gt;O185)</f>
        <v/>
      </c>
      <c r="Q185">
        <f>MAX(D166:D185)</f>
        <v/>
      </c>
      <c r="R185">
        <f>MIN(E166:E185)</f>
        <v/>
      </c>
      <c r="S185">
        <f>F185-((Q185+R185)/2+I185)/2</f>
        <v/>
      </c>
      <c r="T185">
        <f>FORECAST(A185,S166:S185,A166:A185)</f>
        <v/>
      </c>
    </row>
    <row r="186">
      <c r="A186" t="n">
        <v>184</v>
      </c>
      <c r="B186" s="2" t="n">
        <v>43004</v>
      </c>
      <c r="C186" t="n">
        <v>239</v>
      </c>
      <c r="D186" t="n">
        <v>239.27</v>
      </c>
      <c r="E186" t="n">
        <v>238.41</v>
      </c>
      <c r="F186" t="n">
        <v>238.68</v>
      </c>
      <c r="G186" t="n">
        <v>56439616</v>
      </c>
      <c r="H186">
        <f>MAX(D186-E186,ABS(D186-F185),ABS(E186-F185))</f>
        <v/>
      </c>
      <c r="I186">
        <f>AVERAGE(F167:F186)</f>
        <v/>
      </c>
      <c r="J186">
        <f>STDEVP(F167:F186)</f>
        <v/>
      </c>
      <c r="K186">
        <f>AVERAGE(H167:H186)</f>
        <v/>
      </c>
      <c r="L186">
        <f>I186+2.0*J186</f>
        <v/>
      </c>
      <c r="M186">
        <f>I186-2.0*J186</f>
        <v/>
      </c>
      <c r="N186">
        <f>I186+1.5*K186</f>
        <v/>
      </c>
      <c r="O186">
        <f>I186-1.5*K186</f>
        <v/>
      </c>
      <c r="P186">
        <f>AND(L186&lt;N186,M186&gt;O186)</f>
        <v/>
      </c>
      <c r="Q186">
        <f>MAX(D167:D186)</f>
        <v/>
      </c>
      <c r="R186">
        <f>MIN(E167:E186)</f>
        <v/>
      </c>
      <c r="S186">
        <f>F186-((Q186+R186)/2+I186)/2</f>
        <v/>
      </c>
      <c r="T186">
        <f>FORECAST(A186,S167:S186,A167:A186)</f>
        <v/>
      </c>
    </row>
    <row r="187">
      <c r="A187" t="n">
        <v>185</v>
      </c>
      <c r="B187" s="2" t="n">
        <v>43005</v>
      </c>
      <c r="C187" t="n">
        <v>239.44</v>
      </c>
      <c r="D187" t="n">
        <v>240.03</v>
      </c>
      <c r="E187" t="n">
        <v>238.47</v>
      </c>
      <c r="F187" t="n">
        <v>239.6</v>
      </c>
      <c r="G187" t="n">
        <v>84532616</v>
      </c>
      <c r="H187">
        <f>MAX(D187-E187,ABS(D187-F186),ABS(E187-F186))</f>
        <v/>
      </c>
      <c r="I187">
        <f>AVERAGE(F168:F187)</f>
        <v/>
      </c>
      <c r="J187">
        <f>STDEVP(F168:F187)</f>
        <v/>
      </c>
      <c r="K187">
        <f>AVERAGE(H168:H187)</f>
        <v/>
      </c>
      <c r="L187">
        <f>I187+2.0*J187</f>
        <v/>
      </c>
      <c r="M187">
        <f>I187-2.0*J187</f>
        <v/>
      </c>
      <c r="N187">
        <f>I187+1.5*K187</f>
        <v/>
      </c>
      <c r="O187">
        <f>I187-1.5*K187</f>
        <v/>
      </c>
      <c r="P187">
        <f>AND(L187&lt;N187,M187&gt;O187)</f>
        <v/>
      </c>
      <c r="Q187">
        <f>MAX(D168:D187)</f>
        <v/>
      </c>
      <c r="R187">
        <f>MIN(E168:E187)</f>
        <v/>
      </c>
      <c r="S187">
        <f>F187-((Q187+R187)/2+I187)/2</f>
        <v/>
      </c>
      <c r="T187">
        <f>FORECAST(A187,S168:S187,A168:A187)</f>
        <v/>
      </c>
    </row>
    <row r="188">
      <c r="A188" t="n">
        <v>186</v>
      </c>
      <c r="B188" s="2" t="n">
        <v>43006</v>
      </c>
      <c r="C188" t="n">
        <v>239.3</v>
      </c>
      <c r="D188" t="n">
        <v>239.98</v>
      </c>
      <c r="E188" t="n">
        <v>239.2</v>
      </c>
      <c r="F188" t="n">
        <v>239.89</v>
      </c>
      <c r="G188" t="n">
        <v>46730936</v>
      </c>
      <c r="H188">
        <f>MAX(D188-E188,ABS(D188-F187),ABS(E188-F187))</f>
        <v/>
      </c>
      <c r="I188">
        <f>AVERAGE(F169:F188)</f>
        <v/>
      </c>
      <c r="J188">
        <f>STDEVP(F169:F188)</f>
        <v/>
      </c>
      <c r="K188">
        <f>AVERAGE(H169:H188)</f>
        <v/>
      </c>
      <c r="L188">
        <f>I188+2.0*J188</f>
        <v/>
      </c>
      <c r="M188">
        <f>I188-2.0*J188</f>
        <v/>
      </c>
      <c r="N188">
        <f>I188+1.5*K188</f>
        <v/>
      </c>
      <c r="O188">
        <f>I188-1.5*K188</f>
        <v/>
      </c>
      <c r="P188">
        <f>AND(L188&lt;N188,M188&gt;O188)</f>
        <v/>
      </c>
      <c r="Q188">
        <f>MAX(D169:D188)</f>
        <v/>
      </c>
      <c r="R188">
        <f>MIN(E169:E188)</f>
        <v/>
      </c>
      <c r="S188">
        <f>F188-((Q188+R188)/2+I188)/2</f>
        <v/>
      </c>
      <c r="T188">
        <f>FORECAST(A188,S169:S188,A169:A188)</f>
        <v/>
      </c>
    </row>
    <row r="189">
      <c r="A189" t="n">
        <v>187</v>
      </c>
      <c r="B189" s="2" t="n">
        <v>43007</v>
      </c>
      <c r="C189" t="n">
        <v>239.88</v>
      </c>
      <c r="D189" t="n">
        <v>240.82</v>
      </c>
      <c r="E189" t="n">
        <v>239.68</v>
      </c>
      <c r="F189" t="n">
        <v>240.74</v>
      </c>
      <c r="G189" t="n">
        <v>89308704</v>
      </c>
      <c r="H189">
        <f>MAX(D189-E189,ABS(D189-F188),ABS(E189-F188))</f>
        <v/>
      </c>
      <c r="I189">
        <f>AVERAGE(F170:F189)</f>
        <v/>
      </c>
      <c r="J189">
        <f>STDEVP(F170:F189)</f>
        <v/>
      </c>
      <c r="K189">
        <f>AVERAGE(H170:H189)</f>
        <v/>
      </c>
      <c r="L189">
        <f>I189+2.0*J189</f>
        <v/>
      </c>
      <c r="M189">
        <f>I189-2.0*J189</f>
        <v/>
      </c>
      <c r="N189">
        <f>I189+1.5*K189</f>
        <v/>
      </c>
      <c r="O189">
        <f>I189-1.5*K189</f>
        <v/>
      </c>
      <c r="P189">
        <f>AND(L189&lt;N189,M189&gt;O189)</f>
        <v/>
      </c>
      <c r="Q189">
        <f>MAX(D170:D189)</f>
        <v/>
      </c>
      <c r="R189">
        <f>MIN(E170:E189)</f>
        <v/>
      </c>
      <c r="S189">
        <f>F189-((Q189+R189)/2+I189)/2</f>
        <v/>
      </c>
      <c r="T189">
        <f>FORECAST(A189,S170:S189,A170:A189)</f>
        <v/>
      </c>
    </row>
    <row r="190">
      <c r="A190" t="n">
        <v>188</v>
      </c>
      <c r="B190" s="2" t="n">
        <v>43010</v>
      </c>
      <c r="C190" t="n">
        <v>240.98</v>
      </c>
      <c r="D190" t="n">
        <v>241.78</v>
      </c>
      <c r="E190" t="n">
        <v>240.8</v>
      </c>
      <c r="F190" t="n">
        <v>241.78</v>
      </c>
      <c r="G190" t="n">
        <v>61596044</v>
      </c>
      <c r="H190">
        <f>MAX(D190-E190,ABS(D190-F189),ABS(E190-F189))</f>
        <v/>
      </c>
      <c r="I190">
        <f>AVERAGE(F171:F190)</f>
        <v/>
      </c>
      <c r="J190">
        <f>STDEVP(F171:F190)</f>
        <v/>
      </c>
      <c r="K190">
        <f>AVERAGE(H171:H190)</f>
        <v/>
      </c>
      <c r="L190">
        <f>I190+2.0*J190</f>
        <v/>
      </c>
      <c r="M190">
        <f>I190-2.0*J190</f>
        <v/>
      </c>
      <c r="N190">
        <f>I190+1.5*K190</f>
        <v/>
      </c>
      <c r="O190">
        <f>I190-1.5*K190</f>
        <v/>
      </c>
      <c r="P190">
        <f>AND(L190&lt;N190,M190&gt;O190)</f>
        <v/>
      </c>
      <c r="Q190">
        <f>MAX(D171:D190)</f>
        <v/>
      </c>
      <c r="R190">
        <f>MIN(E171:E190)</f>
        <v/>
      </c>
      <c r="S190">
        <f>F190-((Q190+R190)/2+I190)/2</f>
        <v/>
      </c>
      <c r="T190">
        <f>FORECAST(A190,S171:S190,A171:A190)</f>
        <v/>
      </c>
    </row>
    <row r="191">
      <c r="A191" t="n">
        <v>189</v>
      </c>
      <c r="B191" s="2" t="n">
        <v>43011</v>
      </c>
      <c r="C191" t="n">
        <v>241.91</v>
      </c>
      <c r="D191" t="n">
        <v>242.33</v>
      </c>
      <c r="E191" t="n">
        <v>241.69</v>
      </c>
      <c r="F191" t="n">
        <v>242.3</v>
      </c>
      <c r="G191" t="n">
        <v>69722704</v>
      </c>
      <c r="H191">
        <f>MAX(D191-E191,ABS(D191-F190),ABS(E191-F190))</f>
        <v/>
      </c>
      <c r="I191">
        <f>AVERAGE(F172:F191)</f>
        <v/>
      </c>
      <c r="J191">
        <f>STDEVP(F172:F191)</f>
        <v/>
      </c>
      <c r="K191">
        <f>AVERAGE(H172:H191)</f>
        <v/>
      </c>
      <c r="L191">
        <f>I191+2.0*J191</f>
        <v/>
      </c>
      <c r="M191">
        <f>I191-2.0*J191</f>
        <v/>
      </c>
      <c r="N191">
        <f>I191+1.5*K191</f>
        <v/>
      </c>
      <c r="O191">
        <f>I191-1.5*K191</f>
        <v/>
      </c>
      <c r="P191">
        <f>AND(L191&lt;N191,M191&gt;O191)</f>
        <v/>
      </c>
      <c r="Q191">
        <f>MAX(D172:D191)</f>
        <v/>
      </c>
      <c r="R191">
        <f>MIN(E172:E191)</f>
        <v/>
      </c>
      <c r="S191">
        <f>F191-((Q191+R191)/2+I191)/2</f>
        <v/>
      </c>
      <c r="T191">
        <f>FORECAST(A191,S172:S191,A172:A191)</f>
        <v/>
      </c>
    </row>
    <row r="192">
      <c r="A192" t="n">
        <v>190</v>
      </c>
      <c r="B192" s="2" t="n">
        <v>43012</v>
      </c>
      <c r="C192" t="n">
        <v>242.13</v>
      </c>
      <c r="D192" t="n">
        <v>242.85</v>
      </c>
      <c r="E192" t="n">
        <v>242.01</v>
      </c>
      <c r="F192" t="n">
        <v>242.58</v>
      </c>
      <c r="G192" t="n">
        <v>58392872</v>
      </c>
      <c r="H192">
        <f>MAX(D192-E192,ABS(D192-F191),ABS(E192-F191))</f>
        <v/>
      </c>
      <c r="I192">
        <f>AVERAGE(F173:F192)</f>
        <v/>
      </c>
      <c r="J192">
        <f>STDEVP(F173:F192)</f>
        <v/>
      </c>
      <c r="K192">
        <f>AVERAGE(H173:H192)</f>
        <v/>
      </c>
      <c r="L192">
        <f>I192+2.0*J192</f>
        <v/>
      </c>
      <c r="M192">
        <f>I192-2.0*J192</f>
        <v/>
      </c>
      <c r="N192">
        <f>I192+1.5*K192</f>
        <v/>
      </c>
      <c r="O192">
        <f>I192-1.5*K192</f>
        <v/>
      </c>
      <c r="P192">
        <f>AND(L192&lt;N192,M192&gt;O192)</f>
        <v/>
      </c>
      <c r="Q192">
        <f>MAX(D173:D192)</f>
        <v/>
      </c>
      <c r="R192">
        <f>MIN(E173:E192)</f>
        <v/>
      </c>
      <c r="S192">
        <f>F192-((Q192+R192)/2+I192)/2</f>
        <v/>
      </c>
      <c r="T192">
        <f>FORECAST(A192,S173:S192,A173:A192)</f>
        <v/>
      </c>
    </row>
    <row r="193">
      <c r="A193" t="n">
        <v>191</v>
      </c>
      <c r="B193" s="2" t="n">
        <v>43013</v>
      </c>
      <c r="C193" t="n">
        <v>242.95</v>
      </c>
      <c r="D193" t="n">
        <v>244.04</v>
      </c>
      <c r="E193" t="n">
        <v>242.62</v>
      </c>
      <c r="F193" t="n">
        <v>244.02</v>
      </c>
      <c r="G193" t="n">
        <v>66291980</v>
      </c>
      <c r="H193">
        <f>MAX(D193-E193,ABS(D193-F192),ABS(E193-F192))</f>
        <v/>
      </c>
      <c r="I193">
        <f>AVERAGE(F174:F193)</f>
        <v/>
      </c>
      <c r="J193">
        <f>STDEVP(F174:F193)</f>
        <v/>
      </c>
      <c r="K193">
        <f>AVERAGE(H174:H193)</f>
        <v/>
      </c>
      <c r="L193">
        <f>I193+2.0*J193</f>
        <v/>
      </c>
      <c r="M193">
        <f>I193-2.0*J193</f>
        <v/>
      </c>
      <c r="N193">
        <f>I193+1.5*K193</f>
        <v/>
      </c>
      <c r="O193">
        <f>I193-1.5*K193</f>
        <v/>
      </c>
      <c r="P193">
        <f>AND(L193&lt;N193,M193&gt;O193)</f>
        <v/>
      </c>
      <c r="Q193">
        <f>MAX(D174:D193)</f>
        <v/>
      </c>
      <c r="R193">
        <f>MIN(E174:E193)</f>
        <v/>
      </c>
      <c r="S193">
        <f>F193-((Q193+R193)/2+I193)/2</f>
        <v/>
      </c>
      <c r="T193">
        <f>FORECAST(A193,S174:S193,A174:A193)</f>
        <v/>
      </c>
    </row>
    <row r="194">
      <c r="A194" t="n">
        <v>192</v>
      </c>
      <c r="B194" s="2" t="n">
        <v>43014</v>
      </c>
      <c r="C194" t="n">
        <v>243.53</v>
      </c>
      <c r="D194" t="n">
        <v>244.06</v>
      </c>
      <c r="E194" t="n">
        <v>243.25</v>
      </c>
      <c r="F194" t="n">
        <v>243.74</v>
      </c>
      <c r="G194" t="n">
        <v>84161696</v>
      </c>
      <c r="H194">
        <f>MAX(D194-E194,ABS(D194-F193),ABS(E194-F193))</f>
        <v/>
      </c>
      <c r="I194">
        <f>AVERAGE(F175:F194)</f>
        <v/>
      </c>
      <c r="J194">
        <f>STDEVP(F175:F194)</f>
        <v/>
      </c>
      <c r="K194">
        <f>AVERAGE(H175:H194)</f>
        <v/>
      </c>
      <c r="L194">
        <f>I194+2.0*J194</f>
        <v/>
      </c>
      <c r="M194">
        <f>I194-2.0*J194</f>
        <v/>
      </c>
      <c r="N194">
        <f>I194+1.5*K194</f>
        <v/>
      </c>
      <c r="O194">
        <f>I194-1.5*K194</f>
        <v/>
      </c>
      <c r="P194">
        <f>AND(L194&lt;N194,M194&gt;O194)</f>
        <v/>
      </c>
      <c r="Q194">
        <f>MAX(D175:D194)</f>
        <v/>
      </c>
      <c r="R194">
        <f>MIN(E175:E194)</f>
        <v/>
      </c>
      <c r="S194">
        <f>F194-((Q194+R194)/2+I194)/2</f>
        <v/>
      </c>
      <c r="T194">
        <f>FORECAST(A194,S175:S194,A175:A194)</f>
        <v/>
      </c>
    </row>
    <row r="195">
      <c r="A195" t="n">
        <v>193</v>
      </c>
      <c r="B195" s="2" t="n">
        <v>43017</v>
      </c>
      <c r="C195" t="n">
        <v>243.99</v>
      </c>
      <c r="D195" t="n">
        <v>244.06</v>
      </c>
      <c r="E195" t="n">
        <v>243.05</v>
      </c>
      <c r="F195" t="n">
        <v>243.34</v>
      </c>
      <c r="G195" t="n">
        <v>37363944</v>
      </c>
      <c r="H195">
        <f>MAX(D195-E195,ABS(D195-F194),ABS(E195-F194))</f>
        <v/>
      </c>
      <c r="I195">
        <f>AVERAGE(F176:F195)</f>
        <v/>
      </c>
      <c r="J195">
        <f>STDEVP(F176:F195)</f>
        <v/>
      </c>
      <c r="K195">
        <f>AVERAGE(H176:H195)</f>
        <v/>
      </c>
      <c r="L195">
        <f>I195+2.0*J195</f>
        <v/>
      </c>
      <c r="M195">
        <f>I195-2.0*J195</f>
        <v/>
      </c>
      <c r="N195">
        <f>I195+1.5*K195</f>
        <v/>
      </c>
      <c r="O195">
        <f>I195-1.5*K195</f>
        <v/>
      </c>
      <c r="P195">
        <f>AND(L195&lt;N195,M195&gt;O195)</f>
        <v/>
      </c>
      <c r="Q195">
        <f>MAX(D176:D195)</f>
        <v/>
      </c>
      <c r="R195">
        <f>MIN(E176:E195)</f>
        <v/>
      </c>
      <c r="S195">
        <f>F195-((Q195+R195)/2+I195)/2</f>
        <v/>
      </c>
      <c r="T195">
        <f>FORECAST(A195,S176:S195,A176:A195)</f>
        <v/>
      </c>
    </row>
    <row r="196">
      <c r="A196" t="n">
        <v>194</v>
      </c>
      <c r="B196" s="2" t="n">
        <v>43018</v>
      </c>
      <c r="C196" t="n">
        <v>243.96</v>
      </c>
      <c r="D196" t="n">
        <v>244.4</v>
      </c>
      <c r="E196" t="n">
        <v>243.37</v>
      </c>
      <c r="F196" t="n">
        <v>243.98</v>
      </c>
      <c r="G196" t="n">
        <v>44934412</v>
      </c>
      <c r="H196">
        <f>MAX(D196-E196,ABS(D196-F195),ABS(E196-F195))</f>
        <v/>
      </c>
      <c r="I196">
        <f>AVERAGE(F177:F196)</f>
        <v/>
      </c>
      <c r="J196">
        <f>STDEVP(F177:F196)</f>
        <v/>
      </c>
      <c r="K196">
        <f>AVERAGE(H177:H196)</f>
        <v/>
      </c>
      <c r="L196">
        <f>I196+2.0*J196</f>
        <v/>
      </c>
      <c r="M196">
        <f>I196-2.0*J196</f>
        <v/>
      </c>
      <c r="N196">
        <f>I196+1.5*K196</f>
        <v/>
      </c>
      <c r="O196">
        <f>I196-1.5*K196</f>
        <v/>
      </c>
      <c r="P196">
        <f>AND(L196&lt;N196,M196&gt;O196)</f>
        <v/>
      </c>
      <c r="Q196">
        <f>MAX(D177:D196)</f>
        <v/>
      </c>
      <c r="R196">
        <f>MIN(E177:E196)</f>
        <v/>
      </c>
      <c r="S196">
        <f>F196-((Q196+R196)/2+I196)/2</f>
        <v/>
      </c>
      <c r="T196">
        <f>FORECAST(A196,S177:S196,A177:A196)</f>
        <v/>
      </c>
    </row>
    <row r="197">
      <c r="A197" t="n">
        <v>195</v>
      </c>
      <c r="B197" s="2" t="n">
        <v>43019</v>
      </c>
      <c r="C197" t="n">
        <v>243.88</v>
      </c>
      <c r="D197" t="n">
        <v>244.37</v>
      </c>
      <c r="E197" t="n">
        <v>243.7</v>
      </c>
      <c r="F197" t="n">
        <v>244.37</v>
      </c>
      <c r="G197" t="n">
        <v>49752644</v>
      </c>
      <c r="H197">
        <f>MAX(D197-E197,ABS(D197-F196),ABS(E197-F196))</f>
        <v/>
      </c>
      <c r="I197">
        <f>AVERAGE(F178:F197)</f>
        <v/>
      </c>
      <c r="J197">
        <f>STDEVP(F178:F197)</f>
        <v/>
      </c>
      <c r="K197">
        <f>AVERAGE(H178:H197)</f>
        <v/>
      </c>
      <c r="L197">
        <f>I197+2.0*J197</f>
        <v/>
      </c>
      <c r="M197">
        <f>I197-2.0*J197</f>
        <v/>
      </c>
      <c r="N197">
        <f>I197+1.5*K197</f>
        <v/>
      </c>
      <c r="O197">
        <f>I197-1.5*K197</f>
        <v/>
      </c>
      <c r="P197">
        <f>AND(L197&lt;N197,M197&gt;O197)</f>
        <v/>
      </c>
      <c r="Q197">
        <f>MAX(D178:D197)</f>
        <v/>
      </c>
      <c r="R197">
        <f>MIN(E178:E197)</f>
        <v/>
      </c>
      <c r="S197">
        <f>F197-((Q197+R197)/2+I197)/2</f>
        <v/>
      </c>
      <c r="T197">
        <f>FORECAST(A197,S178:S197,A178:A197)</f>
        <v/>
      </c>
    </row>
    <row r="198">
      <c r="A198" t="n">
        <v>196</v>
      </c>
      <c r="B198" s="2" t="n">
        <v>43020</v>
      </c>
      <c r="C198" t="n">
        <v>244.02</v>
      </c>
      <c r="D198" t="n">
        <v>244.41</v>
      </c>
      <c r="E198" t="n">
        <v>243.74</v>
      </c>
      <c r="F198" t="n">
        <v>244</v>
      </c>
      <c r="G198" t="n">
        <v>49116908</v>
      </c>
      <c r="H198">
        <f>MAX(D198-E198,ABS(D198-F197),ABS(E198-F197))</f>
        <v/>
      </c>
      <c r="I198">
        <f>AVERAGE(F179:F198)</f>
        <v/>
      </c>
      <c r="J198">
        <f>STDEVP(F179:F198)</f>
        <v/>
      </c>
      <c r="K198">
        <f>AVERAGE(H179:H198)</f>
        <v/>
      </c>
      <c r="L198">
        <f>I198+2.0*J198</f>
        <v/>
      </c>
      <c r="M198">
        <f>I198-2.0*J198</f>
        <v/>
      </c>
      <c r="N198">
        <f>I198+1.5*K198</f>
        <v/>
      </c>
      <c r="O198">
        <f>I198-1.5*K198</f>
        <v/>
      </c>
      <c r="P198">
        <f>AND(L198&lt;N198,M198&gt;O198)</f>
        <v/>
      </c>
      <c r="Q198">
        <f>MAX(D179:D198)</f>
        <v/>
      </c>
      <c r="R198">
        <f>MIN(E179:E198)</f>
        <v/>
      </c>
      <c r="S198">
        <f>F198-((Q198+R198)/2+I198)/2</f>
        <v/>
      </c>
      <c r="T198">
        <f>FORECAST(A198,S179:S198,A179:A198)</f>
        <v/>
      </c>
    </row>
    <row r="199">
      <c r="A199" t="n">
        <v>197</v>
      </c>
      <c r="B199" s="2" t="n">
        <v>43021</v>
      </c>
      <c r="C199" t="n">
        <v>244.48</v>
      </c>
      <c r="D199" t="n">
        <v>244.61</v>
      </c>
      <c r="E199" t="n">
        <v>244</v>
      </c>
      <c r="F199" t="n">
        <v>244.3</v>
      </c>
      <c r="G199" t="n">
        <v>57189416</v>
      </c>
      <c r="H199">
        <f>MAX(D199-E199,ABS(D199-F198),ABS(E199-F198))</f>
        <v/>
      </c>
      <c r="I199">
        <f>AVERAGE(F180:F199)</f>
        <v/>
      </c>
      <c r="J199">
        <f>STDEVP(F180:F199)</f>
        <v/>
      </c>
      <c r="K199">
        <f>AVERAGE(H180:H199)</f>
        <v/>
      </c>
      <c r="L199">
        <f>I199+2.0*J199</f>
        <v/>
      </c>
      <c r="M199">
        <f>I199-2.0*J199</f>
        <v/>
      </c>
      <c r="N199">
        <f>I199+1.5*K199</f>
        <v/>
      </c>
      <c r="O199">
        <f>I199-1.5*K199</f>
        <v/>
      </c>
      <c r="P199">
        <f>AND(L199&lt;N199,M199&gt;O199)</f>
        <v/>
      </c>
      <c r="Q199">
        <f>MAX(D180:D199)</f>
        <v/>
      </c>
      <c r="R199">
        <f>MIN(E180:E199)</f>
        <v/>
      </c>
      <c r="S199">
        <f>F199-((Q199+R199)/2+I199)/2</f>
        <v/>
      </c>
      <c r="T199">
        <f>FORECAST(A199,S180:S199,A180:A199)</f>
        <v/>
      </c>
    </row>
    <row r="200">
      <c r="A200" t="n">
        <v>198</v>
      </c>
      <c r="B200" s="2" t="n">
        <v>43024</v>
      </c>
      <c r="C200" t="n">
        <v>244.55</v>
      </c>
      <c r="D200" t="n">
        <v>244.84</v>
      </c>
      <c r="E200" t="n">
        <v>244.18</v>
      </c>
      <c r="F200" t="n">
        <v>244.63</v>
      </c>
      <c r="G200" t="n">
        <v>39887916</v>
      </c>
      <c r="H200">
        <f>MAX(D200-E200,ABS(D200-F199),ABS(E200-F199))</f>
        <v/>
      </c>
      <c r="I200">
        <f>AVERAGE(F181:F200)</f>
        <v/>
      </c>
      <c r="J200">
        <f>STDEVP(F181:F200)</f>
        <v/>
      </c>
      <c r="K200">
        <f>AVERAGE(H181:H200)</f>
        <v/>
      </c>
      <c r="L200">
        <f>I200+2.0*J200</f>
        <v/>
      </c>
      <c r="M200">
        <f>I200-2.0*J200</f>
        <v/>
      </c>
      <c r="N200">
        <f>I200+1.5*K200</f>
        <v/>
      </c>
      <c r="O200">
        <f>I200-1.5*K200</f>
        <v/>
      </c>
      <c r="P200">
        <f>AND(L200&lt;N200,M200&gt;O200)</f>
        <v/>
      </c>
      <c r="Q200">
        <f>MAX(D181:D200)</f>
        <v/>
      </c>
      <c r="R200">
        <f>MIN(E181:E200)</f>
        <v/>
      </c>
      <c r="S200">
        <f>F200-((Q200+R200)/2+I200)/2</f>
        <v/>
      </c>
      <c r="T200">
        <f>FORECAST(A200,S181:S200,A181:A200)</f>
        <v/>
      </c>
    </row>
    <row r="201">
      <c r="A201" t="n">
        <v>199</v>
      </c>
      <c r="B201" s="2" t="n">
        <v>43025</v>
      </c>
      <c r="C201" t="n">
        <v>244.57</v>
      </c>
      <c r="D201" t="n">
        <v>244.85</v>
      </c>
      <c r="E201" t="n">
        <v>244.33</v>
      </c>
      <c r="F201" t="n">
        <v>244.8</v>
      </c>
      <c r="G201" t="n">
        <v>32936836</v>
      </c>
      <c r="H201">
        <f>MAX(D201-E201,ABS(D201-F200),ABS(E201-F200))</f>
        <v/>
      </c>
      <c r="I201">
        <f>AVERAGE(F182:F201)</f>
        <v/>
      </c>
      <c r="J201">
        <f>STDEVP(F182:F201)</f>
        <v/>
      </c>
      <c r="K201">
        <f>AVERAGE(H182:H201)</f>
        <v/>
      </c>
      <c r="L201">
        <f>I201+2.0*J201</f>
        <v/>
      </c>
      <c r="M201">
        <f>I201-2.0*J201</f>
        <v/>
      </c>
      <c r="N201">
        <f>I201+1.5*K201</f>
        <v/>
      </c>
      <c r="O201">
        <f>I201-1.5*K201</f>
        <v/>
      </c>
      <c r="P201">
        <f>AND(L201&lt;N201,M201&gt;O201)</f>
        <v/>
      </c>
      <c r="Q201">
        <f>MAX(D182:D201)</f>
        <v/>
      </c>
      <c r="R201">
        <f>MIN(E182:E201)</f>
        <v/>
      </c>
      <c r="S201">
        <f>F201-((Q201+R201)/2+I201)/2</f>
        <v/>
      </c>
      <c r="T201">
        <f>FORECAST(A201,S182:S201,A182:A201)</f>
        <v/>
      </c>
    </row>
    <row r="202">
      <c r="A202" t="n">
        <v>200</v>
      </c>
      <c r="B202" s="2" t="n">
        <v>43026</v>
      </c>
      <c r="C202" t="n">
        <v>245.21</v>
      </c>
      <c r="D202" t="n">
        <v>245.26</v>
      </c>
      <c r="E202" t="n">
        <v>244.83</v>
      </c>
      <c r="F202" t="n">
        <v>245.04</v>
      </c>
      <c r="G202" t="n">
        <v>42670820</v>
      </c>
      <c r="H202">
        <f>MAX(D202-E202,ABS(D202-F201),ABS(E202-F201))</f>
        <v/>
      </c>
      <c r="I202">
        <f>AVERAGE(F183:F202)</f>
        <v/>
      </c>
      <c r="J202">
        <f>STDEVP(F183:F202)</f>
        <v/>
      </c>
      <c r="K202">
        <f>AVERAGE(H183:H202)</f>
        <v/>
      </c>
      <c r="L202">
        <f>I202+2.0*J202</f>
        <v/>
      </c>
      <c r="M202">
        <f>I202-2.0*J202</f>
        <v/>
      </c>
      <c r="N202">
        <f>I202+1.5*K202</f>
        <v/>
      </c>
      <c r="O202">
        <f>I202-1.5*K202</f>
        <v/>
      </c>
      <c r="P202">
        <f>AND(L202&lt;N202,M202&gt;O202)</f>
        <v/>
      </c>
      <c r="Q202">
        <f>MAX(D183:D202)</f>
        <v/>
      </c>
      <c r="R202">
        <f>MIN(E183:E202)</f>
        <v/>
      </c>
      <c r="S202">
        <f>F202-((Q202+R202)/2+I202)/2</f>
        <v/>
      </c>
      <c r="T202">
        <f>FORECAST(A202,S183:S202,A183:A202)</f>
        <v/>
      </c>
    </row>
    <row r="203">
      <c r="A203" t="n">
        <v>201</v>
      </c>
      <c r="B203" s="2" t="n">
        <v>43027</v>
      </c>
      <c r="C203" t="n">
        <v>244.18</v>
      </c>
      <c r="D203" t="n">
        <v>245.14</v>
      </c>
      <c r="E203" t="n">
        <v>243.72</v>
      </c>
      <c r="F203" t="n">
        <v>245.1</v>
      </c>
      <c r="G203" t="n">
        <v>64602432</v>
      </c>
      <c r="H203">
        <f>MAX(D203-E203,ABS(D203-F202),ABS(E203-F202))</f>
        <v/>
      </c>
      <c r="I203">
        <f>AVERAGE(F184:F203)</f>
        <v/>
      </c>
      <c r="J203">
        <f>STDEVP(F184:F203)</f>
        <v/>
      </c>
      <c r="K203">
        <f>AVERAGE(H184:H203)</f>
        <v/>
      </c>
      <c r="L203">
        <f>I203+2.0*J203</f>
        <v/>
      </c>
      <c r="M203">
        <f>I203-2.0*J203</f>
        <v/>
      </c>
      <c r="N203">
        <f>I203+1.5*K203</f>
        <v/>
      </c>
      <c r="O203">
        <f>I203-1.5*K203</f>
        <v/>
      </c>
      <c r="P203">
        <f>AND(L203&lt;N203,M203&gt;O203)</f>
        <v/>
      </c>
      <c r="Q203">
        <f>MAX(D184:D203)</f>
        <v/>
      </c>
      <c r="R203">
        <f>MIN(E184:E203)</f>
        <v/>
      </c>
      <c r="S203">
        <f>F203-((Q203+R203)/2+I203)/2</f>
        <v/>
      </c>
      <c r="T203">
        <f>FORECAST(A203,S184:S203,A184:A203)</f>
        <v/>
      </c>
    </row>
    <row r="204">
      <c r="A204" t="n">
        <v>202</v>
      </c>
      <c r="B204" s="2" t="n">
        <v>43028</v>
      </c>
      <c r="C204" t="n">
        <v>245.98</v>
      </c>
      <c r="D204" t="n">
        <v>246.4</v>
      </c>
      <c r="E204" t="n">
        <v>245.09</v>
      </c>
      <c r="F204" t="n">
        <v>246.37</v>
      </c>
      <c r="G204" t="n">
        <v>93063952</v>
      </c>
      <c r="H204">
        <f>MAX(D204-E204,ABS(D204-F203),ABS(E204-F203))</f>
        <v/>
      </c>
      <c r="I204">
        <f>AVERAGE(F185:F204)</f>
        <v/>
      </c>
      <c r="J204">
        <f>STDEVP(F185:F204)</f>
        <v/>
      </c>
      <c r="K204">
        <f>AVERAGE(H185:H204)</f>
        <v/>
      </c>
      <c r="L204">
        <f>I204+2.0*J204</f>
        <v/>
      </c>
      <c r="M204">
        <f>I204-2.0*J204</f>
        <v/>
      </c>
      <c r="N204">
        <f>I204+1.5*K204</f>
        <v/>
      </c>
      <c r="O204">
        <f>I204-1.5*K204</f>
        <v/>
      </c>
      <c r="P204">
        <f>AND(L204&lt;N204,M204&gt;O204)</f>
        <v/>
      </c>
      <c r="Q204">
        <f>MAX(D185:D204)</f>
        <v/>
      </c>
      <c r="R204">
        <f>MIN(E185:E204)</f>
        <v/>
      </c>
      <c r="S204">
        <f>F204-((Q204+R204)/2+I204)/2</f>
        <v/>
      </c>
      <c r="T204">
        <f>FORECAST(A204,S185:S204,A185:A204)</f>
        <v/>
      </c>
    </row>
    <row r="205">
      <c r="A205" t="n">
        <v>203</v>
      </c>
      <c r="B205" s="2" t="n">
        <v>43031</v>
      </c>
      <c r="C205" t="n">
        <v>246.72</v>
      </c>
      <c r="D205" t="n">
        <v>246.75</v>
      </c>
      <c r="E205" t="n">
        <v>245.33</v>
      </c>
      <c r="F205" t="n">
        <v>245.41</v>
      </c>
      <c r="G205" t="n">
        <v>66701640</v>
      </c>
      <c r="H205">
        <f>MAX(D205-E205,ABS(D205-F204),ABS(E205-F204))</f>
        <v/>
      </c>
      <c r="I205">
        <f>AVERAGE(F186:F205)</f>
        <v/>
      </c>
      <c r="J205">
        <f>STDEVP(F186:F205)</f>
        <v/>
      </c>
      <c r="K205">
        <f>AVERAGE(H186:H205)</f>
        <v/>
      </c>
      <c r="L205">
        <f>I205+2.0*J205</f>
        <v/>
      </c>
      <c r="M205">
        <f>I205-2.0*J205</f>
        <v/>
      </c>
      <c r="N205">
        <f>I205+1.5*K205</f>
        <v/>
      </c>
      <c r="O205">
        <f>I205-1.5*K205</f>
        <v/>
      </c>
      <c r="P205">
        <f>AND(L205&lt;N205,M205&gt;O205)</f>
        <v/>
      </c>
      <c r="Q205">
        <f>MAX(D186:D205)</f>
        <v/>
      </c>
      <c r="R205">
        <f>MIN(E186:E205)</f>
        <v/>
      </c>
      <c r="S205">
        <f>F205-((Q205+R205)/2+I205)/2</f>
        <v/>
      </c>
      <c r="T205">
        <f>FORECAST(A205,S186:S205,A186:A205)</f>
        <v/>
      </c>
    </row>
    <row r="206">
      <c r="A206" t="n">
        <v>204</v>
      </c>
      <c r="B206" s="2" t="n">
        <v>43032</v>
      </c>
      <c r="C206" t="n">
        <v>245.88</v>
      </c>
      <c r="D206" t="n">
        <v>246.1</v>
      </c>
      <c r="E206" t="n">
        <v>245.45</v>
      </c>
      <c r="F206" t="n">
        <v>245.84</v>
      </c>
      <c r="G206" t="n">
        <v>69853928</v>
      </c>
      <c r="H206">
        <f>MAX(D206-E206,ABS(D206-F205),ABS(E206-F205))</f>
        <v/>
      </c>
      <c r="I206">
        <f>AVERAGE(F187:F206)</f>
        <v/>
      </c>
      <c r="J206">
        <f>STDEVP(F187:F206)</f>
        <v/>
      </c>
      <c r="K206">
        <f>AVERAGE(H187:H206)</f>
        <v/>
      </c>
      <c r="L206">
        <f>I206+2.0*J206</f>
        <v/>
      </c>
      <c r="M206">
        <f>I206-2.0*J206</f>
        <v/>
      </c>
      <c r="N206">
        <f>I206+1.5*K206</f>
        <v/>
      </c>
      <c r="O206">
        <f>I206-1.5*K206</f>
        <v/>
      </c>
      <c r="P206">
        <f>AND(L206&lt;N206,M206&gt;O206)</f>
        <v/>
      </c>
      <c r="Q206">
        <f>MAX(D187:D206)</f>
        <v/>
      </c>
      <c r="R206">
        <f>MIN(E187:E206)</f>
        <v/>
      </c>
      <c r="S206">
        <f>F206-((Q206+R206)/2+I206)/2</f>
        <v/>
      </c>
      <c r="T206">
        <f>FORECAST(A206,S187:S206,A187:A206)</f>
        <v/>
      </c>
    </row>
    <row r="207">
      <c r="A207" t="n">
        <v>205</v>
      </c>
      <c r="B207" s="2" t="n">
        <v>43033</v>
      </c>
      <c r="C207" t="n">
        <v>245.48</v>
      </c>
      <c r="D207" t="n">
        <v>245.6</v>
      </c>
      <c r="E207" t="n">
        <v>243.39</v>
      </c>
      <c r="F207" t="n">
        <v>244.63</v>
      </c>
      <c r="G207" t="n">
        <v>108236672</v>
      </c>
      <c r="H207">
        <f>MAX(D207-E207,ABS(D207-F206),ABS(E207-F206))</f>
        <v/>
      </c>
      <c r="I207">
        <f>AVERAGE(F188:F207)</f>
        <v/>
      </c>
      <c r="J207">
        <f>STDEVP(F188:F207)</f>
        <v/>
      </c>
      <c r="K207">
        <f>AVERAGE(H188:H207)</f>
        <v/>
      </c>
      <c r="L207">
        <f>I207+2.0*J207</f>
        <v/>
      </c>
      <c r="M207">
        <f>I207-2.0*J207</f>
        <v/>
      </c>
      <c r="N207">
        <f>I207+1.5*K207</f>
        <v/>
      </c>
      <c r="O207">
        <f>I207-1.5*K207</f>
        <v/>
      </c>
      <c r="P207">
        <f>AND(L207&lt;N207,M207&gt;O207)</f>
        <v/>
      </c>
      <c r="Q207">
        <f>MAX(D188:D207)</f>
        <v/>
      </c>
      <c r="R207">
        <f>MIN(E188:E207)</f>
        <v/>
      </c>
      <c r="S207">
        <f>F207-((Q207+R207)/2+I207)/2</f>
        <v/>
      </c>
      <c r="T207">
        <f>FORECAST(A207,S188:S207,A188:A207)</f>
        <v/>
      </c>
    </row>
    <row r="208">
      <c r="A208" t="n">
        <v>206</v>
      </c>
      <c r="B208" s="2" t="n">
        <v>43034</v>
      </c>
      <c r="C208" t="n">
        <v>245.3</v>
      </c>
      <c r="D208" t="n">
        <v>245.59</v>
      </c>
      <c r="E208" t="n">
        <v>244.81</v>
      </c>
      <c r="F208" t="n">
        <v>244.94</v>
      </c>
      <c r="G208" t="n">
        <v>72840760</v>
      </c>
      <c r="H208">
        <f>MAX(D208-E208,ABS(D208-F207),ABS(E208-F207))</f>
        <v/>
      </c>
      <c r="I208">
        <f>AVERAGE(F189:F208)</f>
        <v/>
      </c>
      <c r="J208">
        <f>STDEVP(F189:F208)</f>
        <v/>
      </c>
      <c r="K208">
        <f>AVERAGE(H189:H208)</f>
        <v/>
      </c>
      <c r="L208">
        <f>I208+2.0*J208</f>
        <v/>
      </c>
      <c r="M208">
        <f>I208-2.0*J208</f>
        <v/>
      </c>
      <c r="N208">
        <f>I208+1.5*K208</f>
        <v/>
      </c>
      <c r="O208">
        <f>I208-1.5*K208</f>
        <v/>
      </c>
      <c r="P208">
        <f>AND(L208&lt;N208,M208&gt;O208)</f>
        <v/>
      </c>
      <c r="Q208">
        <f>MAX(D189:D208)</f>
        <v/>
      </c>
      <c r="R208">
        <f>MIN(E189:E208)</f>
        <v/>
      </c>
      <c r="S208">
        <f>F208-((Q208+R208)/2+I208)/2</f>
        <v/>
      </c>
      <c r="T208">
        <f>FORECAST(A208,S189:S208,A189:A208)</f>
        <v/>
      </c>
    </row>
    <row r="209">
      <c r="A209" t="n">
        <v>207</v>
      </c>
      <c r="B209" s="2" t="n">
        <v>43035</v>
      </c>
      <c r="C209" t="n">
        <v>245.76</v>
      </c>
      <c r="D209" t="n">
        <v>247.12</v>
      </c>
      <c r="E209" t="n">
        <v>244.95</v>
      </c>
      <c r="F209" t="n">
        <v>246.94</v>
      </c>
      <c r="G209" t="n">
        <v>89292576</v>
      </c>
      <c r="H209">
        <f>MAX(D209-E209,ABS(D209-F208),ABS(E209-F208))</f>
        <v/>
      </c>
      <c r="I209">
        <f>AVERAGE(F190:F209)</f>
        <v/>
      </c>
      <c r="J209">
        <f>STDEVP(F190:F209)</f>
        <v/>
      </c>
      <c r="K209">
        <f>AVERAGE(H190:H209)</f>
        <v/>
      </c>
      <c r="L209">
        <f>I209+2.0*J209</f>
        <v/>
      </c>
      <c r="M209">
        <f>I209-2.0*J209</f>
        <v/>
      </c>
      <c r="N209">
        <f>I209+1.5*K209</f>
        <v/>
      </c>
      <c r="O209">
        <f>I209-1.5*K209</f>
        <v/>
      </c>
      <c r="P209">
        <f>AND(L209&lt;N209,M209&gt;O209)</f>
        <v/>
      </c>
      <c r="Q209">
        <f>MAX(D190:D209)</f>
        <v/>
      </c>
      <c r="R209">
        <f>MIN(E190:E209)</f>
        <v/>
      </c>
      <c r="S209">
        <f>F209-((Q209+R209)/2+I209)/2</f>
        <v/>
      </c>
      <c r="T209">
        <f>FORECAST(A209,S190:S209,A190:A209)</f>
        <v/>
      </c>
    </row>
    <row r="210">
      <c r="A210" t="n">
        <v>208</v>
      </c>
      <c r="B210" s="2" t="n">
        <v>43038</v>
      </c>
      <c r="C210" t="n">
        <v>246.33</v>
      </c>
      <c r="D210" t="n">
        <v>246.84</v>
      </c>
      <c r="E210" t="n">
        <v>245.7</v>
      </c>
      <c r="F210" t="n">
        <v>246.02</v>
      </c>
      <c r="G210" t="n">
        <v>56652224</v>
      </c>
      <c r="H210">
        <f>MAX(D210-E210,ABS(D210-F209),ABS(E210-F209))</f>
        <v/>
      </c>
      <c r="I210">
        <f>AVERAGE(F191:F210)</f>
        <v/>
      </c>
      <c r="J210">
        <f>STDEVP(F191:F210)</f>
        <v/>
      </c>
      <c r="K210">
        <f>AVERAGE(H191:H210)</f>
        <v/>
      </c>
      <c r="L210">
        <f>I210+2.0*J210</f>
        <v/>
      </c>
      <c r="M210">
        <f>I210-2.0*J210</f>
        <v/>
      </c>
      <c r="N210">
        <f>I210+1.5*K210</f>
        <v/>
      </c>
      <c r="O210">
        <f>I210-1.5*K210</f>
        <v/>
      </c>
      <c r="P210">
        <f>AND(L210&lt;N210,M210&gt;O210)</f>
        <v/>
      </c>
      <c r="Q210">
        <f>MAX(D191:D210)</f>
        <v/>
      </c>
      <c r="R210">
        <f>MIN(E191:E210)</f>
        <v/>
      </c>
      <c r="S210">
        <f>F210-((Q210+R210)/2+I210)/2</f>
        <v/>
      </c>
      <c r="T210">
        <f>FORECAST(A210,S191:S210,A191:A210)</f>
        <v/>
      </c>
    </row>
    <row r="211">
      <c r="A211" t="n">
        <v>209</v>
      </c>
      <c r="B211" s="2" t="n">
        <v>43039</v>
      </c>
      <c r="C211" t="n">
        <v>246.44</v>
      </c>
      <c r="D211" t="n">
        <v>246.69</v>
      </c>
      <c r="E211" t="n">
        <v>246.08</v>
      </c>
      <c r="F211" t="n">
        <v>246.41</v>
      </c>
      <c r="G211" t="n">
        <v>62933720</v>
      </c>
      <c r="H211">
        <f>MAX(D211-E211,ABS(D211-F210),ABS(E211-F210))</f>
        <v/>
      </c>
      <c r="I211">
        <f>AVERAGE(F192:F211)</f>
        <v/>
      </c>
      <c r="J211">
        <f>STDEVP(F192:F211)</f>
        <v/>
      </c>
      <c r="K211">
        <f>AVERAGE(H192:H211)</f>
        <v/>
      </c>
      <c r="L211">
        <f>I211+2.0*J211</f>
        <v/>
      </c>
      <c r="M211">
        <f>I211-2.0*J211</f>
        <v/>
      </c>
      <c r="N211">
        <f>I211+1.5*K211</f>
        <v/>
      </c>
      <c r="O211">
        <f>I211-1.5*K211</f>
        <v/>
      </c>
      <c r="P211">
        <f>AND(L211&lt;N211,M211&gt;O211)</f>
        <v/>
      </c>
      <c r="Q211">
        <f>MAX(D192:D211)</f>
        <v/>
      </c>
      <c r="R211">
        <f>MIN(E192:E211)</f>
        <v/>
      </c>
      <c r="S211">
        <f>F211-((Q211+R211)/2+I211)/2</f>
        <v/>
      </c>
      <c r="T211">
        <f>FORECAST(A211,S192:S211,A192:A211)</f>
        <v/>
      </c>
    </row>
    <row r="212">
      <c r="A212" t="n">
        <v>210</v>
      </c>
      <c r="B212" s="2" t="n">
        <v>43040</v>
      </c>
      <c r="C212" t="n">
        <v>247.26</v>
      </c>
      <c r="D212" t="n">
        <v>247.63</v>
      </c>
      <c r="E212" t="n">
        <v>246.33</v>
      </c>
      <c r="F212" t="n">
        <v>246.73</v>
      </c>
      <c r="G212" t="n">
        <v>56565660</v>
      </c>
      <c r="H212">
        <f>MAX(D212-E212,ABS(D212-F211),ABS(E212-F211))</f>
        <v/>
      </c>
      <c r="I212">
        <f>AVERAGE(F193:F212)</f>
        <v/>
      </c>
      <c r="J212">
        <f>STDEVP(F193:F212)</f>
        <v/>
      </c>
      <c r="K212">
        <f>AVERAGE(H193:H212)</f>
        <v/>
      </c>
      <c r="L212">
        <f>I212+2.0*J212</f>
        <v/>
      </c>
      <c r="M212">
        <f>I212-2.0*J212</f>
        <v/>
      </c>
      <c r="N212">
        <f>I212+1.5*K212</f>
        <v/>
      </c>
      <c r="O212">
        <f>I212-1.5*K212</f>
        <v/>
      </c>
      <c r="P212">
        <f>AND(L212&lt;N212,M212&gt;O212)</f>
        <v/>
      </c>
      <c r="Q212">
        <f>MAX(D193:D212)</f>
        <v/>
      </c>
      <c r="R212">
        <f>MIN(E193:E212)</f>
        <v/>
      </c>
      <c r="S212">
        <f>F212-((Q212+R212)/2+I212)/2</f>
        <v/>
      </c>
      <c r="T212">
        <f>FORECAST(A212,S193:S212,A193:A212)</f>
        <v/>
      </c>
    </row>
    <row r="213">
      <c r="A213" t="n">
        <v>211</v>
      </c>
      <c r="B213" s="2" t="n">
        <v>43041</v>
      </c>
      <c r="C213" t="n">
        <v>246.66</v>
      </c>
      <c r="D213" t="n">
        <v>246.98</v>
      </c>
      <c r="E213" t="n">
        <v>245.49</v>
      </c>
      <c r="F213" t="n">
        <v>246.83</v>
      </c>
      <c r="G213" t="n">
        <v>58910404</v>
      </c>
      <c r="H213">
        <f>MAX(D213-E213,ABS(D213-F212),ABS(E213-F212))</f>
        <v/>
      </c>
      <c r="I213">
        <f>AVERAGE(F194:F213)</f>
        <v/>
      </c>
      <c r="J213">
        <f>STDEVP(F194:F213)</f>
        <v/>
      </c>
      <c r="K213">
        <f>AVERAGE(H194:H213)</f>
        <v/>
      </c>
      <c r="L213">
        <f>I213+2.0*J213</f>
        <v/>
      </c>
      <c r="M213">
        <f>I213-2.0*J213</f>
        <v/>
      </c>
      <c r="N213">
        <f>I213+1.5*K213</f>
        <v/>
      </c>
      <c r="O213">
        <f>I213-1.5*K213</f>
        <v/>
      </c>
      <c r="P213">
        <f>AND(L213&lt;N213,M213&gt;O213)</f>
        <v/>
      </c>
      <c r="Q213">
        <f>MAX(D194:D213)</f>
        <v/>
      </c>
      <c r="R213">
        <f>MIN(E194:E213)</f>
        <v/>
      </c>
      <c r="S213">
        <f>F213-((Q213+R213)/2+I213)/2</f>
        <v/>
      </c>
      <c r="T213">
        <f>FORECAST(A213,S194:S213,A194:A213)</f>
        <v/>
      </c>
    </row>
    <row r="214">
      <c r="A214" t="n">
        <v>212</v>
      </c>
      <c r="B214" s="2" t="n">
        <v>43042</v>
      </c>
      <c r="C214" t="n">
        <v>247</v>
      </c>
      <c r="D214" t="n">
        <v>247.7</v>
      </c>
      <c r="E214" t="n">
        <v>246.55</v>
      </c>
      <c r="F214" t="n">
        <v>247.65</v>
      </c>
      <c r="G214" t="n">
        <v>62187496</v>
      </c>
      <c r="H214">
        <f>MAX(D214-E214,ABS(D214-F213),ABS(E214-F213))</f>
        <v/>
      </c>
      <c r="I214">
        <f>AVERAGE(F195:F214)</f>
        <v/>
      </c>
      <c r="J214">
        <f>STDEVP(F195:F214)</f>
        <v/>
      </c>
      <c r="K214">
        <f>AVERAGE(H195:H214)</f>
        <v/>
      </c>
      <c r="L214">
        <f>I214+2.0*J214</f>
        <v/>
      </c>
      <c r="M214">
        <f>I214-2.0*J214</f>
        <v/>
      </c>
      <c r="N214">
        <f>I214+1.5*K214</f>
        <v/>
      </c>
      <c r="O214">
        <f>I214-1.5*K214</f>
        <v/>
      </c>
      <c r="P214">
        <f>AND(L214&lt;N214,M214&gt;O214)</f>
        <v/>
      </c>
      <c r="Q214">
        <f>MAX(D195:D214)</f>
        <v/>
      </c>
      <c r="R214">
        <f>MIN(E195:E214)</f>
        <v/>
      </c>
      <c r="S214">
        <f>F214-((Q214+R214)/2+I214)/2</f>
        <v/>
      </c>
      <c r="T214">
        <f>FORECAST(A214,S195:S214,A195:A214)</f>
        <v/>
      </c>
    </row>
    <row r="215">
      <c r="A215" t="n">
        <v>213</v>
      </c>
      <c r="B215" s="2" t="n">
        <v>43045</v>
      </c>
      <c r="C215" t="n">
        <v>247.51</v>
      </c>
      <c r="D215" t="n">
        <v>248.18</v>
      </c>
      <c r="E215" t="n">
        <v>247.43</v>
      </c>
      <c r="F215" t="n">
        <v>248.04</v>
      </c>
      <c r="G215" t="n">
        <v>51817160</v>
      </c>
      <c r="H215">
        <f>MAX(D215-E215,ABS(D215-F214),ABS(E215-F214))</f>
        <v/>
      </c>
      <c r="I215">
        <f>AVERAGE(F196:F215)</f>
        <v/>
      </c>
      <c r="J215">
        <f>STDEVP(F196:F215)</f>
        <v/>
      </c>
      <c r="K215">
        <f>AVERAGE(H196:H215)</f>
        <v/>
      </c>
      <c r="L215">
        <f>I215+2.0*J215</f>
        <v/>
      </c>
      <c r="M215">
        <f>I215-2.0*J215</f>
        <v/>
      </c>
      <c r="N215">
        <f>I215+1.5*K215</f>
        <v/>
      </c>
      <c r="O215">
        <f>I215-1.5*K215</f>
        <v/>
      </c>
      <c r="P215">
        <f>AND(L215&lt;N215,M215&gt;O215)</f>
        <v/>
      </c>
      <c r="Q215">
        <f>MAX(D196:D215)</f>
        <v/>
      </c>
      <c r="R215">
        <f>MIN(E196:E215)</f>
        <v/>
      </c>
      <c r="S215">
        <f>F215-((Q215+R215)/2+I215)/2</f>
        <v/>
      </c>
      <c r="T215">
        <f>FORECAST(A215,S196:S215,A196:A215)</f>
        <v/>
      </c>
    </row>
    <row r="216">
      <c r="A216" t="n">
        <v>214</v>
      </c>
      <c r="B216" s="2" t="n">
        <v>43046</v>
      </c>
      <c r="C216" t="n">
        <v>248.15</v>
      </c>
      <c r="D216" t="n">
        <v>248.52</v>
      </c>
      <c r="E216" t="n">
        <v>247.31</v>
      </c>
      <c r="F216" t="n">
        <v>247.86</v>
      </c>
      <c r="G216" t="n">
        <v>60008920</v>
      </c>
      <c r="H216">
        <f>MAX(D216-E216,ABS(D216-F215),ABS(E216-F215))</f>
        <v/>
      </c>
      <c r="I216">
        <f>AVERAGE(F197:F216)</f>
        <v/>
      </c>
      <c r="J216">
        <f>STDEVP(F197:F216)</f>
        <v/>
      </c>
      <c r="K216">
        <f>AVERAGE(H197:H216)</f>
        <v/>
      </c>
      <c r="L216">
        <f>I216+2.0*J216</f>
        <v/>
      </c>
      <c r="M216">
        <f>I216-2.0*J216</f>
        <v/>
      </c>
      <c r="N216">
        <f>I216+1.5*K216</f>
        <v/>
      </c>
      <c r="O216">
        <f>I216-1.5*K216</f>
        <v/>
      </c>
      <c r="P216">
        <f>AND(L216&lt;N216,M216&gt;O216)</f>
        <v/>
      </c>
      <c r="Q216">
        <f>MAX(D197:D216)</f>
        <v/>
      </c>
      <c r="R216">
        <f>MIN(E197:E216)</f>
        <v/>
      </c>
      <c r="S216">
        <f>F216-((Q216+R216)/2+I216)/2</f>
        <v/>
      </c>
      <c r="T216">
        <f>FORECAST(A216,S197:S216,A197:A216)</f>
        <v/>
      </c>
    </row>
    <row r="217">
      <c r="A217" t="n">
        <v>215</v>
      </c>
      <c r="B217" s="2" t="n">
        <v>43047</v>
      </c>
      <c r="C217" t="n">
        <v>247.67</v>
      </c>
      <c r="D217" t="n">
        <v>248.39</v>
      </c>
      <c r="E217" t="n">
        <v>247.37</v>
      </c>
      <c r="F217" t="n">
        <v>248.29</v>
      </c>
      <c r="G217" t="n">
        <v>52669760</v>
      </c>
      <c r="H217">
        <f>MAX(D217-E217,ABS(D217-F216),ABS(E217-F216))</f>
        <v/>
      </c>
      <c r="I217">
        <f>AVERAGE(F198:F217)</f>
        <v/>
      </c>
      <c r="J217">
        <f>STDEVP(F198:F217)</f>
        <v/>
      </c>
      <c r="K217">
        <f>AVERAGE(H198:H217)</f>
        <v/>
      </c>
      <c r="L217">
        <f>I217+2.0*J217</f>
        <v/>
      </c>
      <c r="M217">
        <f>I217-2.0*J217</f>
        <v/>
      </c>
      <c r="N217">
        <f>I217+1.5*K217</f>
        <v/>
      </c>
      <c r="O217">
        <f>I217-1.5*K217</f>
        <v/>
      </c>
      <c r="P217">
        <f>AND(L217&lt;N217,M217&gt;O217)</f>
        <v/>
      </c>
      <c r="Q217">
        <f>MAX(D198:D217)</f>
        <v/>
      </c>
      <c r="R217">
        <f>MIN(E198:E217)</f>
        <v/>
      </c>
      <c r="S217">
        <f>F217-((Q217+R217)/2+I217)/2</f>
        <v/>
      </c>
      <c r="T217">
        <f>FORECAST(A217,S198:S217,A198:A217)</f>
        <v/>
      </c>
    </row>
    <row r="218">
      <c r="A218" t="n">
        <v>216</v>
      </c>
      <c r="B218" s="2" t="n">
        <v>43048</v>
      </c>
      <c r="C218" t="n">
        <v>246.96</v>
      </c>
      <c r="D218" t="n">
        <v>247.6</v>
      </c>
      <c r="E218" t="n">
        <v>245.65</v>
      </c>
      <c r="F218" t="n">
        <v>247.39</v>
      </c>
      <c r="G218" t="n">
        <v>99230672</v>
      </c>
      <c r="H218">
        <f>MAX(D218-E218,ABS(D218-F217),ABS(E218-F217))</f>
        <v/>
      </c>
      <c r="I218">
        <f>AVERAGE(F199:F218)</f>
        <v/>
      </c>
      <c r="J218">
        <f>STDEVP(F199:F218)</f>
        <v/>
      </c>
      <c r="K218">
        <f>AVERAGE(H199:H218)</f>
        <v/>
      </c>
      <c r="L218">
        <f>I218+2.0*J218</f>
        <v/>
      </c>
      <c r="M218">
        <f>I218-2.0*J218</f>
        <v/>
      </c>
      <c r="N218">
        <f>I218+1.5*K218</f>
        <v/>
      </c>
      <c r="O218">
        <f>I218-1.5*K218</f>
        <v/>
      </c>
      <c r="P218">
        <f>AND(L218&lt;N218,M218&gt;O218)</f>
        <v/>
      </c>
      <c r="Q218">
        <f>MAX(D199:D218)</f>
        <v/>
      </c>
      <c r="R218">
        <f>MIN(E199:E218)</f>
        <v/>
      </c>
      <c r="S218">
        <f>F218-((Q218+R218)/2+I218)/2</f>
        <v/>
      </c>
      <c r="T218">
        <f>FORECAST(A218,S199:S218,A199:A218)</f>
        <v/>
      </c>
    </row>
    <row r="219">
      <c r="A219" t="n">
        <v>217</v>
      </c>
      <c r="B219" s="2" t="n">
        <v>43049</v>
      </c>
      <c r="C219" t="n">
        <v>246.96</v>
      </c>
      <c r="D219" t="n">
        <v>247.5</v>
      </c>
      <c r="E219" t="n">
        <v>246.62</v>
      </c>
      <c r="F219" t="n">
        <v>247.31</v>
      </c>
      <c r="G219" t="n">
        <v>62599644</v>
      </c>
      <c r="H219">
        <f>MAX(D219-E219,ABS(D219-F218),ABS(E219-F218))</f>
        <v/>
      </c>
      <c r="I219">
        <f>AVERAGE(F200:F219)</f>
        <v/>
      </c>
      <c r="J219">
        <f>STDEVP(F200:F219)</f>
        <v/>
      </c>
      <c r="K219">
        <f>AVERAGE(H200:H219)</f>
        <v/>
      </c>
      <c r="L219">
        <f>I219+2.0*J219</f>
        <v/>
      </c>
      <c r="M219">
        <f>I219-2.0*J219</f>
        <v/>
      </c>
      <c r="N219">
        <f>I219+1.5*K219</f>
        <v/>
      </c>
      <c r="O219">
        <f>I219-1.5*K219</f>
        <v/>
      </c>
      <c r="P219">
        <f>AND(L219&lt;N219,M219&gt;O219)</f>
        <v/>
      </c>
      <c r="Q219">
        <f>MAX(D200:D219)</f>
        <v/>
      </c>
      <c r="R219">
        <f>MIN(E200:E219)</f>
        <v/>
      </c>
      <c r="S219">
        <f>F219-((Q219+R219)/2+I219)/2</f>
        <v/>
      </c>
      <c r="T219">
        <f>FORECAST(A219,S200:S219,A200:A219)</f>
        <v/>
      </c>
    </row>
    <row r="220">
      <c r="A220" t="n">
        <v>218</v>
      </c>
      <c r="B220" s="2" t="n">
        <v>43052</v>
      </c>
      <c r="C220" t="n">
        <v>246.56</v>
      </c>
      <c r="D220" t="n">
        <v>247.79</v>
      </c>
      <c r="E220" t="n">
        <v>246.52</v>
      </c>
      <c r="F220" t="n">
        <v>247.54</v>
      </c>
      <c r="G220" t="n">
        <v>52418324</v>
      </c>
      <c r="H220">
        <f>MAX(D220-E220,ABS(D220-F219),ABS(E220-F219))</f>
        <v/>
      </c>
      <c r="I220">
        <f>AVERAGE(F201:F220)</f>
        <v/>
      </c>
      <c r="J220">
        <f>STDEVP(F201:F220)</f>
        <v/>
      </c>
      <c r="K220">
        <f>AVERAGE(H201:H220)</f>
        <v/>
      </c>
      <c r="L220">
        <f>I220+2.0*J220</f>
        <v/>
      </c>
      <c r="M220">
        <f>I220-2.0*J220</f>
        <v/>
      </c>
      <c r="N220">
        <f>I220+1.5*K220</f>
        <v/>
      </c>
      <c r="O220">
        <f>I220-1.5*K220</f>
        <v/>
      </c>
      <c r="P220">
        <f>AND(L220&lt;N220,M220&gt;O220)</f>
        <v/>
      </c>
      <c r="Q220">
        <f>MAX(D201:D220)</f>
        <v/>
      </c>
      <c r="R220">
        <f>MIN(E201:E220)</f>
        <v/>
      </c>
      <c r="S220">
        <f>F220-((Q220+R220)/2+I220)/2</f>
        <v/>
      </c>
      <c r="T220">
        <f>FORECAST(A220,S201:S220,A201:A220)</f>
        <v/>
      </c>
    </row>
    <row r="221">
      <c r="A221" t="n">
        <v>219</v>
      </c>
      <c r="B221" s="2" t="n">
        <v>43053</v>
      </c>
      <c r="C221" t="n">
        <v>246.66</v>
      </c>
      <c r="D221" t="n">
        <v>247.08</v>
      </c>
      <c r="E221" t="n">
        <v>245.8</v>
      </c>
      <c r="F221" t="n">
        <v>246.96</v>
      </c>
      <c r="G221" t="n">
        <v>63988136</v>
      </c>
      <c r="H221">
        <f>MAX(D221-E221,ABS(D221-F220),ABS(E221-F220))</f>
        <v/>
      </c>
      <c r="I221">
        <f>AVERAGE(F202:F221)</f>
        <v/>
      </c>
      <c r="J221">
        <f>STDEVP(F202:F221)</f>
        <v/>
      </c>
      <c r="K221">
        <f>AVERAGE(H202:H221)</f>
        <v/>
      </c>
      <c r="L221">
        <f>I221+2.0*J221</f>
        <v/>
      </c>
      <c r="M221">
        <f>I221-2.0*J221</f>
        <v/>
      </c>
      <c r="N221">
        <f>I221+1.5*K221</f>
        <v/>
      </c>
      <c r="O221">
        <f>I221-1.5*K221</f>
        <v/>
      </c>
      <c r="P221">
        <f>AND(L221&lt;N221,M221&gt;O221)</f>
        <v/>
      </c>
      <c r="Q221">
        <f>MAX(D202:D221)</f>
        <v/>
      </c>
      <c r="R221">
        <f>MIN(E202:E221)</f>
        <v/>
      </c>
      <c r="S221">
        <f>F221-((Q221+R221)/2+I221)/2</f>
        <v/>
      </c>
      <c r="T221">
        <f>FORECAST(A221,S202:S221,A202:A221)</f>
        <v/>
      </c>
    </row>
    <row r="222">
      <c r="A222" t="n">
        <v>220</v>
      </c>
      <c r="B222" s="2" t="n">
        <v>43054</v>
      </c>
      <c r="C222" t="n">
        <v>245.9</v>
      </c>
      <c r="D222" t="n">
        <v>246.48</v>
      </c>
      <c r="E222" t="n">
        <v>244.95</v>
      </c>
      <c r="F222" t="n">
        <v>245.73</v>
      </c>
      <c r="G222" t="n">
        <v>84334432</v>
      </c>
      <c r="H222">
        <f>MAX(D222-E222,ABS(D222-F221),ABS(E222-F221))</f>
        <v/>
      </c>
      <c r="I222">
        <f>AVERAGE(F203:F222)</f>
        <v/>
      </c>
      <c r="J222">
        <f>STDEVP(F203:F222)</f>
        <v/>
      </c>
      <c r="K222">
        <f>AVERAGE(H203:H222)</f>
        <v/>
      </c>
      <c r="L222">
        <f>I222+2.0*J222</f>
        <v/>
      </c>
      <c r="M222">
        <f>I222-2.0*J222</f>
        <v/>
      </c>
      <c r="N222">
        <f>I222+1.5*K222</f>
        <v/>
      </c>
      <c r="O222">
        <f>I222-1.5*K222</f>
        <v/>
      </c>
      <c r="P222">
        <f>AND(L222&lt;N222,M222&gt;O222)</f>
        <v/>
      </c>
      <c r="Q222">
        <f>MAX(D203:D222)</f>
        <v/>
      </c>
      <c r="R222">
        <f>MIN(E203:E222)</f>
        <v/>
      </c>
      <c r="S222">
        <f>F222-((Q222+R222)/2+I222)/2</f>
        <v/>
      </c>
      <c r="T222">
        <f>FORECAST(A222,S203:S222,A203:A222)</f>
        <v/>
      </c>
    </row>
    <row r="223">
      <c r="A223" t="n">
        <v>221</v>
      </c>
      <c r="B223" s="2" t="n">
        <v>43055</v>
      </c>
      <c r="C223" t="n">
        <v>246.76</v>
      </c>
      <c r="D223" t="n">
        <v>248.22</v>
      </c>
      <c r="E223" t="n">
        <v>246.72</v>
      </c>
      <c r="F223" t="n">
        <v>247.82</v>
      </c>
      <c r="G223" t="n">
        <v>70731712</v>
      </c>
      <c r="H223">
        <f>MAX(D223-E223,ABS(D223-F222),ABS(E223-F222))</f>
        <v/>
      </c>
      <c r="I223">
        <f>AVERAGE(F204:F223)</f>
        <v/>
      </c>
      <c r="J223">
        <f>STDEVP(F204:F223)</f>
        <v/>
      </c>
      <c r="K223">
        <f>AVERAGE(H204:H223)</f>
        <v/>
      </c>
      <c r="L223">
        <f>I223+2.0*J223</f>
        <v/>
      </c>
      <c r="M223">
        <f>I223-2.0*J223</f>
        <v/>
      </c>
      <c r="N223">
        <f>I223+1.5*K223</f>
        <v/>
      </c>
      <c r="O223">
        <f>I223-1.5*K223</f>
        <v/>
      </c>
      <c r="P223">
        <f>AND(L223&lt;N223,M223&gt;O223)</f>
        <v/>
      </c>
      <c r="Q223">
        <f>MAX(D204:D223)</f>
        <v/>
      </c>
      <c r="R223">
        <f>MIN(E204:E223)</f>
        <v/>
      </c>
      <c r="S223">
        <f>F223-((Q223+R223)/2+I223)/2</f>
        <v/>
      </c>
      <c r="T223">
        <f>FORECAST(A223,S204:S223,A204:A223)</f>
        <v/>
      </c>
    </row>
    <row r="224">
      <c r="A224" t="n">
        <v>222</v>
      </c>
      <c r="B224" s="2" t="n">
        <v>43056</v>
      </c>
      <c r="C224" t="n">
        <v>247.43</v>
      </c>
      <c r="D224" t="n">
        <v>247.79</v>
      </c>
      <c r="E224" t="n">
        <v>247</v>
      </c>
      <c r="F224" t="n">
        <v>247.09</v>
      </c>
      <c r="G224" t="n">
        <v>79059392</v>
      </c>
      <c r="H224">
        <f>MAX(D224-E224,ABS(D224-F223),ABS(E224-F223))</f>
        <v/>
      </c>
      <c r="I224">
        <f>AVERAGE(F205:F224)</f>
        <v/>
      </c>
      <c r="J224">
        <f>STDEVP(F205:F224)</f>
        <v/>
      </c>
      <c r="K224">
        <f>AVERAGE(H205:H224)</f>
        <v/>
      </c>
      <c r="L224">
        <f>I224+2.0*J224</f>
        <v/>
      </c>
      <c r="M224">
        <f>I224-2.0*J224</f>
        <v/>
      </c>
      <c r="N224">
        <f>I224+1.5*K224</f>
        <v/>
      </c>
      <c r="O224">
        <f>I224-1.5*K224</f>
        <v/>
      </c>
      <c r="P224">
        <f>AND(L224&lt;N224,M224&gt;O224)</f>
        <v/>
      </c>
      <c r="Q224">
        <f>MAX(D205:D224)</f>
        <v/>
      </c>
      <c r="R224">
        <f>MIN(E205:E224)</f>
        <v/>
      </c>
      <c r="S224">
        <f>F224-((Q224+R224)/2+I224)/2</f>
        <v/>
      </c>
      <c r="T224">
        <f>FORECAST(A224,S205:S224,A205:A224)</f>
        <v/>
      </c>
    </row>
    <row r="225">
      <c r="A225" t="n">
        <v>223</v>
      </c>
      <c r="B225" s="2" t="n">
        <v>43059</v>
      </c>
      <c r="C225" t="n">
        <v>247.36</v>
      </c>
      <c r="D225" t="n">
        <v>247.73</v>
      </c>
      <c r="E225" t="n">
        <v>247.09</v>
      </c>
      <c r="F225" t="n">
        <v>247.51</v>
      </c>
      <c r="G225" t="n">
        <v>50171324</v>
      </c>
      <c r="H225">
        <f>MAX(D225-E225,ABS(D225-F224),ABS(E225-F224))</f>
        <v/>
      </c>
      <c r="I225">
        <f>AVERAGE(F206:F225)</f>
        <v/>
      </c>
      <c r="J225">
        <f>STDEVP(F206:F225)</f>
        <v/>
      </c>
      <c r="K225">
        <f>AVERAGE(H206:H225)</f>
        <v/>
      </c>
      <c r="L225">
        <f>I225+2.0*J225</f>
        <v/>
      </c>
      <c r="M225">
        <f>I225-2.0*J225</f>
        <v/>
      </c>
      <c r="N225">
        <f>I225+1.5*K225</f>
        <v/>
      </c>
      <c r="O225">
        <f>I225-1.5*K225</f>
        <v/>
      </c>
      <c r="P225">
        <f>AND(L225&lt;N225,M225&gt;O225)</f>
        <v/>
      </c>
      <c r="Q225">
        <f>MAX(D206:D225)</f>
        <v/>
      </c>
      <c r="R225">
        <f>MIN(E206:E225)</f>
        <v/>
      </c>
      <c r="S225">
        <f>F225-((Q225+R225)/2+I225)/2</f>
        <v/>
      </c>
      <c r="T225">
        <f>FORECAST(A225,S206:S225,A206:A225)</f>
        <v/>
      </c>
    </row>
    <row r="226">
      <c r="A226" t="n">
        <v>224</v>
      </c>
      <c r="B226" s="2" t="n">
        <v>43060</v>
      </c>
      <c r="C226" t="n">
        <v>248.35</v>
      </c>
      <c r="D226" t="n">
        <v>249.33</v>
      </c>
      <c r="E226" t="n">
        <v>247.47</v>
      </c>
      <c r="F226" t="n">
        <v>249.13</v>
      </c>
      <c r="G226" t="n">
        <v>72192504</v>
      </c>
      <c r="H226">
        <f>MAX(D226-E226,ABS(D226-F225),ABS(E226-F225))</f>
        <v/>
      </c>
      <c r="I226">
        <f>AVERAGE(F207:F226)</f>
        <v/>
      </c>
      <c r="J226">
        <f>STDEVP(F207:F226)</f>
        <v/>
      </c>
      <c r="K226">
        <f>AVERAGE(H207:H226)</f>
        <v/>
      </c>
      <c r="L226">
        <f>I226+2.0*J226</f>
        <v/>
      </c>
      <c r="M226">
        <f>I226-2.0*J226</f>
        <v/>
      </c>
      <c r="N226">
        <f>I226+1.5*K226</f>
        <v/>
      </c>
      <c r="O226">
        <f>I226-1.5*K226</f>
        <v/>
      </c>
      <c r="P226">
        <f>AND(L226&lt;N226,M226&gt;O226)</f>
        <v/>
      </c>
      <c r="Q226">
        <f>MAX(D207:D226)</f>
        <v/>
      </c>
      <c r="R226">
        <f>MIN(E207:E226)</f>
        <v/>
      </c>
      <c r="S226">
        <f>F226-((Q226+R226)/2+I226)/2</f>
        <v/>
      </c>
      <c r="T226">
        <f>FORECAST(A226,S207:S226,A207:A226)</f>
        <v/>
      </c>
    </row>
    <row r="227">
      <c r="A227" t="n">
        <v>225</v>
      </c>
      <c r="B227" s="2" t="n">
        <v>43061</v>
      </c>
      <c r="C227" t="n">
        <v>249.14</v>
      </c>
      <c r="D227" t="n">
        <v>249.28</v>
      </c>
      <c r="E227" t="n">
        <v>248.73</v>
      </c>
      <c r="F227" t="n">
        <v>248.91</v>
      </c>
      <c r="G227" t="n">
        <v>46996584</v>
      </c>
      <c r="H227">
        <f>MAX(D227-E227,ABS(D227-F226),ABS(E227-F226))</f>
        <v/>
      </c>
      <c r="I227">
        <f>AVERAGE(F208:F227)</f>
        <v/>
      </c>
      <c r="J227">
        <f>STDEVP(F208:F227)</f>
        <v/>
      </c>
      <c r="K227">
        <f>AVERAGE(H208:H227)</f>
        <v/>
      </c>
      <c r="L227">
        <f>I227+2.0*J227</f>
        <v/>
      </c>
      <c r="M227">
        <f>I227-2.0*J227</f>
        <v/>
      </c>
      <c r="N227">
        <f>I227+1.5*K227</f>
        <v/>
      </c>
      <c r="O227">
        <f>I227-1.5*K227</f>
        <v/>
      </c>
      <c r="P227">
        <f>AND(L227&lt;N227,M227&gt;O227)</f>
        <v/>
      </c>
      <c r="Q227">
        <f>MAX(D208:D227)</f>
        <v/>
      </c>
      <c r="R227">
        <f>MIN(E208:E227)</f>
        <v/>
      </c>
      <c r="S227">
        <f>F227-((Q227+R227)/2+I227)/2</f>
        <v/>
      </c>
      <c r="T227">
        <f>FORECAST(A227,S208:S227,A208:A227)</f>
        <v/>
      </c>
    </row>
    <row r="228">
      <c r="A228" t="n">
        <v>226</v>
      </c>
      <c r="B228" s="2" t="n">
        <v>43063</v>
      </c>
      <c r="C228" t="n">
        <v>249.45</v>
      </c>
      <c r="D228" t="n">
        <v>249.6</v>
      </c>
      <c r="E228" t="n">
        <v>249.29</v>
      </c>
      <c r="F228" t="n">
        <v>249.48</v>
      </c>
      <c r="G228" t="n">
        <v>29070892</v>
      </c>
      <c r="H228">
        <f>MAX(D228-E228,ABS(D228-F227),ABS(E228-F227))</f>
        <v/>
      </c>
      <c r="I228">
        <f>AVERAGE(F209:F228)</f>
        <v/>
      </c>
      <c r="J228">
        <f>STDEVP(F209:F228)</f>
        <v/>
      </c>
      <c r="K228">
        <f>AVERAGE(H209:H228)</f>
        <v/>
      </c>
      <c r="L228">
        <f>I228+2.0*J228</f>
        <v/>
      </c>
      <c r="M228">
        <f>I228-2.0*J228</f>
        <v/>
      </c>
      <c r="N228">
        <f>I228+1.5*K228</f>
        <v/>
      </c>
      <c r="O228">
        <f>I228-1.5*K228</f>
        <v/>
      </c>
      <c r="P228">
        <f>AND(L228&lt;N228,M228&gt;O228)</f>
        <v/>
      </c>
      <c r="Q228">
        <f>MAX(D209:D228)</f>
        <v/>
      </c>
      <c r="R228">
        <f>MIN(E209:E228)</f>
        <v/>
      </c>
      <c r="S228">
        <f>F228-((Q228+R228)/2+I228)/2</f>
        <v/>
      </c>
      <c r="T228">
        <f>FORECAST(A228,S209:S228,A209:A228)</f>
        <v/>
      </c>
    </row>
    <row r="229">
      <c r="A229" t="n">
        <v>227</v>
      </c>
      <c r="B229" s="2" t="n">
        <v>43066</v>
      </c>
      <c r="C229" t="n">
        <v>249.53</v>
      </c>
      <c r="D229" t="n">
        <v>249.86</v>
      </c>
      <c r="E229" t="n">
        <v>249.14</v>
      </c>
      <c r="F229" t="n">
        <v>249.36</v>
      </c>
      <c r="G229" t="n">
        <v>54553804</v>
      </c>
      <c r="H229">
        <f>MAX(D229-E229,ABS(D229-F228),ABS(E229-F228))</f>
        <v/>
      </c>
      <c r="I229">
        <f>AVERAGE(F210:F229)</f>
        <v/>
      </c>
      <c r="J229">
        <f>STDEVP(F210:F229)</f>
        <v/>
      </c>
      <c r="K229">
        <f>AVERAGE(H210:H229)</f>
        <v/>
      </c>
      <c r="L229">
        <f>I229+2.0*J229</f>
        <v/>
      </c>
      <c r="M229">
        <f>I229-2.0*J229</f>
        <v/>
      </c>
      <c r="N229">
        <f>I229+1.5*K229</f>
        <v/>
      </c>
      <c r="O229">
        <f>I229-1.5*K229</f>
        <v/>
      </c>
      <c r="P229">
        <f>AND(L229&lt;N229,M229&gt;O229)</f>
        <v/>
      </c>
      <c r="Q229">
        <f>MAX(D210:D229)</f>
        <v/>
      </c>
      <c r="R229">
        <f>MIN(E210:E229)</f>
        <v/>
      </c>
      <c r="S229">
        <f>F229-((Q229+R229)/2+I229)/2</f>
        <v/>
      </c>
      <c r="T229">
        <f>FORECAST(A229,S210:S229,A210:A229)</f>
        <v/>
      </c>
    </row>
    <row r="230">
      <c r="A230" t="n">
        <v>228</v>
      </c>
      <c r="B230" s="2" t="n">
        <v>43067</v>
      </c>
      <c r="C230" t="n">
        <v>249.87</v>
      </c>
      <c r="D230" t="n">
        <v>251.92</v>
      </c>
      <c r="E230" t="n">
        <v>249.77</v>
      </c>
      <c r="F230" t="n">
        <v>251.89</v>
      </c>
      <c r="G230" t="n">
        <v>103286312</v>
      </c>
      <c r="H230">
        <f>MAX(D230-E230,ABS(D230-F229),ABS(E230-F229))</f>
        <v/>
      </c>
      <c r="I230">
        <f>AVERAGE(F211:F230)</f>
        <v/>
      </c>
      <c r="J230">
        <f>STDEVP(F211:F230)</f>
        <v/>
      </c>
      <c r="K230">
        <f>AVERAGE(H211:H230)</f>
        <v/>
      </c>
      <c r="L230">
        <f>I230+2.0*J230</f>
        <v/>
      </c>
      <c r="M230">
        <f>I230-2.0*J230</f>
        <v/>
      </c>
      <c r="N230">
        <f>I230+1.5*K230</f>
        <v/>
      </c>
      <c r="O230">
        <f>I230-1.5*K230</f>
        <v/>
      </c>
      <c r="P230">
        <f>AND(L230&lt;N230,M230&gt;O230)</f>
        <v/>
      </c>
      <c r="Q230">
        <f>MAX(D211:D230)</f>
        <v/>
      </c>
      <c r="R230">
        <f>MIN(E211:E230)</f>
        <v/>
      </c>
      <c r="S230">
        <f>F230-((Q230+R230)/2+I230)/2</f>
        <v/>
      </c>
      <c r="T230">
        <f>FORECAST(A230,S211:S230,A211:A230)</f>
        <v/>
      </c>
    </row>
    <row r="231">
      <c r="A231" t="n">
        <v>229</v>
      </c>
      <c r="B231" s="2" t="n">
        <v>43068</v>
      </c>
      <c r="C231" t="n">
        <v>252.03</v>
      </c>
      <c r="D231" t="n">
        <v>252.62</v>
      </c>
      <c r="E231" t="n">
        <v>251.25</v>
      </c>
      <c r="F231" t="n">
        <v>251.74</v>
      </c>
      <c r="G231" t="n">
        <v>80891176</v>
      </c>
      <c r="H231">
        <f>MAX(D231-E231,ABS(D231-F230),ABS(E231-F230))</f>
        <v/>
      </c>
      <c r="I231">
        <f>AVERAGE(F212:F231)</f>
        <v/>
      </c>
      <c r="J231">
        <f>STDEVP(F212:F231)</f>
        <v/>
      </c>
      <c r="K231">
        <f>AVERAGE(H212:H231)</f>
        <v/>
      </c>
      <c r="L231">
        <f>I231+2.0*J231</f>
        <v/>
      </c>
      <c r="M231">
        <f>I231-2.0*J231</f>
        <v/>
      </c>
      <c r="N231">
        <f>I231+1.5*K231</f>
        <v/>
      </c>
      <c r="O231">
        <f>I231-1.5*K231</f>
        <v/>
      </c>
      <c r="P231">
        <f>AND(L231&lt;N231,M231&gt;O231)</f>
        <v/>
      </c>
      <c r="Q231">
        <f>MAX(D212:D231)</f>
        <v/>
      </c>
      <c r="R231">
        <f>MIN(E212:E231)</f>
        <v/>
      </c>
      <c r="S231">
        <f>F231-((Q231+R231)/2+I231)/2</f>
        <v/>
      </c>
      <c r="T231">
        <f>FORECAST(A231,S212:S231,A212:A231)</f>
        <v/>
      </c>
    </row>
    <row r="232">
      <c r="A232" t="n">
        <v>230</v>
      </c>
      <c r="B232" s="2" t="n">
        <v>43069</v>
      </c>
      <c r="C232" t="n">
        <v>252.74</v>
      </c>
      <c r="D232" t="n">
        <v>254.94</v>
      </c>
      <c r="E232" t="n">
        <v>252.66</v>
      </c>
      <c r="F232" t="n">
        <v>253.94</v>
      </c>
      <c r="G232" t="n">
        <v>133469840</v>
      </c>
      <c r="H232">
        <f>MAX(D232-E232,ABS(D232-F231),ABS(E232-F231))</f>
        <v/>
      </c>
      <c r="I232">
        <f>AVERAGE(F213:F232)</f>
        <v/>
      </c>
      <c r="J232">
        <f>STDEVP(F213:F232)</f>
        <v/>
      </c>
      <c r="K232">
        <f>AVERAGE(H213:H232)</f>
        <v/>
      </c>
      <c r="L232">
        <f>I232+2.0*J232</f>
        <v/>
      </c>
      <c r="M232">
        <f>I232-2.0*J232</f>
        <v/>
      </c>
      <c r="N232">
        <f>I232+1.5*K232</f>
        <v/>
      </c>
      <c r="O232">
        <f>I232-1.5*K232</f>
        <v/>
      </c>
      <c r="P232">
        <f>AND(L232&lt;N232,M232&gt;O232)</f>
        <v/>
      </c>
      <c r="Q232">
        <f>MAX(D213:D232)</f>
        <v/>
      </c>
      <c r="R232">
        <f>MIN(E213:E232)</f>
        <v/>
      </c>
      <c r="S232">
        <f>F232-((Q232+R232)/2+I232)/2</f>
        <v/>
      </c>
      <c r="T232">
        <f>FORECAST(A232,S213:S232,A213:A232)</f>
        <v/>
      </c>
    </row>
    <row r="233">
      <c r="A233" t="n">
        <v>231</v>
      </c>
      <c r="B233" s="2" t="n">
        <v>43070</v>
      </c>
      <c r="C233" t="n">
        <v>253.7</v>
      </c>
      <c r="D233" t="n">
        <v>254.23</v>
      </c>
      <c r="E233" t="n">
        <v>249.87</v>
      </c>
      <c r="F233" t="n">
        <v>253.41</v>
      </c>
      <c r="G233" t="n">
        <v>171557392</v>
      </c>
      <c r="H233">
        <f>MAX(D233-E233,ABS(D233-F232),ABS(E233-F232))</f>
        <v/>
      </c>
      <c r="I233">
        <f>AVERAGE(F214:F233)</f>
        <v/>
      </c>
      <c r="J233">
        <f>STDEVP(F214:F233)</f>
        <v/>
      </c>
      <c r="K233">
        <f>AVERAGE(H214:H233)</f>
        <v/>
      </c>
      <c r="L233">
        <f>I233+2.0*J233</f>
        <v/>
      </c>
      <c r="M233">
        <f>I233-2.0*J233</f>
        <v/>
      </c>
      <c r="N233">
        <f>I233+1.5*K233</f>
        <v/>
      </c>
      <c r="O233">
        <f>I233-1.5*K233</f>
        <v/>
      </c>
      <c r="P233">
        <f>AND(L233&lt;N233,M233&gt;O233)</f>
        <v/>
      </c>
      <c r="Q233">
        <f>MAX(D214:D233)</f>
        <v/>
      </c>
      <c r="R233">
        <f>MIN(E214:E233)</f>
        <v/>
      </c>
      <c r="S233">
        <f>F233-((Q233+R233)/2+I233)/2</f>
        <v/>
      </c>
      <c r="T233">
        <f>FORECAST(A233,S214:S233,A214:A233)</f>
        <v/>
      </c>
    </row>
    <row r="234">
      <c r="A234" t="n">
        <v>232</v>
      </c>
      <c r="B234" s="2" t="n">
        <v>43073</v>
      </c>
      <c r="C234" t="n">
        <v>255.19</v>
      </c>
      <c r="D234" t="n">
        <v>255.65</v>
      </c>
      <c r="E234" t="n">
        <v>253.05</v>
      </c>
      <c r="F234" t="n">
        <v>253.11</v>
      </c>
      <c r="G234" t="n">
        <v>98140184</v>
      </c>
      <c r="H234">
        <f>MAX(D234-E234,ABS(D234-F233),ABS(E234-F233))</f>
        <v/>
      </c>
      <c r="I234">
        <f>AVERAGE(F215:F234)</f>
        <v/>
      </c>
      <c r="J234">
        <f>STDEVP(F215:F234)</f>
        <v/>
      </c>
      <c r="K234">
        <f>AVERAGE(H215:H234)</f>
        <v/>
      </c>
      <c r="L234">
        <f>I234+2.0*J234</f>
        <v/>
      </c>
      <c r="M234">
        <f>I234-2.0*J234</f>
        <v/>
      </c>
      <c r="N234">
        <f>I234+1.5*K234</f>
        <v/>
      </c>
      <c r="O234">
        <f>I234-1.5*K234</f>
        <v/>
      </c>
      <c r="P234">
        <f>AND(L234&lt;N234,M234&gt;O234)</f>
        <v/>
      </c>
      <c r="Q234">
        <f>MAX(D215:D234)</f>
        <v/>
      </c>
      <c r="R234">
        <f>MIN(E215:E234)</f>
        <v/>
      </c>
      <c r="S234">
        <f>F234-((Q234+R234)/2+I234)/2</f>
        <v/>
      </c>
      <c r="T234">
        <f>FORECAST(A234,S215:S234,A215:A234)</f>
        <v/>
      </c>
    </row>
    <row r="235">
      <c r="A235" t="n">
        <v>233</v>
      </c>
      <c r="B235" s="2" t="n">
        <v>43074</v>
      </c>
      <c r="C235" t="n">
        <v>253.38</v>
      </c>
      <c r="D235" t="n">
        <v>254.07</v>
      </c>
      <c r="E235" t="n">
        <v>252.05</v>
      </c>
      <c r="F235" t="n">
        <v>252.2</v>
      </c>
      <c r="G235" t="n">
        <v>81394656</v>
      </c>
      <c r="H235">
        <f>MAX(D235-E235,ABS(D235-F234),ABS(E235-F234))</f>
        <v/>
      </c>
      <c r="I235">
        <f>AVERAGE(F216:F235)</f>
        <v/>
      </c>
      <c r="J235">
        <f>STDEVP(F216:F235)</f>
        <v/>
      </c>
      <c r="K235">
        <f>AVERAGE(H216:H235)</f>
        <v/>
      </c>
      <c r="L235">
        <f>I235+2.0*J235</f>
        <v/>
      </c>
      <c r="M235">
        <f>I235-2.0*J235</f>
        <v/>
      </c>
      <c r="N235">
        <f>I235+1.5*K235</f>
        <v/>
      </c>
      <c r="O235">
        <f>I235-1.5*K235</f>
        <v/>
      </c>
      <c r="P235">
        <f>AND(L235&lt;N235,M235&gt;O235)</f>
        <v/>
      </c>
      <c r="Q235">
        <f>MAX(D216:D235)</f>
        <v/>
      </c>
      <c r="R235">
        <f>MIN(E216:E235)</f>
        <v/>
      </c>
      <c r="S235">
        <f>F235-((Q235+R235)/2+I235)/2</f>
        <v/>
      </c>
      <c r="T235">
        <f>FORECAST(A235,S216:S235,A216:A235)</f>
        <v/>
      </c>
    </row>
    <row r="236">
      <c r="A236" t="n">
        <v>234</v>
      </c>
      <c r="B236" s="2" t="n">
        <v>43075</v>
      </c>
      <c r="C236" t="n">
        <v>251.89</v>
      </c>
      <c r="D236" t="n">
        <v>252.71</v>
      </c>
      <c r="E236" t="n">
        <v>251.74</v>
      </c>
      <c r="F236" t="n">
        <v>252.24</v>
      </c>
      <c r="G236" t="n">
        <v>79207304</v>
      </c>
      <c r="H236">
        <f>MAX(D236-E236,ABS(D236-F235),ABS(E236-F235))</f>
        <v/>
      </c>
      <c r="I236">
        <f>AVERAGE(F217:F236)</f>
        <v/>
      </c>
      <c r="J236">
        <f>STDEVP(F217:F236)</f>
        <v/>
      </c>
      <c r="K236">
        <f>AVERAGE(H217:H236)</f>
        <v/>
      </c>
      <c r="L236">
        <f>I236+2.0*J236</f>
        <v/>
      </c>
      <c r="M236">
        <f>I236-2.0*J236</f>
        <v/>
      </c>
      <c r="N236">
        <f>I236+1.5*K236</f>
        <v/>
      </c>
      <c r="O236">
        <f>I236-1.5*K236</f>
        <v/>
      </c>
      <c r="P236">
        <f>AND(L236&lt;N236,M236&gt;O236)</f>
        <v/>
      </c>
      <c r="Q236">
        <f>MAX(D217:D236)</f>
        <v/>
      </c>
      <c r="R236">
        <f>MIN(E217:E236)</f>
        <v/>
      </c>
      <c r="S236">
        <f>F236-((Q236+R236)/2+I236)/2</f>
        <v/>
      </c>
      <c r="T236">
        <f>FORECAST(A236,S217:S236,A217:A236)</f>
        <v/>
      </c>
    </row>
    <row r="237">
      <c r="A237" t="n">
        <v>235</v>
      </c>
      <c r="B237" s="2" t="n">
        <v>43076</v>
      </c>
      <c r="C237" t="n">
        <v>252.1</v>
      </c>
      <c r="D237" t="n">
        <v>253.38</v>
      </c>
      <c r="E237" t="n">
        <v>251.96</v>
      </c>
      <c r="F237" t="n">
        <v>253.04</v>
      </c>
      <c r="G237" t="n">
        <v>80584848</v>
      </c>
      <c r="H237">
        <f>MAX(D237-E237,ABS(D237-F236),ABS(E237-F236))</f>
        <v/>
      </c>
      <c r="I237">
        <f>AVERAGE(F218:F237)</f>
        <v/>
      </c>
      <c r="J237">
        <f>STDEVP(F218:F237)</f>
        <v/>
      </c>
      <c r="K237">
        <f>AVERAGE(H218:H237)</f>
        <v/>
      </c>
      <c r="L237">
        <f>I237+2.0*J237</f>
        <v/>
      </c>
      <c r="M237">
        <f>I237-2.0*J237</f>
        <v/>
      </c>
      <c r="N237">
        <f>I237+1.5*K237</f>
        <v/>
      </c>
      <c r="O237">
        <f>I237-1.5*K237</f>
        <v/>
      </c>
      <c r="P237">
        <f>AND(L237&lt;N237,M237&gt;O237)</f>
        <v/>
      </c>
      <c r="Q237">
        <f>MAX(D218:D237)</f>
        <v/>
      </c>
      <c r="R237">
        <f>MIN(E218:E237)</f>
        <v/>
      </c>
      <c r="S237">
        <f>F237-((Q237+R237)/2+I237)/2</f>
        <v/>
      </c>
      <c r="T237">
        <f>FORECAST(A237,S218:S237,A218:A237)</f>
        <v/>
      </c>
    </row>
    <row r="238">
      <c r="A238" t="n">
        <v>236</v>
      </c>
      <c r="B238" s="2" t="n">
        <v>43077</v>
      </c>
      <c r="C238" t="n">
        <v>253.92</v>
      </c>
      <c r="D238" t="n">
        <v>254.43</v>
      </c>
      <c r="E238" t="n">
        <v>253</v>
      </c>
      <c r="F238" t="n">
        <v>254.42</v>
      </c>
      <c r="G238" t="n">
        <v>79901608</v>
      </c>
      <c r="H238">
        <f>MAX(D238-E238,ABS(D238-F237),ABS(E238-F237))</f>
        <v/>
      </c>
      <c r="I238">
        <f>AVERAGE(F219:F238)</f>
        <v/>
      </c>
      <c r="J238">
        <f>STDEVP(F219:F238)</f>
        <v/>
      </c>
      <c r="K238">
        <f>AVERAGE(H219:H238)</f>
        <v/>
      </c>
      <c r="L238">
        <f>I238+2.0*J238</f>
        <v/>
      </c>
      <c r="M238">
        <f>I238-2.0*J238</f>
        <v/>
      </c>
      <c r="N238">
        <f>I238+1.5*K238</f>
        <v/>
      </c>
      <c r="O238">
        <f>I238-1.5*K238</f>
        <v/>
      </c>
      <c r="P238">
        <f>AND(L238&lt;N238,M238&gt;O238)</f>
        <v/>
      </c>
      <c r="Q238">
        <f>MAX(D219:D238)</f>
        <v/>
      </c>
      <c r="R238">
        <f>MIN(E219:E238)</f>
        <v/>
      </c>
      <c r="S238">
        <f>F238-((Q238+R238)/2+I238)/2</f>
        <v/>
      </c>
      <c r="T238">
        <f>FORECAST(A238,S219:S238,A219:A238)</f>
        <v/>
      </c>
    </row>
    <row r="239">
      <c r="A239" t="n">
        <v>237</v>
      </c>
      <c r="B239" s="2" t="n">
        <v>43080</v>
      </c>
      <c r="C239" t="n">
        <v>254.49</v>
      </c>
      <c r="D239" t="n">
        <v>255.25</v>
      </c>
      <c r="E239" t="n">
        <v>254.39</v>
      </c>
      <c r="F239" t="n">
        <v>255.19</v>
      </c>
      <c r="G239" t="n">
        <v>86699232</v>
      </c>
      <c r="H239">
        <f>MAX(D239-E239,ABS(D239-F238),ABS(E239-F238))</f>
        <v/>
      </c>
      <c r="I239">
        <f>AVERAGE(F220:F239)</f>
        <v/>
      </c>
      <c r="J239">
        <f>STDEVP(F220:F239)</f>
        <v/>
      </c>
      <c r="K239">
        <f>AVERAGE(H220:H239)</f>
        <v/>
      </c>
      <c r="L239">
        <f>I239+2.0*J239</f>
        <v/>
      </c>
      <c r="M239">
        <f>I239-2.0*J239</f>
        <v/>
      </c>
      <c r="N239">
        <f>I239+1.5*K239</f>
        <v/>
      </c>
      <c r="O239">
        <f>I239-1.5*K239</f>
        <v/>
      </c>
      <c r="P239">
        <f>AND(L239&lt;N239,M239&gt;O239)</f>
        <v/>
      </c>
      <c r="Q239">
        <f>MAX(D220:D239)</f>
        <v/>
      </c>
      <c r="R239">
        <f>MIN(E220:E239)</f>
        <v/>
      </c>
      <c r="S239">
        <f>F239-((Q239+R239)/2+I239)/2</f>
        <v/>
      </c>
      <c r="T239">
        <f>FORECAST(A239,S220:S239,A220:A239)</f>
        <v/>
      </c>
    </row>
    <row r="240">
      <c r="A240" t="n">
        <v>238</v>
      </c>
      <c r="B240" s="2" t="n">
        <v>43081</v>
      </c>
      <c r="C240" t="n">
        <v>255.43</v>
      </c>
      <c r="D240" t="n">
        <v>256.15</v>
      </c>
      <c r="E240" t="n">
        <v>255.22</v>
      </c>
      <c r="F240" t="n">
        <v>255.64</v>
      </c>
      <c r="G240" t="n">
        <v>88909792</v>
      </c>
      <c r="H240">
        <f>MAX(D240-E240,ABS(D240-F239),ABS(E240-F239))</f>
        <v/>
      </c>
      <c r="I240">
        <f>AVERAGE(F221:F240)</f>
        <v/>
      </c>
      <c r="J240">
        <f>STDEVP(F221:F240)</f>
        <v/>
      </c>
      <c r="K240">
        <f>AVERAGE(H221:H240)</f>
        <v/>
      </c>
      <c r="L240">
        <f>I240+2.0*J240</f>
        <v/>
      </c>
      <c r="M240">
        <f>I240-2.0*J240</f>
        <v/>
      </c>
      <c r="N240">
        <f>I240+1.5*K240</f>
        <v/>
      </c>
      <c r="O240">
        <f>I240-1.5*K240</f>
        <v/>
      </c>
      <c r="P240">
        <f>AND(L240&lt;N240,M240&gt;O240)</f>
        <v/>
      </c>
      <c r="Q240">
        <f>MAX(D221:D240)</f>
        <v/>
      </c>
      <c r="R240">
        <f>MIN(E221:E240)</f>
        <v/>
      </c>
      <c r="S240">
        <f>F240-((Q240+R240)/2+I240)/2</f>
        <v/>
      </c>
      <c r="T240">
        <f>FORECAST(A240,S221:S240,A221:A240)</f>
        <v/>
      </c>
    </row>
    <row r="241">
      <c r="A241" t="n">
        <v>239</v>
      </c>
      <c r="B241" s="2" t="n">
        <v>43082</v>
      </c>
      <c r="C241" t="n">
        <v>255.9</v>
      </c>
      <c r="D241" t="n">
        <v>256.38</v>
      </c>
      <c r="E241" t="n">
        <v>255.51</v>
      </c>
      <c r="F241" t="n">
        <v>255.61</v>
      </c>
      <c r="G241" t="n">
        <v>107391488</v>
      </c>
      <c r="H241">
        <f>MAX(D241-E241,ABS(D241-F240),ABS(E241-F240))</f>
        <v/>
      </c>
      <c r="I241">
        <f>AVERAGE(F222:F241)</f>
        <v/>
      </c>
      <c r="J241">
        <f>STDEVP(F222:F241)</f>
        <v/>
      </c>
      <c r="K241">
        <f>AVERAGE(H222:H241)</f>
        <v/>
      </c>
      <c r="L241">
        <f>I241+2.0*J241</f>
        <v/>
      </c>
      <c r="M241">
        <f>I241-2.0*J241</f>
        <v/>
      </c>
      <c r="N241">
        <f>I241+1.5*K241</f>
        <v/>
      </c>
      <c r="O241">
        <f>I241-1.5*K241</f>
        <v/>
      </c>
      <c r="P241">
        <f>AND(L241&lt;N241,M241&gt;O241)</f>
        <v/>
      </c>
      <c r="Q241">
        <f>MAX(D222:D241)</f>
        <v/>
      </c>
      <c r="R241">
        <f>MIN(E222:E241)</f>
        <v/>
      </c>
      <c r="S241">
        <f>F241-((Q241+R241)/2+I241)/2</f>
        <v/>
      </c>
      <c r="T241">
        <f>FORECAST(A241,S222:S241,A222:A241)</f>
        <v/>
      </c>
    </row>
    <row r="242">
      <c r="A242" t="n">
        <v>240</v>
      </c>
      <c r="B242" s="2" t="n">
        <v>43083</v>
      </c>
      <c r="C242" t="n">
        <v>255.93</v>
      </c>
      <c r="D242" t="n">
        <v>256.06</v>
      </c>
      <c r="E242" t="n">
        <v>254.51</v>
      </c>
      <c r="F242" t="n">
        <v>254.56</v>
      </c>
      <c r="G242" t="n">
        <v>105055176</v>
      </c>
      <c r="H242">
        <f>MAX(D242-E242,ABS(D242-F241),ABS(E242-F241))</f>
        <v/>
      </c>
      <c r="I242">
        <f>AVERAGE(F223:F242)</f>
        <v/>
      </c>
      <c r="J242">
        <f>STDEVP(F223:F242)</f>
        <v/>
      </c>
      <c r="K242">
        <f>AVERAGE(H223:H242)</f>
        <v/>
      </c>
      <c r="L242">
        <f>I242+2.0*J242</f>
        <v/>
      </c>
      <c r="M242">
        <f>I242-2.0*J242</f>
        <v/>
      </c>
      <c r="N242">
        <f>I242+1.5*K242</f>
        <v/>
      </c>
      <c r="O242">
        <f>I242-1.5*K242</f>
        <v/>
      </c>
      <c r="P242">
        <f>AND(L242&lt;N242,M242&gt;O242)</f>
        <v/>
      </c>
      <c r="Q242">
        <f>MAX(D223:D242)</f>
        <v/>
      </c>
      <c r="R242">
        <f>MIN(E223:E242)</f>
        <v/>
      </c>
      <c r="S242">
        <f>F242-((Q242+R242)/2+I242)/2</f>
        <v/>
      </c>
      <c r="T242">
        <f>FORECAST(A242,S223:S242,A223:A242)</f>
        <v/>
      </c>
    </row>
    <row r="243">
      <c r="A243" t="n">
        <v>241</v>
      </c>
      <c r="B243" s="2" t="n">
        <v>43084</v>
      </c>
      <c r="C243" t="n">
        <v>255.66</v>
      </c>
      <c r="D243" t="n">
        <v>257.19</v>
      </c>
      <c r="E243" t="n">
        <v>255.6</v>
      </c>
      <c r="F243" t="n">
        <v>256.68</v>
      </c>
      <c r="G243" t="n">
        <v>150146832</v>
      </c>
      <c r="H243">
        <f>MAX(D243-E243,ABS(D243-F242),ABS(E243-F242))</f>
        <v/>
      </c>
      <c r="I243">
        <f>AVERAGE(F224:F243)</f>
        <v/>
      </c>
      <c r="J243">
        <f>STDEVP(F224:F243)</f>
        <v/>
      </c>
      <c r="K243">
        <f>AVERAGE(H224:H243)</f>
        <v/>
      </c>
      <c r="L243">
        <f>I243+2.0*J243</f>
        <v/>
      </c>
      <c r="M243">
        <f>I243-2.0*J243</f>
        <v/>
      </c>
      <c r="N243">
        <f>I243+1.5*K243</f>
        <v/>
      </c>
      <c r="O243">
        <f>I243-1.5*K243</f>
        <v/>
      </c>
      <c r="P243">
        <f>AND(L243&lt;N243,M243&gt;O243)</f>
        <v/>
      </c>
      <c r="Q243">
        <f>MAX(D224:D243)</f>
        <v/>
      </c>
      <c r="R243">
        <f>MIN(E224:E243)</f>
        <v/>
      </c>
      <c r="S243">
        <f>F243-((Q243+R243)/2+I243)/2</f>
        <v/>
      </c>
      <c r="T243">
        <f>FORECAST(A243,S224:S243,A224:A243)</f>
        <v/>
      </c>
    </row>
    <row r="244">
      <c r="A244" t="n">
        <v>242</v>
      </c>
      <c r="B244" s="2" t="n">
        <v>43087</v>
      </c>
      <c r="C244" t="n">
        <v>258.21</v>
      </c>
      <c r="D244" t="n">
        <v>258.7</v>
      </c>
      <c r="E244" t="n">
        <v>258.1</v>
      </c>
      <c r="F244" t="n">
        <v>258.31</v>
      </c>
      <c r="G244" t="n">
        <v>86856320</v>
      </c>
      <c r="H244">
        <f>MAX(D244-E244,ABS(D244-F243),ABS(E244-F243))</f>
        <v/>
      </c>
      <c r="I244">
        <f>AVERAGE(F225:F244)</f>
        <v/>
      </c>
      <c r="J244">
        <f>STDEVP(F225:F244)</f>
        <v/>
      </c>
      <c r="K244">
        <f>AVERAGE(H225:H244)</f>
        <v/>
      </c>
      <c r="L244">
        <f>I244+2.0*J244</f>
        <v/>
      </c>
      <c r="M244">
        <f>I244-2.0*J244</f>
        <v/>
      </c>
      <c r="N244">
        <f>I244+1.5*K244</f>
        <v/>
      </c>
      <c r="O244">
        <f>I244-1.5*K244</f>
        <v/>
      </c>
      <c r="P244">
        <f>AND(L244&lt;N244,M244&gt;O244)</f>
        <v/>
      </c>
      <c r="Q244">
        <f>MAX(D225:D244)</f>
        <v/>
      </c>
      <c r="R244">
        <f>MIN(E225:E244)</f>
        <v/>
      </c>
      <c r="S244">
        <f>F244-((Q244+R244)/2+I244)/2</f>
        <v/>
      </c>
      <c r="T244">
        <f>FORECAST(A244,S225:S244,A225:A244)</f>
        <v/>
      </c>
    </row>
    <row r="245">
      <c r="A245" t="n">
        <v>243</v>
      </c>
      <c r="B245" s="2" t="n">
        <v>43088</v>
      </c>
      <c r="C245" t="n">
        <v>258.58</v>
      </c>
      <c r="D245" t="n">
        <v>258.63</v>
      </c>
      <c r="E245" t="n">
        <v>257.24</v>
      </c>
      <c r="F245" t="n">
        <v>257.32</v>
      </c>
      <c r="G245" t="n">
        <v>85536976</v>
      </c>
      <c r="H245">
        <f>MAX(D245-E245,ABS(D245-F244),ABS(E245-F244))</f>
        <v/>
      </c>
      <c r="I245">
        <f>AVERAGE(F226:F245)</f>
        <v/>
      </c>
      <c r="J245">
        <f>STDEVP(F226:F245)</f>
        <v/>
      </c>
      <c r="K245">
        <f>AVERAGE(H226:H245)</f>
        <v/>
      </c>
      <c r="L245">
        <f>I245+2.0*J245</f>
        <v/>
      </c>
      <c r="M245">
        <f>I245-2.0*J245</f>
        <v/>
      </c>
      <c r="N245">
        <f>I245+1.5*K245</f>
        <v/>
      </c>
      <c r="O245">
        <f>I245-1.5*K245</f>
        <v/>
      </c>
      <c r="P245">
        <f>AND(L245&lt;N245,M245&gt;O245)</f>
        <v/>
      </c>
      <c r="Q245">
        <f>MAX(D226:D245)</f>
        <v/>
      </c>
      <c r="R245">
        <f>MIN(E226:E245)</f>
        <v/>
      </c>
      <c r="S245">
        <f>F245-((Q245+R245)/2+I245)/2</f>
        <v/>
      </c>
      <c r="T245">
        <f>FORECAST(A245,S226:S245,A226:A245)</f>
        <v/>
      </c>
    </row>
    <row r="246">
      <c r="A246" t="n">
        <v>244</v>
      </c>
      <c r="B246" s="2" t="n">
        <v>43089</v>
      </c>
      <c r="C246" t="n">
        <v>258.38</v>
      </c>
      <c r="D246" t="n">
        <v>258.44</v>
      </c>
      <c r="E246" t="n">
        <v>256.86</v>
      </c>
      <c r="F246" t="n">
        <v>257.18</v>
      </c>
      <c r="G246" t="n">
        <v>79690000</v>
      </c>
      <c r="H246">
        <f>MAX(D246-E246,ABS(D246-F245),ABS(E246-F245))</f>
        <v/>
      </c>
      <c r="I246">
        <f>AVERAGE(F227:F246)</f>
        <v/>
      </c>
      <c r="J246">
        <f>STDEVP(F227:F246)</f>
        <v/>
      </c>
      <c r="K246">
        <f>AVERAGE(H227:H246)</f>
        <v/>
      </c>
      <c r="L246">
        <f>I246+2.0*J246</f>
        <v/>
      </c>
      <c r="M246">
        <f>I246-2.0*J246</f>
        <v/>
      </c>
      <c r="N246">
        <f>I246+1.5*K246</f>
        <v/>
      </c>
      <c r="O246">
        <f>I246-1.5*K246</f>
        <v/>
      </c>
      <c r="P246">
        <f>AND(L246&lt;N246,M246&gt;O246)</f>
        <v/>
      </c>
      <c r="Q246">
        <f>MAX(D227:D246)</f>
        <v/>
      </c>
      <c r="R246">
        <f>MIN(E227:E246)</f>
        <v/>
      </c>
      <c r="S246">
        <f>F246-((Q246+R246)/2+I246)/2</f>
        <v/>
      </c>
      <c r="T246">
        <f>FORECAST(A246,S227:S246,A227:A246)</f>
        <v/>
      </c>
    </row>
    <row r="247">
      <c r="A247" t="n">
        <v>245</v>
      </c>
      <c r="B247" s="2" t="n">
        <v>43090</v>
      </c>
      <c r="C247" t="n">
        <v>257.87</v>
      </c>
      <c r="D247" t="n">
        <v>258.49</v>
      </c>
      <c r="E247" t="n">
        <v>257.44</v>
      </c>
      <c r="F247" t="n">
        <v>257.71</v>
      </c>
      <c r="G247" t="n">
        <v>69598728</v>
      </c>
      <c r="H247">
        <f>MAX(D247-E247,ABS(D247-F246),ABS(E247-F246))</f>
        <v/>
      </c>
      <c r="I247">
        <f>AVERAGE(F228:F247)</f>
        <v/>
      </c>
      <c r="J247">
        <f>STDEVP(F228:F247)</f>
        <v/>
      </c>
      <c r="K247">
        <f>AVERAGE(H228:H247)</f>
        <v/>
      </c>
      <c r="L247">
        <f>I247+2.0*J247</f>
        <v/>
      </c>
      <c r="M247">
        <f>I247-2.0*J247</f>
        <v/>
      </c>
      <c r="N247">
        <f>I247+1.5*K247</f>
        <v/>
      </c>
      <c r="O247">
        <f>I247-1.5*K247</f>
        <v/>
      </c>
      <c r="P247">
        <f>AND(L247&lt;N247,M247&gt;O247)</f>
        <v/>
      </c>
      <c r="Q247">
        <f>MAX(D228:D247)</f>
        <v/>
      </c>
      <c r="R247">
        <f>MIN(E228:E247)</f>
        <v/>
      </c>
      <c r="S247">
        <f>F247-((Q247+R247)/2+I247)/2</f>
        <v/>
      </c>
      <c r="T247">
        <f>FORECAST(A247,S228:S247,A228:A247)</f>
        <v/>
      </c>
    </row>
    <row r="248">
      <c r="A248" t="n">
        <v>246</v>
      </c>
      <c r="B248" s="2" t="n">
        <v>43091</v>
      </c>
      <c r="C248" t="n">
        <v>257.73</v>
      </c>
      <c r="D248" t="n">
        <v>257.77</v>
      </c>
      <c r="E248" t="n">
        <v>257.06</v>
      </c>
      <c r="F248" t="n">
        <v>257.65</v>
      </c>
      <c r="G248" t="n">
        <v>81734768</v>
      </c>
      <c r="H248">
        <f>MAX(D248-E248,ABS(D248-F247),ABS(E248-F247))</f>
        <v/>
      </c>
      <c r="I248">
        <f>AVERAGE(F229:F248)</f>
        <v/>
      </c>
      <c r="J248">
        <f>STDEVP(F229:F248)</f>
        <v/>
      </c>
      <c r="K248">
        <f>AVERAGE(H229:H248)</f>
        <v/>
      </c>
      <c r="L248">
        <f>I248+2.0*J248</f>
        <v/>
      </c>
      <c r="M248">
        <f>I248-2.0*J248</f>
        <v/>
      </c>
      <c r="N248">
        <f>I248+1.5*K248</f>
        <v/>
      </c>
      <c r="O248">
        <f>I248-1.5*K248</f>
        <v/>
      </c>
      <c r="P248">
        <f>AND(L248&lt;N248,M248&gt;O248)</f>
        <v/>
      </c>
      <c r="Q248">
        <f>MAX(D229:D248)</f>
        <v/>
      </c>
      <c r="R248">
        <f>MIN(E229:E248)</f>
        <v/>
      </c>
      <c r="S248">
        <f>F248-((Q248+R248)/2+I248)/2</f>
        <v/>
      </c>
      <c r="T248">
        <f>FORECAST(A248,S229:S248,A229:A248)</f>
        <v/>
      </c>
    </row>
    <row r="249">
      <c r="A249" t="n">
        <v>247</v>
      </c>
      <c r="B249" s="2" t="n">
        <v>43095</v>
      </c>
      <c r="C249" t="n">
        <v>257.2</v>
      </c>
      <c r="D249" t="n">
        <v>257.58</v>
      </c>
      <c r="E249" t="n">
        <v>257.04</v>
      </c>
      <c r="F249" t="n">
        <v>257.34</v>
      </c>
      <c r="G249" t="n">
        <v>46976656</v>
      </c>
      <c r="H249">
        <f>MAX(D249-E249,ABS(D249-F248),ABS(E249-F248))</f>
        <v/>
      </c>
      <c r="I249">
        <f>AVERAGE(F230:F249)</f>
        <v/>
      </c>
      <c r="J249">
        <f>STDEVP(F230:F249)</f>
        <v/>
      </c>
      <c r="K249">
        <f>AVERAGE(H230:H249)</f>
        <v/>
      </c>
      <c r="L249">
        <f>I249+2.0*J249</f>
        <v/>
      </c>
      <c r="M249">
        <f>I249-2.0*J249</f>
        <v/>
      </c>
      <c r="N249">
        <f>I249+1.5*K249</f>
        <v/>
      </c>
      <c r="O249">
        <f>I249-1.5*K249</f>
        <v/>
      </c>
      <c r="P249">
        <f>AND(L249&lt;N249,M249&gt;O249)</f>
        <v/>
      </c>
      <c r="Q249">
        <f>MAX(D230:D249)</f>
        <v/>
      </c>
      <c r="R249">
        <f>MIN(E230:E249)</f>
        <v/>
      </c>
      <c r="S249">
        <f>F249-((Q249+R249)/2+I249)/2</f>
        <v/>
      </c>
      <c r="T249">
        <f>FORECAST(A249,S230:S249,A230:A249)</f>
        <v/>
      </c>
    </row>
    <row r="250">
      <c r="A250" t="n">
        <v>248</v>
      </c>
      <c r="B250" s="2" t="n">
        <v>43096</v>
      </c>
      <c r="C250" t="n">
        <v>257.52</v>
      </c>
      <c r="D250" t="n">
        <v>257.86</v>
      </c>
      <c r="E250" t="n">
        <v>257.16</v>
      </c>
      <c r="F250" t="n">
        <v>257.46</v>
      </c>
      <c r="G250" t="n">
        <v>59962032</v>
      </c>
      <c r="H250">
        <f>MAX(D250-E250,ABS(D250-F249),ABS(E250-F249))</f>
        <v/>
      </c>
      <c r="I250">
        <f>AVERAGE(F231:F250)</f>
        <v/>
      </c>
      <c r="J250">
        <f>STDEVP(F231:F250)</f>
        <v/>
      </c>
      <c r="K250">
        <f>AVERAGE(H231:H250)</f>
        <v/>
      </c>
      <c r="L250">
        <f>I250+2.0*J250</f>
        <v/>
      </c>
      <c r="M250">
        <f>I250-2.0*J250</f>
        <v/>
      </c>
      <c r="N250">
        <f>I250+1.5*K250</f>
        <v/>
      </c>
      <c r="O250">
        <f>I250-1.5*K250</f>
        <v/>
      </c>
      <c r="P250">
        <f>AND(L250&lt;N250,M250&gt;O250)</f>
        <v/>
      </c>
      <c r="Q250">
        <f>MAX(D231:D250)</f>
        <v/>
      </c>
      <c r="R250">
        <f>MIN(E231:E250)</f>
        <v/>
      </c>
      <c r="S250">
        <f>F250-((Q250+R250)/2+I250)/2</f>
        <v/>
      </c>
      <c r="T250">
        <f>FORECAST(A250,S231:S250,A231:A250)</f>
        <v/>
      </c>
    </row>
    <row r="251">
      <c r="A251" t="n">
        <v>249</v>
      </c>
      <c r="B251" s="2" t="n">
        <v>43097</v>
      </c>
      <c r="C251" t="n">
        <v>258.01</v>
      </c>
      <c r="D251" t="n">
        <v>258.04</v>
      </c>
      <c r="E251" t="n">
        <v>257.59</v>
      </c>
      <c r="F251" t="n">
        <v>257.99</v>
      </c>
      <c r="G251" t="n">
        <v>46843448</v>
      </c>
      <c r="H251">
        <f>MAX(D251-E251,ABS(D251-F250),ABS(E251-F250))</f>
        <v/>
      </c>
      <c r="I251">
        <f>AVERAGE(F232:F251)</f>
        <v/>
      </c>
      <c r="J251">
        <f>STDEVP(F232:F251)</f>
        <v/>
      </c>
      <c r="K251">
        <f>AVERAGE(H232:H251)</f>
        <v/>
      </c>
      <c r="L251">
        <f>I251+2.0*J251</f>
        <v/>
      </c>
      <c r="M251">
        <f>I251-2.0*J251</f>
        <v/>
      </c>
      <c r="N251">
        <f>I251+1.5*K251</f>
        <v/>
      </c>
      <c r="O251">
        <f>I251-1.5*K251</f>
        <v/>
      </c>
      <c r="P251">
        <f>AND(L251&lt;N251,M251&gt;O251)</f>
        <v/>
      </c>
      <c r="Q251">
        <f>MAX(D232:D251)</f>
        <v/>
      </c>
      <c r="R251">
        <f>MIN(E232:E251)</f>
        <v/>
      </c>
      <c r="S251">
        <f>F251-((Q251+R251)/2+I251)/2</f>
        <v/>
      </c>
      <c r="T251">
        <f>FORECAST(A251,S232:S251,A232:A251)</f>
        <v/>
      </c>
    </row>
    <row r="252">
      <c r="A252" t="n">
        <v>250</v>
      </c>
      <c r="B252" s="2" t="n">
        <v>43098</v>
      </c>
      <c r="C252" t="n">
        <v>258.63</v>
      </c>
      <c r="D252" t="n">
        <v>258.65</v>
      </c>
      <c r="E252" t="n">
        <v>256.81</v>
      </c>
      <c r="F252" t="n">
        <v>257.02</v>
      </c>
      <c r="G252" t="n">
        <v>99683152</v>
      </c>
      <c r="H252">
        <f>MAX(D252-E252,ABS(D252-F251),ABS(E252-F251))</f>
        <v/>
      </c>
      <c r="I252">
        <f>AVERAGE(F233:F252)</f>
        <v/>
      </c>
      <c r="J252">
        <f>STDEVP(F233:F252)</f>
        <v/>
      </c>
      <c r="K252">
        <f>AVERAGE(H233:H252)</f>
        <v/>
      </c>
      <c r="L252">
        <f>I252+2.0*J252</f>
        <v/>
      </c>
      <c r="M252">
        <f>I252-2.0*J252</f>
        <v/>
      </c>
      <c r="N252">
        <f>I252+1.5*K252</f>
        <v/>
      </c>
      <c r="O252">
        <f>I252-1.5*K252</f>
        <v/>
      </c>
      <c r="P252">
        <f>AND(L252&lt;N252,M252&gt;O252)</f>
        <v/>
      </c>
      <c r="Q252">
        <f>MAX(D233:D252)</f>
        <v/>
      </c>
      <c r="R252">
        <f>MIN(E233:E252)</f>
        <v/>
      </c>
      <c r="S252">
        <f>F252-((Q252+R252)/2+I252)/2</f>
        <v/>
      </c>
      <c r="T252">
        <f>FORECAST(A252,S233:S252,A233:A252)</f>
        <v/>
      </c>
    </row>
    <row r="253">
      <c r="A253" t="n">
        <v>251</v>
      </c>
      <c r="B253" s="2" t="n">
        <v>43102</v>
      </c>
      <c r="C253" t="n">
        <v>257.96</v>
      </c>
      <c r="D253" t="n">
        <v>258.9</v>
      </c>
      <c r="E253" t="n">
        <v>257.54</v>
      </c>
      <c r="F253" t="n">
        <v>258.86</v>
      </c>
      <c r="G253" t="n">
        <v>89973440</v>
      </c>
      <c r="H253">
        <f>MAX(D253-E253,ABS(D253-F252),ABS(E253-F252))</f>
        <v/>
      </c>
      <c r="I253">
        <f>AVERAGE(F234:F253)</f>
        <v/>
      </c>
      <c r="J253">
        <f>STDEVP(F234:F253)</f>
        <v/>
      </c>
      <c r="K253">
        <f>AVERAGE(H234:H253)</f>
        <v/>
      </c>
      <c r="L253">
        <f>I253+2.0*J253</f>
        <v/>
      </c>
      <c r="M253">
        <f>I253-2.0*J253</f>
        <v/>
      </c>
      <c r="N253">
        <f>I253+1.5*K253</f>
        <v/>
      </c>
      <c r="O253">
        <f>I253-1.5*K253</f>
        <v/>
      </c>
      <c r="P253">
        <f>AND(L253&lt;N253,M253&gt;O253)</f>
        <v/>
      </c>
      <c r="Q253">
        <f>MAX(D234:D253)</f>
        <v/>
      </c>
      <c r="R253">
        <f>MIN(E234:E253)</f>
        <v/>
      </c>
      <c r="S253">
        <f>F253-((Q253+R253)/2+I253)/2</f>
        <v/>
      </c>
      <c r="T253">
        <f>FORECAST(A253,S234:S253,A234:A253)</f>
        <v/>
      </c>
    </row>
    <row r="254">
      <c r="A254" t="n">
        <v>252</v>
      </c>
      <c r="B254" s="2" t="n">
        <v>43103</v>
      </c>
      <c r="C254" t="n">
        <v>259.04</v>
      </c>
      <c r="D254" t="n">
        <v>260.66</v>
      </c>
      <c r="E254" t="n">
        <v>259.04</v>
      </c>
      <c r="F254" t="n">
        <v>260.5</v>
      </c>
      <c r="G254" t="n">
        <v>93518840</v>
      </c>
      <c r="H254">
        <f>MAX(D254-E254,ABS(D254-F253),ABS(E254-F253))</f>
        <v/>
      </c>
      <c r="I254">
        <f>AVERAGE(F235:F254)</f>
        <v/>
      </c>
      <c r="J254">
        <f>STDEVP(F235:F254)</f>
        <v/>
      </c>
      <c r="K254">
        <f>AVERAGE(H235:H254)</f>
        <v/>
      </c>
      <c r="L254">
        <f>I254+2.0*J254</f>
        <v/>
      </c>
      <c r="M254">
        <f>I254-2.0*J254</f>
        <v/>
      </c>
      <c r="N254">
        <f>I254+1.5*K254</f>
        <v/>
      </c>
      <c r="O254">
        <f>I254-1.5*K254</f>
        <v/>
      </c>
      <c r="P254">
        <f>AND(L254&lt;N254,M254&gt;O254)</f>
        <v/>
      </c>
      <c r="Q254">
        <f>MAX(D235:D254)</f>
        <v/>
      </c>
      <c r="R254">
        <f>MIN(E235:E254)</f>
        <v/>
      </c>
      <c r="S254">
        <f>F254-((Q254+R254)/2+I254)/2</f>
        <v/>
      </c>
      <c r="T254">
        <f>FORECAST(A254,S235:S254,A235:A254)</f>
        <v/>
      </c>
    </row>
    <row r="255">
      <c r="A255" t="n">
        <v>253</v>
      </c>
      <c r="B255" s="2" t="n">
        <v>43104</v>
      </c>
      <c r="C255" t="n">
        <v>261.2</v>
      </c>
      <c r="D255" t="n">
        <v>262.12</v>
      </c>
      <c r="E255" t="n">
        <v>260.57</v>
      </c>
      <c r="F255" t="n">
        <v>261.59</v>
      </c>
      <c r="G255" t="n">
        <v>83723648</v>
      </c>
      <c r="H255">
        <f>MAX(D255-E255,ABS(D255-F254),ABS(E255-F254))</f>
        <v/>
      </c>
      <c r="I255">
        <f>AVERAGE(F236:F255)</f>
        <v/>
      </c>
      <c r="J255">
        <f>STDEVP(F236:F255)</f>
        <v/>
      </c>
      <c r="K255">
        <f>AVERAGE(H236:H255)</f>
        <v/>
      </c>
      <c r="L255">
        <f>I255+2.0*J255</f>
        <v/>
      </c>
      <c r="M255">
        <f>I255-2.0*J255</f>
        <v/>
      </c>
      <c r="N255">
        <f>I255+1.5*K255</f>
        <v/>
      </c>
      <c r="O255">
        <f>I255-1.5*K255</f>
        <v/>
      </c>
      <c r="P255">
        <f>AND(L255&lt;N255,M255&gt;O255)</f>
        <v/>
      </c>
      <c r="Q255">
        <f>MAX(D236:D255)</f>
        <v/>
      </c>
      <c r="R255">
        <f>MIN(E236:E255)</f>
        <v/>
      </c>
      <c r="S255">
        <f>F255-((Q255+R255)/2+I255)/2</f>
        <v/>
      </c>
      <c r="T255">
        <f>FORECAST(A255,S236:S255,A236:A255)</f>
        <v/>
      </c>
    </row>
    <row r="256">
      <c r="A256" t="n">
        <v>254</v>
      </c>
      <c r="B256" s="2" t="n">
        <v>43105</v>
      </c>
      <c r="C256" t="n">
        <v>262.46</v>
      </c>
      <c r="D256" t="n">
        <v>263.47</v>
      </c>
      <c r="E256" t="n">
        <v>261.92</v>
      </c>
      <c r="F256" t="n">
        <v>263.34</v>
      </c>
      <c r="G256" t="n">
        <v>86721784</v>
      </c>
      <c r="H256">
        <f>MAX(D256-E256,ABS(D256-F255),ABS(E256-F255))</f>
        <v/>
      </c>
      <c r="I256">
        <f>AVERAGE(F237:F256)</f>
        <v/>
      </c>
      <c r="J256">
        <f>STDEVP(F237:F256)</f>
        <v/>
      </c>
      <c r="K256">
        <f>AVERAGE(H237:H256)</f>
        <v/>
      </c>
      <c r="L256">
        <f>I256+2.0*J256</f>
        <v/>
      </c>
      <c r="M256">
        <f>I256-2.0*J256</f>
        <v/>
      </c>
      <c r="N256">
        <f>I256+1.5*K256</f>
        <v/>
      </c>
      <c r="O256">
        <f>I256-1.5*K256</f>
        <v/>
      </c>
      <c r="P256">
        <f>AND(L256&lt;N256,M256&gt;O256)</f>
        <v/>
      </c>
      <c r="Q256">
        <f>MAX(D237:D256)</f>
        <v/>
      </c>
      <c r="R256">
        <f>MIN(E237:E256)</f>
        <v/>
      </c>
      <c r="S256">
        <f>F256-((Q256+R256)/2+I256)/2</f>
        <v/>
      </c>
      <c r="T256">
        <f>FORECAST(A256,S237:S256,A237:A256)</f>
        <v/>
      </c>
    </row>
    <row r="257">
      <c r="A257" t="n">
        <v>255</v>
      </c>
      <c r="B257" s="2" t="n">
        <v>43108</v>
      </c>
      <c r="C257" t="n">
        <v>263.23</v>
      </c>
      <c r="D257" t="n">
        <v>263.99</v>
      </c>
      <c r="E257" t="n">
        <v>262.91</v>
      </c>
      <c r="F257" t="n">
        <v>263.82</v>
      </c>
      <c r="G257" t="n">
        <v>59513708</v>
      </c>
      <c r="H257">
        <f>MAX(D257-E257,ABS(D257-F256),ABS(E257-F256))</f>
        <v/>
      </c>
      <c r="I257">
        <f>AVERAGE(F238:F257)</f>
        <v/>
      </c>
      <c r="J257">
        <f>STDEVP(F238:F257)</f>
        <v/>
      </c>
      <c r="K257">
        <f>AVERAGE(H238:H257)</f>
        <v/>
      </c>
      <c r="L257">
        <f>I257+2.0*J257</f>
        <v/>
      </c>
      <c r="M257">
        <f>I257-2.0*J257</f>
        <v/>
      </c>
      <c r="N257">
        <f>I257+1.5*K257</f>
        <v/>
      </c>
      <c r="O257">
        <f>I257-1.5*K257</f>
        <v/>
      </c>
      <c r="P257">
        <f>AND(L257&lt;N257,M257&gt;O257)</f>
        <v/>
      </c>
      <c r="Q257">
        <f>MAX(D238:D257)</f>
        <v/>
      </c>
      <c r="R257">
        <f>MIN(E238:E257)</f>
        <v/>
      </c>
      <c r="S257">
        <f>F257-((Q257+R257)/2+I257)/2</f>
        <v/>
      </c>
      <c r="T257">
        <f>FORECAST(A257,S238:S257,A238:A257)</f>
        <v/>
      </c>
    </row>
    <row r="258">
      <c r="A258" t="n">
        <v>256</v>
      </c>
      <c r="B258" s="2" t="n">
        <v>43109</v>
      </c>
      <c r="C258" t="n">
        <v>264.28</v>
      </c>
      <c r="D258" t="n">
        <v>265.1</v>
      </c>
      <c r="E258" t="n">
        <v>263.97</v>
      </c>
      <c r="F258" t="n">
        <v>264.42</v>
      </c>
      <c r="G258" t="n">
        <v>59445976</v>
      </c>
      <c r="H258">
        <f>MAX(D258-E258,ABS(D258-F257),ABS(E258-F257))</f>
        <v/>
      </c>
      <c r="I258">
        <f>AVERAGE(F239:F258)</f>
        <v/>
      </c>
      <c r="J258">
        <f>STDEVP(F239:F258)</f>
        <v/>
      </c>
      <c r="K258">
        <f>AVERAGE(H239:H258)</f>
        <v/>
      </c>
      <c r="L258">
        <f>I258+2.0*J258</f>
        <v/>
      </c>
      <c r="M258">
        <f>I258-2.0*J258</f>
        <v/>
      </c>
      <c r="N258">
        <f>I258+1.5*K258</f>
        <v/>
      </c>
      <c r="O258">
        <f>I258-1.5*K258</f>
        <v/>
      </c>
      <c r="P258">
        <f>AND(L258&lt;N258,M258&gt;O258)</f>
        <v/>
      </c>
      <c r="Q258">
        <f>MAX(D239:D258)</f>
        <v/>
      </c>
      <c r="R258">
        <f>MIN(E239:E258)</f>
        <v/>
      </c>
      <c r="S258">
        <f>F258-((Q258+R258)/2+I258)/2</f>
        <v/>
      </c>
      <c r="T258">
        <f>FORECAST(A258,S239:S258,A239:A258)</f>
        <v/>
      </c>
    </row>
    <row r="259">
      <c r="A259" t="n">
        <v>257</v>
      </c>
      <c r="B259" s="2" t="n">
        <v>43110</v>
      </c>
      <c r="C259" t="n">
        <v>263.59</v>
      </c>
      <c r="D259" t="n">
        <v>264.3</v>
      </c>
      <c r="E259" t="n">
        <v>262.86</v>
      </c>
      <c r="F259" t="n">
        <v>264.01</v>
      </c>
      <c r="G259" t="n">
        <v>72238032</v>
      </c>
      <c r="H259">
        <f>MAX(D259-E259,ABS(D259-F258),ABS(E259-F258))</f>
        <v/>
      </c>
      <c r="I259">
        <f>AVERAGE(F240:F259)</f>
        <v/>
      </c>
      <c r="J259">
        <f>STDEVP(F240:F259)</f>
        <v/>
      </c>
      <c r="K259">
        <f>AVERAGE(H240:H259)</f>
        <v/>
      </c>
      <c r="L259">
        <f>I259+2.0*J259</f>
        <v/>
      </c>
      <c r="M259">
        <f>I259-2.0*J259</f>
        <v/>
      </c>
      <c r="N259">
        <f>I259+1.5*K259</f>
        <v/>
      </c>
      <c r="O259">
        <f>I259-1.5*K259</f>
        <v/>
      </c>
      <c r="P259">
        <f>AND(L259&lt;N259,M259&gt;O259)</f>
        <v/>
      </c>
      <c r="Q259">
        <f>MAX(D240:D259)</f>
        <v/>
      </c>
      <c r="R259">
        <f>MIN(E240:E259)</f>
        <v/>
      </c>
      <c r="S259">
        <f>F259-((Q259+R259)/2+I259)/2</f>
        <v/>
      </c>
      <c r="T259">
        <f>FORECAST(A259,S240:S259,A240:A259)</f>
        <v/>
      </c>
    </row>
    <row r="260">
      <c r="A260" t="n">
        <v>258</v>
      </c>
      <c r="B260" s="2" t="n">
        <v>43111</v>
      </c>
      <c r="C260" t="n">
        <v>264.62</v>
      </c>
      <c r="D260" t="n">
        <v>265.94</v>
      </c>
      <c r="E260" t="n">
        <v>264.44</v>
      </c>
      <c r="F260" t="n">
        <v>265.94</v>
      </c>
      <c r="G260" t="n">
        <v>64749016</v>
      </c>
      <c r="H260">
        <f>MAX(D260-E260,ABS(D260-F259),ABS(E260-F259))</f>
        <v/>
      </c>
      <c r="I260">
        <f>AVERAGE(F241:F260)</f>
        <v/>
      </c>
      <c r="J260">
        <f>STDEVP(F241:F260)</f>
        <v/>
      </c>
      <c r="K260">
        <f>AVERAGE(H241:H260)</f>
        <v/>
      </c>
      <c r="L260">
        <f>I260+2.0*J260</f>
        <v/>
      </c>
      <c r="M260">
        <f>I260-2.0*J260</f>
        <v/>
      </c>
      <c r="N260">
        <f>I260+1.5*K260</f>
        <v/>
      </c>
      <c r="O260">
        <f>I260-1.5*K260</f>
        <v/>
      </c>
      <c r="P260">
        <f>AND(L260&lt;N260,M260&gt;O260)</f>
        <v/>
      </c>
      <c r="Q260">
        <f>MAX(D241:D260)</f>
        <v/>
      </c>
      <c r="R260">
        <f>MIN(E241:E260)</f>
        <v/>
      </c>
      <c r="S260">
        <f>F260-((Q260+R260)/2+I260)/2</f>
        <v/>
      </c>
      <c r="T260">
        <f>FORECAST(A260,S241:S260,A241:A260)</f>
        <v/>
      </c>
    </row>
    <row r="261">
      <c r="A261" t="n">
        <v>259</v>
      </c>
      <c r="B261" s="2" t="n">
        <v>43112</v>
      </c>
      <c r="C261" t="n">
        <v>266.23</v>
      </c>
      <c r="D261" t="n">
        <v>267.86</v>
      </c>
      <c r="E261" t="n">
        <v>265.9</v>
      </c>
      <c r="F261" t="n">
        <v>267.67</v>
      </c>
      <c r="G261" t="n">
        <v>94293048</v>
      </c>
      <c r="H261">
        <f>MAX(D261-E261,ABS(D261-F260),ABS(E261-F260))</f>
        <v/>
      </c>
      <c r="I261">
        <f>AVERAGE(F242:F261)</f>
        <v/>
      </c>
      <c r="J261">
        <f>STDEVP(F242:F261)</f>
        <v/>
      </c>
      <c r="K261">
        <f>AVERAGE(H242:H261)</f>
        <v/>
      </c>
      <c r="L261">
        <f>I261+2.0*J261</f>
        <v/>
      </c>
      <c r="M261">
        <f>I261-2.0*J261</f>
        <v/>
      </c>
      <c r="N261">
        <f>I261+1.5*K261</f>
        <v/>
      </c>
      <c r="O261">
        <f>I261-1.5*K261</f>
        <v/>
      </c>
      <c r="P261">
        <f>AND(L261&lt;N261,M261&gt;O261)</f>
        <v/>
      </c>
      <c r="Q261">
        <f>MAX(D242:D261)</f>
        <v/>
      </c>
      <c r="R261">
        <f>MIN(E242:E261)</f>
        <v/>
      </c>
      <c r="S261">
        <f>F261-((Q261+R261)/2+I261)/2</f>
        <v/>
      </c>
      <c r="T261">
        <f>FORECAST(A261,S242:S261,A242:A261)</f>
        <v/>
      </c>
    </row>
    <row r="262">
      <c r="A262" t="n">
        <v>260</v>
      </c>
      <c r="B262" s="2" t="n">
        <v>43116</v>
      </c>
      <c r="C262" t="n">
        <v>269.05</v>
      </c>
      <c r="D262" t="n">
        <v>269.76</v>
      </c>
      <c r="E262" t="n">
        <v>266</v>
      </c>
      <c r="F262" t="n">
        <v>266.76</v>
      </c>
      <c r="G262" t="n">
        <v>110634704</v>
      </c>
      <c r="H262">
        <f>MAX(D262-E262,ABS(D262-F261),ABS(E262-F261))</f>
        <v/>
      </c>
      <c r="I262">
        <f>AVERAGE(F243:F262)</f>
        <v/>
      </c>
      <c r="J262">
        <f>STDEVP(F243:F262)</f>
        <v/>
      </c>
      <c r="K262">
        <f>AVERAGE(H243:H262)</f>
        <v/>
      </c>
      <c r="L262">
        <f>I262+2.0*J262</f>
        <v/>
      </c>
      <c r="M262">
        <f>I262-2.0*J262</f>
        <v/>
      </c>
      <c r="N262">
        <f>I262+1.5*K262</f>
        <v/>
      </c>
      <c r="O262">
        <f>I262-1.5*K262</f>
        <v/>
      </c>
      <c r="P262">
        <f>AND(L262&lt;N262,M262&gt;O262)</f>
        <v/>
      </c>
      <c r="Q262">
        <f>MAX(D243:D262)</f>
        <v/>
      </c>
      <c r="R262">
        <f>MIN(E243:E262)</f>
        <v/>
      </c>
      <c r="S262">
        <f>F262-((Q262+R262)/2+I262)/2</f>
        <v/>
      </c>
      <c r="T262">
        <f>FORECAST(A262,S243:S262,A243:A262)</f>
        <v/>
      </c>
    </row>
    <row r="263">
      <c r="A263" t="n">
        <v>261</v>
      </c>
      <c r="B263" s="2" t="n">
        <v>43117</v>
      </c>
      <c r="C263" t="n">
        <v>267.78</v>
      </c>
      <c r="D263" t="n">
        <v>269.72</v>
      </c>
      <c r="E263" t="n">
        <v>266.76</v>
      </c>
      <c r="F263" t="n">
        <v>269.3</v>
      </c>
      <c r="G263" t="n">
        <v>117595008</v>
      </c>
      <c r="H263">
        <f>MAX(D263-E263,ABS(D263-F262),ABS(E263-F262))</f>
        <v/>
      </c>
      <c r="I263">
        <f>AVERAGE(F244:F263)</f>
        <v/>
      </c>
      <c r="J263">
        <f>STDEVP(F244:F263)</f>
        <v/>
      </c>
      <c r="K263">
        <f>AVERAGE(H244:H263)</f>
        <v/>
      </c>
      <c r="L263">
        <f>I263+2.0*J263</f>
        <v/>
      </c>
      <c r="M263">
        <f>I263-2.0*J263</f>
        <v/>
      </c>
      <c r="N263">
        <f>I263+1.5*K263</f>
        <v/>
      </c>
      <c r="O263">
        <f>I263-1.5*K263</f>
        <v/>
      </c>
      <c r="P263">
        <f>AND(L263&lt;N263,M263&gt;O263)</f>
        <v/>
      </c>
      <c r="Q263">
        <f>MAX(D244:D263)</f>
        <v/>
      </c>
      <c r="R263">
        <f>MIN(E244:E263)</f>
        <v/>
      </c>
      <c r="S263">
        <f>F263-((Q263+R263)/2+I263)/2</f>
        <v/>
      </c>
      <c r="T263">
        <f>FORECAST(A263,S244:S263,A244:A263)</f>
        <v/>
      </c>
    </row>
    <row r="264">
      <c r="A264" t="n">
        <v>262</v>
      </c>
      <c r="B264" s="2" t="n">
        <v>43118</v>
      </c>
      <c r="C264" t="n">
        <v>269.17</v>
      </c>
      <c r="D264" t="n">
        <v>269.64</v>
      </c>
      <c r="E264" t="n">
        <v>268.31</v>
      </c>
      <c r="F264" t="n">
        <v>268.85</v>
      </c>
      <c r="G264" t="n">
        <v>104584464</v>
      </c>
      <c r="H264">
        <f>MAX(D264-E264,ABS(D264-F263),ABS(E264-F263))</f>
        <v/>
      </c>
      <c r="I264">
        <f>AVERAGE(F245:F264)</f>
        <v/>
      </c>
      <c r="J264">
        <f>STDEVP(F245:F264)</f>
        <v/>
      </c>
      <c r="K264">
        <f>AVERAGE(H245:H264)</f>
        <v/>
      </c>
      <c r="L264">
        <f>I264+2.0*J264</f>
        <v/>
      </c>
      <c r="M264">
        <f>I264-2.0*J264</f>
        <v/>
      </c>
      <c r="N264">
        <f>I264+1.5*K264</f>
        <v/>
      </c>
      <c r="O264">
        <f>I264-1.5*K264</f>
        <v/>
      </c>
      <c r="P264">
        <f>AND(L264&lt;N264,M264&gt;O264)</f>
        <v/>
      </c>
      <c r="Q264">
        <f>MAX(D245:D264)</f>
        <v/>
      </c>
      <c r="R264">
        <f>MIN(E245:E264)</f>
        <v/>
      </c>
      <c r="S264">
        <f>F264-((Q264+R264)/2+I264)/2</f>
        <v/>
      </c>
      <c r="T264">
        <f>FORECAST(A264,S245:S264,A245:A264)</f>
        <v/>
      </c>
    </row>
    <row r="265">
      <c r="A265" t="n">
        <v>263</v>
      </c>
      <c r="B265" s="2" t="n">
        <v>43119</v>
      </c>
      <c r="C265" t="n">
        <v>269.48</v>
      </c>
      <c r="D265" t="n">
        <v>270.07</v>
      </c>
      <c r="E265" t="n">
        <v>268.85</v>
      </c>
      <c r="F265" t="n">
        <v>270.07</v>
      </c>
      <c r="G265" t="n">
        <v>146315344</v>
      </c>
      <c r="H265">
        <f>MAX(D265-E265,ABS(D265-F264),ABS(E265-F264))</f>
        <v/>
      </c>
      <c r="I265">
        <f>AVERAGE(F246:F265)</f>
        <v/>
      </c>
      <c r="J265">
        <f>STDEVP(F246:F265)</f>
        <v/>
      </c>
      <c r="K265">
        <f>AVERAGE(H246:H265)</f>
        <v/>
      </c>
      <c r="L265">
        <f>I265+2.0*J265</f>
        <v/>
      </c>
      <c r="M265">
        <f>I265-2.0*J265</f>
        <v/>
      </c>
      <c r="N265">
        <f>I265+1.5*K265</f>
        <v/>
      </c>
      <c r="O265">
        <f>I265-1.5*K265</f>
        <v/>
      </c>
      <c r="P265">
        <f>AND(L265&lt;N265,M265&gt;O265)</f>
        <v/>
      </c>
      <c r="Q265">
        <f>MAX(D246:D265)</f>
        <v/>
      </c>
      <c r="R265">
        <f>MIN(E246:E265)</f>
        <v/>
      </c>
      <c r="S265">
        <f>F265-((Q265+R265)/2+I265)/2</f>
        <v/>
      </c>
      <c r="T265">
        <f>FORECAST(A265,S246:S265,A246:A265)</f>
        <v/>
      </c>
    </row>
    <row r="266">
      <c r="A266" t="n">
        <v>264</v>
      </c>
      <c r="B266" s="2" t="n">
        <v>43122</v>
      </c>
      <c r="C266" t="n">
        <v>269.84</v>
      </c>
      <c r="D266" t="n">
        <v>272.27</v>
      </c>
      <c r="E266" t="n">
        <v>269.78</v>
      </c>
      <c r="F266" t="n">
        <v>272.27</v>
      </c>
      <c r="G266" t="n">
        <v>94818768</v>
      </c>
      <c r="H266">
        <f>MAX(D266-E266,ABS(D266-F265),ABS(E266-F265))</f>
        <v/>
      </c>
      <c r="I266">
        <f>AVERAGE(F247:F266)</f>
        <v/>
      </c>
      <c r="J266">
        <f>STDEVP(F247:F266)</f>
        <v/>
      </c>
      <c r="K266">
        <f>AVERAGE(H247:H266)</f>
        <v/>
      </c>
      <c r="L266">
        <f>I266+2.0*J266</f>
        <v/>
      </c>
      <c r="M266">
        <f>I266-2.0*J266</f>
        <v/>
      </c>
      <c r="N266">
        <f>I266+1.5*K266</f>
        <v/>
      </c>
      <c r="O266">
        <f>I266-1.5*K266</f>
        <v/>
      </c>
      <c r="P266">
        <f>AND(L266&lt;N266,M266&gt;O266)</f>
        <v/>
      </c>
      <c r="Q266">
        <f>MAX(D247:D266)</f>
        <v/>
      </c>
      <c r="R266">
        <f>MIN(E247:E266)</f>
        <v/>
      </c>
      <c r="S266">
        <f>F266-((Q266+R266)/2+I266)/2</f>
        <v/>
      </c>
      <c r="T266">
        <f>FORECAST(A266,S247:S266,A247:A266)</f>
        <v/>
      </c>
    </row>
    <row r="267">
      <c r="A267" t="n">
        <v>265</v>
      </c>
      <c r="B267" s="2" t="n">
        <v>43123</v>
      </c>
      <c r="C267" t="n">
        <v>272.31</v>
      </c>
      <c r="D267" t="n">
        <v>273.16</v>
      </c>
      <c r="E267" t="n">
        <v>271.96</v>
      </c>
      <c r="F267" t="n">
        <v>272.84</v>
      </c>
      <c r="G267" t="n">
        <v>100801672</v>
      </c>
      <c r="H267">
        <f>MAX(D267-E267,ABS(D267-F266),ABS(E267-F266))</f>
        <v/>
      </c>
      <c r="I267">
        <f>AVERAGE(F248:F267)</f>
        <v/>
      </c>
      <c r="J267">
        <f>STDEVP(F248:F267)</f>
        <v/>
      </c>
      <c r="K267">
        <f>AVERAGE(H248:H267)</f>
        <v/>
      </c>
      <c r="L267">
        <f>I267+2.0*J267</f>
        <v/>
      </c>
      <c r="M267">
        <f>I267-2.0*J267</f>
        <v/>
      </c>
      <c r="N267">
        <f>I267+1.5*K267</f>
        <v/>
      </c>
      <c r="O267">
        <f>I267-1.5*K267</f>
        <v/>
      </c>
      <c r="P267">
        <f>AND(L267&lt;N267,M267&gt;O267)</f>
        <v/>
      </c>
      <c r="Q267">
        <f>MAX(D248:D267)</f>
        <v/>
      </c>
      <c r="R267">
        <f>MIN(E248:E267)</f>
        <v/>
      </c>
      <c r="S267">
        <f>F267-((Q267+R267)/2+I267)/2</f>
        <v/>
      </c>
      <c r="T267">
        <f>FORECAST(A267,S248:S267,A248:A267)</f>
        <v/>
      </c>
    </row>
    <row r="268">
      <c r="A268" t="n">
        <v>266</v>
      </c>
      <c r="B268" s="2" t="n">
        <v>43124</v>
      </c>
      <c r="C268" t="n">
        <v>273.55</v>
      </c>
      <c r="D268" t="n">
        <v>274.2</v>
      </c>
      <c r="E268" t="n">
        <v>271.45</v>
      </c>
      <c r="F268" t="n">
        <v>272.74</v>
      </c>
      <c r="G268" t="n">
        <v>139977680</v>
      </c>
      <c r="H268">
        <f>MAX(D268-E268,ABS(D268-F267),ABS(E268-F267))</f>
        <v/>
      </c>
      <c r="I268">
        <f>AVERAGE(F249:F268)</f>
        <v/>
      </c>
      <c r="J268">
        <f>STDEVP(F249:F268)</f>
        <v/>
      </c>
      <c r="K268">
        <f>AVERAGE(H249:H268)</f>
        <v/>
      </c>
      <c r="L268">
        <f>I268+2.0*J268</f>
        <v/>
      </c>
      <c r="M268">
        <f>I268-2.0*J268</f>
        <v/>
      </c>
      <c r="N268">
        <f>I268+1.5*K268</f>
        <v/>
      </c>
      <c r="O268">
        <f>I268-1.5*K268</f>
        <v/>
      </c>
      <c r="P268">
        <f>AND(L268&lt;N268,M268&gt;O268)</f>
        <v/>
      </c>
      <c r="Q268">
        <f>MAX(D249:D268)</f>
        <v/>
      </c>
      <c r="R268">
        <f>MIN(E249:E268)</f>
        <v/>
      </c>
      <c r="S268">
        <f>F268-((Q268+R268)/2+I268)/2</f>
        <v/>
      </c>
      <c r="T268">
        <f>FORECAST(A268,S249:S268,A249:A268)</f>
        <v/>
      </c>
    </row>
    <row r="269">
      <c r="A269" t="n">
        <v>267</v>
      </c>
      <c r="B269" s="2" t="n">
        <v>43125</v>
      </c>
      <c r="C269" t="n">
        <v>273.68</v>
      </c>
      <c r="D269" t="n">
        <v>273.79</v>
      </c>
      <c r="E269" t="n">
        <v>271.99</v>
      </c>
      <c r="F269" t="n">
        <v>272.85</v>
      </c>
      <c r="G269" t="n">
        <v>87825816</v>
      </c>
      <c r="H269">
        <f>MAX(D269-E269,ABS(D269-F268),ABS(E269-F268))</f>
        <v/>
      </c>
      <c r="I269">
        <f>AVERAGE(F250:F269)</f>
        <v/>
      </c>
      <c r="J269">
        <f>STDEVP(F250:F269)</f>
        <v/>
      </c>
      <c r="K269">
        <f>AVERAGE(H250:H269)</f>
        <v/>
      </c>
      <c r="L269">
        <f>I269+2.0*J269</f>
        <v/>
      </c>
      <c r="M269">
        <f>I269-2.0*J269</f>
        <v/>
      </c>
      <c r="N269">
        <f>I269+1.5*K269</f>
        <v/>
      </c>
      <c r="O269">
        <f>I269-1.5*K269</f>
        <v/>
      </c>
      <c r="P269">
        <f>AND(L269&lt;N269,M269&gt;O269)</f>
        <v/>
      </c>
      <c r="Q269">
        <f>MAX(D250:D269)</f>
        <v/>
      </c>
      <c r="R269">
        <f>MIN(E250:E269)</f>
        <v/>
      </c>
      <c r="S269">
        <f>F269-((Q269+R269)/2+I269)/2</f>
        <v/>
      </c>
      <c r="T269">
        <f>FORECAST(A269,S250:S269,A250:A269)</f>
        <v/>
      </c>
    </row>
    <row r="270">
      <c r="A270" t="n">
        <v>268</v>
      </c>
      <c r="B270" s="2" t="n">
        <v>43126</v>
      </c>
      <c r="C270" t="n">
        <v>273.77</v>
      </c>
      <c r="D270" t="n">
        <v>276.06</v>
      </c>
      <c r="E270" t="n">
        <v>273.49</v>
      </c>
      <c r="F270" t="n">
        <v>276.01</v>
      </c>
      <c r="G270" t="n">
        <v>111868160</v>
      </c>
      <c r="H270">
        <f>MAX(D270-E270,ABS(D270-F269),ABS(E270-F269))</f>
        <v/>
      </c>
      <c r="I270">
        <f>AVERAGE(F251:F270)</f>
        <v/>
      </c>
      <c r="J270">
        <f>STDEVP(F251:F270)</f>
        <v/>
      </c>
      <c r="K270">
        <f>AVERAGE(H251:H270)</f>
        <v/>
      </c>
      <c r="L270">
        <f>I270+2.0*J270</f>
        <v/>
      </c>
      <c r="M270">
        <f>I270-2.0*J270</f>
        <v/>
      </c>
      <c r="N270">
        <f>I270+1.5*K270</f>
        <v/>
      </c>
      <c r="O270">
        <f>I270-1.5*K270</f>
        <v/>
      </c>
      <c r="P270">
        <f>AND(L270&lt;N270,M270&gt;O270)</f>
        <v/>
      </c>
      <c r="Q270">
        <f>MAX(D251:D270)</f>
        <v/>
      </c>
      <c r="R270">
        <f>MIN(E251:E270)</f>
        <v/>
      </c>
      <c r="S270">
        <f>F270-((Q270+R270)/2+I270)/2</f>
        <v/>
      </c>
      <c r="T270">
        <f>FORECAST(A270,S251:S270,A251:A270)</f>
        <v/>
      </c>
    </row>
    <row r="271">
      <c r="A271" t="n">
        <v>269</v>
      </c>
      <c r="B271" s="2" t="n">
        <v>43129</v>
      </c>
      <c r="C271" t="n">
        <v>275.39</v>
      </c>
      <c r="D271" t="n">
        <v>275.87</v>
      </c>
      <c r="E271" t="n">
        <v>274.01</v>
      </c>
      <c r="F271" t="n">
        <v>274.18</v>
      </c>
      <c r="G271" t="n">
        <v>93568600</v>
      </c>
      <c r="H271">
        <f>MAX(D271-E271,ABS(D271-F270),ABS(E271-F270))</f>
        <v/>
      </c>
      <c r="I271">
        <f>AVERAGE(F252:F271)</f>
        <v/>
      </c>
      <c r="J271">
        <f>STDEVP(F252:F271)</f>
        <v/>
      </c>
      <c r="K271">
        <f>AVERAGE(H252:H271)</f>
        <v/>
      </c>
      <c r="L271">
        <f>I271+2.0*J271</f>
        <v/>
      </c>
      <c r="M271">
        <f>I271-2.0*J271</f>
        <v/>
      </c>
      <c r="N271">
        <f>I271+1.5*K271</f>
        <v/>
      </c>
      <c r="O271">
        <f>I271-1.5*K271</f>
        <v/>
      </c>
      <c r="P271">
        <f>AND(L271&lt;N271,M271&gt;O271)</f>
        <v/>
      </c>
      <c r="Q271">
        <f>MAX(D252:D271)</f>
        <v/>
      </c>
      <c r="R271">
        <f>MIN(E252:E271)</f>
        <v/>
      </c>
      <c r="S271">
        <f>F271-((Q271+R271)/2+I271)/2</f>
        <v/>
      </c>
      <c r="T271">
        <f>FORECAST(A271,S252:S271,A252:A271)</f>
        <v/>
      </c>
    </row>
    <row r="272">
      <c r="A272" t="n">
        <v>270</v>
      </c>
      <c r="B272" s="2" t="n">
        <v>43130</v>
      </c>
      <c r="C272" t="n">
        <v>272.18</v>
      </c>
      <c r="D272" t="n">
        <v>274.24</v>
      </c>
      <c r="E272" t="n">
        <v>270.85</v>
      </c>
      <c r="F272" t="n">
        <v>271.37</v>
      </c>
      <c r="G272" t="n">
        <v>136842368</v>
      </c>
      <c r="H272">
        <f>MAX(D272-E272,ABS(D272-F271),ABS(E272-F271))</f>
        <v/>
      </c>
      <c r="I272">
        <f>AVERAGE(F253:F272)</f>
        <v/>
      </c>
      <c r="J272">
        <f>STDEVP(F253:F272)</f>
        <v/>
      </c>
      <c r="K272">
        <f>AVERAGE(H253:H272)</f>
        <v/>
      </c>
      <c r="L272">
        <f>I272+2.0*J272</f>
        <v/>
      </c>
      <c r="M272">
        <f>I272-2.0*J272</f>
        <v/>
      </c>
      <c r="N272">
        <f>I272+1.5*K272</f>
        <v/>
      </c>
      <c r="O272">
        <f>I272-1.5*K272</f>
        <v/>
      </c>
      <c r="P272">
        <f>AND(L272&lt;N272,M272&gt;O272)</f>
        <v/>
      </c>
      <c r="Q272">
        <f>MAX(D253:D272)</f>
        <v/>
      </c>
      <c r="R272">
        <f>MIN(E253:E272)</f>
        <v/>
      </c>
      <c r="S272">
        <f>F272-((Q272+R272)/2+I272)/2</f>
        <v/>
      </c>
      <c r="T272">
        <f>FORECAST(A272,S253:S272,A253:A272)</f>
        <v/>
      </c>
    </row>
    <row r="273">
      <c r="A273" t="n">
        <v>271</v>
      </c>
      <c r="B273" s="2" t="n">
        <v>43131</v>
      </c>
      <c r="C273" t="n">
        <v>272.3</v>
      </c>
      <c r="D273" t="n">
        <v>272.85</v>
      </c>
      <c r="E273" t="n">
        <v>270.33</v>
      </c>
      <c r="F273" t="n">
        <v>271.51</v>
      </c>
      <c r="G273" t="n">
        <v>123502168</v>
      </c>
      <c r="H273">
        <f>MAX(D273-E273,ABS(D273-F272),ABS(E273-F272))</f>
        <v/>
      </c>
      <c r="I273">
        <f>AVERAGE(F254:F273)</f>
        <v/>
      </c>
      <c r="J273">
        <f>STDEVP(F254:F273)</f>
        <v/>
      </c>
      <c r="K273">
        <f>AVERAGE(H254:H273)</f>
        <v/>
      </c>
      <c r="L273">
        <f>I273+2.0*J273</f>
        <v/>
      </c>
      <c r="M273">
        <f>I273-2.0*J273</f>
        <v/>
      </c>
      <c r="N273">
        <f>I273+1.5*K273</f>
        <v/>
      </c>
      <c r="O273">
        <f>I273-1.5*K273</f>
        <v/>
      </c>
      <c r="P273">
        <f>AND(L273&lt;N273,M273&gt;O273)</f>
        <v/>
      </c>
      <c r="Q273">
        <f>MAX(D254:D273)</f>
        <v/>
      </c>
      <c r="R273">
        <f>MIN(E254:E273)</f>
        <v/>
      </c>
      <c r="S273">
        <f>F273-((Q273+R273)/2+I273)/2</f>
        <v/>
      </c>
      <c r="T273">
        <f>FORECAST(A273,S254:S273,A254:A273)</f>
        <v/>
      </c>
    </row>
    <row r="274">
      <c r="A274" t="n">
        <v>272</v>
      </c>
      <c r="B274" s="2" t="n">
        <v>43132</v>
      </c>
      <c r="C274" t="n">
        <v>270.71</v>
      </c>
      <c r="D274" t="n">
        <v>272.62</v>
      </c>
      <c r="E274" t="n">
        <v>270.33</v>
      </c>
      <c r="F274" t="n">
        <v>271.2</v>
      </c>
      <c r="G274" t="n">
        <v>93552120</v>
      </c>
      <c r="H274">
        <f>MAX(D274-E274,ABS(D274-F273),ABS(E274-F273))</f>
        <v/>
      </c>
      <c r="I274">
        <f>AVERAGE(F255:F274)</f>
        <v/>
      </c>
      <c r="J274">
        <f>STDEVP(F255:F274)</f>
        <v/>
      </c>
      <c r="K274">
        <f>AVERAGE(H255:H274)</f>
        <v/>
      </c>
      <c r="L274">
        <f>I274+2.0*J274</f>
        <v/>
      </c>
      <c r="M274">
        <f>I274-2.0*J274</f>
        <v/>
      </c>
      <c r="N274">
        <f>I274+1.5*K274</f>
        <v/>
      </c>
      <c r="O274">
        <f>I274-1.5*K274</f>
        <v/>
      </c>
      <c r="P274">
        <f>AND(L274&lt;N274,M274&gt;O274)</f>
        <v/>
      </c>
      <c r="Q274">
        <f>MAX(D255:D274)</f>
        <v/>
      </c>
      <c r="R274">
        <f>MIN(E255:E274)</f>
        <v/>
      </c>
      <c r="S274">
        <f>F274-((Q274+R274)/2+I274)/2</f>
        <v/>
      </c>
      <c r="T274">
        <f>FORECAST(A274,S255:S274,A255:A274)</f>
        <v/>
      </c>
    </row>
    <row r="275">
      <c r="A275" t="n">
        <v>273</v>
      </c>
      <c r="B275" s="2" t="n">
        <v>43133</v>
      </c>
      <c r="C275" t="n">
        <v>269.75</v>
      </c>
      <c r="D275" t="n">
        <v>269.9</v>
      </c>
      <c r="E275" t="n">
        <v>265.25</v>
      </c>
      <c r="F275" t="n">
        <v>265.29</v>
      </c>
      <c r="G275" t="n">
        <v>179804944</v>
      </c>
      <c r="H275">
        <f>MAX(D275-E275,ABS(D275-F274),ABS(E275-F274))</f>
        <v/>
      </c>
      <c r="I275">
        <f>AVERAGE(F256:F275)</f>
        <v/>
      </c>
      <c r="J275">
        <f>STDEVP(F256:F275)</f>
        <v/>
      </c>
      <c r="K275">
        <f>AVERAGE(H256:H275)</f>
        <v/>
      </c>
      <c r="L275">
        <f>I275+2.0*J275</f>
        <v/>
      </c>
      <c r="M275">
        <f>I275-2.0*J275</f>
        <v/>
      </c>
      <c r="N275">
        <f>I275+1.5*K275</f>
        <v/>
      </c>
      <c r="O275">
        <f>I275-1.5*K275</f>
        <v/>
      </c>
      <c r="P275">
        <f>AND(L275&lt;N275,M275&gt;O275)</f>
        <v/>
      </c>
      <c r="Q275">
        <f>MAX(D256:D275)</f>
        <v/>
      </c>
      <c r="R275">
        <f>MIN(E256:E275)</f>
        <v/>
      </c>
      <c r="S275">
        <f>F275-((Q275+R275)/2+I275)/2</f>
        <v/>
      </c>
      <c r="T275">
        <f>FORECAST(A275,S256:S275,A256:A275)</f>
        <v/>
      </c>
    </row>
    <row r="276">
      <c r="A276" t="n">
        <v>274</v>
      </c>
      <c r="B276" s="2" t="n">
        <v>43136</v>
      </c>
      <c r="C276" t="n">
        <v>263.37</v>
      </c>
      <c r="D276" t="n">
        <v>265.68</v>
      </c>
      <c r="E276" t="n">
        <v>253.6</v>
      </c>
      <c r="F276" t="n">
        <v>254.2</v>
      </c>
      <c r="G276" t="n">
        <v>305963968</v>
      </c>
      <c r="H276">
        <f>MAX(D276-E276,ABS(D276-F275),ABS(E276-F275))</f>
        <v/>
      </c>
      <c r="I276">
        <f>AVERAGE(F257:F276)</f>
        <v/>
      </c>
      <c r="J276">
        <f>STDEVP(F257:F276)</f>
        <v/>
      </c>
      <c r="K276">
        <f>AVERAGE(H257:H276)</f>
        <v/>
      </c>
      <c r="L276">
        <f>I276+2.0*J276</f>
        <v/>
      </c>
      <c r="M276">
        <f>I276-2.0*J276</f>
        <v/>
      </c>
      <c r="N276">
        <f>I276+1.5*K276</f>
        <v/>
      </c>
      <c r="O276">
        <f>I276-1.5*K276</f>
        <v/>
      </c>
      <c r="P276">
        <f>AND(L276&lt;N276,M276&gt;O276)</f>
        <v/>
      </c>
      <c r="Q276">
        <f>MAX(D257:D276)</f>
        <v/>
      </c>
      <c r="R276">
        <f>MIN(E257:E276)</f>
        <v/>
      </c>
      <c r="S276">
        <f>F276-((Q276+R276)/2+I276)/2</f>
        <v/>
      </c>
      <c r="T276">
        <f>FORECAST(A276,S257:S276,A257:A276)</f>
        <v/>
      </c>
    </row>
    <row r="277">
      <c r="A277" t="n">
        <v>275</v>
      </c>
      <c r="B277" s="2" t="n">
        <v>43137</v>
      </c>
      <c r="C277" t="n">
        <v>250.35</v>
      </c>
      <c r="D277" t="n">
        <v>259.76</v>
      </c>
      <c r="E277" t="n">
        <v>249.16</v>
      </c>
      <c r="F277" t="n">
        <v>259.21</v>
      </c>
      <c r="G277" t="n">
        <v>368619296</v>
      </c>
      <c r="H277">
        <f>MAX(D277-E277,ABS(D277-F276),ABS(E277-F276))</f>
        <v/>
      </c>
      <c r="I277">
        <f>AVERAGE(F258:F277)</f>
        <v/>
      </c>
      <c r="J277">
        <f>STDEVP(F258:F277)</f>
        <v/>
      </c>
      <c r="K277">
        <f>AVERAGE(H258:H277)</f>
        <v/>
      </c>
      <c r="L277">
        <f>I277+2.0*J277</f>
        <v/>
      </c>
      <c r="M277">
        <f>I277-2.0*J277</f>
        <v/>
      </c>
      <c r="N277">
        <f>I277+1.5*K277</f>
        <v/>
      </c>
      <c r="O277">
        <f>I277-1.5*K277</f>
        <v/>
      </c>
      <c r="P277">
        <f>AND(L277&lt;N277,M277&gt;O277)</f>
        <v/>
      </c>
      <c r="Q277">
        <f>MAX(D258:D277)</f>
        <v/>
      </c>
      <c r="R277">
        <f>MIN(E258:E277)</f>
        <v/>
      </c>
      <c r="S277">
        <f>F277-((Q277+R277)/2+I277)/2</f>
        <v/>
      </c>
      <c r="T277">
        <f>FORECAST(A277,S258:S277,A258:A277)</f>
        <v/>
      </c>
    </row>
    <row r="278">
      <c r="A278" t="n">
        <v>276</v>
      </c>
      <c r="B278" s="2" t="n">
        <v>43138</v>
      </c>
      <c r="C278" t="n">
        <v>258.6</v>
      </c>
      <c r="D278" t="n">
        <v>262.32</v>
      </c>
      <c r="E278" t="n">
        <v>257.71</v>
      </c>
      <c r="F278" t="n">
        <v>257.8</v>
      </c>
      <c r="G278" t="n">
        <v>173784240</v>
      </c>
      <c r="H278">
        <f>MAX(D278-E278,ABS(D278-F277),ABS(E278-F277))</f>
        <v/>
      </c>
      <c r="I278">
        <f>AVERAGE(F259:F278)</f>
        <v/>
      </c>
      <c r="J278">
        <f>STDEVP(F259:F278)</f>
        <v/>
      </c>
      <c r="K278">
        <f>AVERAGE(H259:H278)</f>
        <v/>
      </c>
      <c r="L278">
        <f>I278+2.0*J278</f>
        <v/>
      </c>
      <c r="M278">
        <f>I278-2.0*J278</f>
        <v/>
      </c>
      <c r="N278">
        <f>I278+1.5*K278</f>
        <v/>
      </c>
      <c r="O278">
        <f>I278-1.5*K278</f>
        <v/>
      </c>
      <c r="P278">
        <f>AND(L278&lt;N278,M278&gt;O278)</f>
        <v/>
      </c>
      <c r="Q278">
        <f>MAX(D259:D278)</f>
        <v/>
      </c>
      <c r="R278">
        <f>MIN(E259:E278)</f>
        <v/>
      </c>
      <c r="S278">
        <f>F278-((Q278+R278)/2+I278)/2</f>
        <v/>
      </c>
      <c r="T278">
        <f>FORECAST(A278,S259:S278,A259:A278)</f>
        <v/>
      </c>
    </row>
    <row r="279">
      <c r="A279" t="n">
        <v>277</v>
      </c>
      <c r="B279" s="2" t="n">
        <v>43139</v>
      </c>
      <c r="C279" t="n">
        <v>258.13</v>
      </c>
      <c r="D279" t="n">
        <v>258.28</v>
      </c>
      <c r="E279" t="n">
        <v>248.09</v>
      </c>
      <c r="F279" t="n">
        <v>248.13</v>
      </c>
      <c r="G279" t="n">
        <v>255885040</v>
      </c>
      <c r="H279">
        <f>MAX(D279-E279,ABS(D279-F278),ABS(E279-F278))</f>
        <v/>
      </c>
      <c r="I279">
        <f>AVERAGE(F260:F279)</f>
        <v/>
      </c>
      <c r="J279">
        <f>STDEVP(F260:F279)</f>
        <v/>
      </c>
      <c r="K279">
        <f>AVERAGE(H260:H279)</f>
        <v/>
      </c>
      <c r="L279">
        <f>I279+2.0*J279</f>
        <v/>
      </c>
      <c r="M279">
        <f>I279-2.0*J279</f>
        <v/>
      </c>
      <c r="N279">
        <f>I279+1.5*K279</f>
        <v/>
      </c>
      <c r="O279">
        <f>I279-1.5*K279</f>
        <v/>
      </c>
      <c r="P279">
        <f>AND(L279&lt;N279,M279&gt;O279)</f>
        <v/>
      </c>
      <c r="Q279">
        <f>MAX(D260:D279)</f>
        <v/>
      </c>
      <c r="R279">
        <f>MIN(E260:E279)</f>
        <v/>
      </c>
      <c r="S279">
        <f>F279-((Q279+R279)/2+I279)/2</f>
        <v/>
      </c>
      <c r="T279">
        <f>FORECAST(A279,S260:S279,A260:A279)</f>
        <v/>
      </c>
    </row>
    <row r="280">
      <c r="A280" t="n">
        <v>278</v>
      </c>
      <c r="B280" s="2" t="n">
        <v>43140</v>
      </c>
      <c r="C280" t="n">
        <v>251.18</v>
      </c>
      <c r="D280" t="n">
        <v>253.89</v>
      </c>
      <c r="E280" t="n">
        <v>243.59</v>
      </c>
      <c r="F280" t="n">
        <v>251.86</v>
      </c>
      <c r="G280" t="n">
        <v>294421856</v>
      </c>
      <c r="H280">
        <f>MAX(D280-E280,ABS(D280-F279),ABS(E280-F279))</f>
        <v/>
      </c>
      <c r="I280">
        <f>AVERAGE(F261:F280)</f>
        <v/>
      </c>
      <c r="J280">
        <f>STDEVP(F261:F280)</f>
        <v/>
      </c>
      <c r="K280">
        <f>AVERAGE(H261:H280)</f>
        <v/>
      </c>
      <c r="L280">
        <f>I280+2.0*J280</f>
        <v/>
      </c>
      <c r="M280">
        <f>I280-2.0*J280</f>
        <v/>
      </c>
      <c r="N280">
        <f>I280+1.5*K280</f>
        <v/>
      </c>
      <c r="O280">
        <f>I280-1.5*K280</f>
        <v/>
      </c>
      <c r="P280">
        <f>AND(L280&lt;N280,M280&gt;O280)</f>
        <v/>
      </c>
      <c r="Q280">
        <f>MAX(D261:D280)</f>
        <v/>
      </c>
      <c r="R280">
        <f>MIN(E261:E280)</f>
        <v/>
      </c>
      <c r="S280">
        <f>F280-((Q280+R280)/2+I280)/2</f>
        <v/>
      </c>
      <c r="T280">
        <f>FORECAST(A280,S261:S280,A261:A280)</f>
        <v/>
      </c>
    </row>
    <row r="281">
      <c r="A281" t="n">
        <v>279</v>
      </c>
      <c r="B281" s="2" t="n">
        <v>43143</v>
      </c>
      <c r="C281" t="n">
        <v>254.1</v>
      </c>
      <c r="D281" t="n">
        <v>257.16</v>
      </c>
      <c r="E281" t="n">
        <v>252.02</v>
      </c>
      <c r="F281" t="n">
        <v>255.56</v>
      </c>
      <c r="G281" t="n">
        <v>149239040</v>
      </c>
      <c r="H281">
        <f>MAX(D281-E281,ABS(D281-F280),ABS(E281-F280))</f>
        <v/>
      </c>
      <c r="I281">
        <f>AVERAGE(F262:F281)</f>
        <v/>
      </c>
      <c r="J281">
        <f>STDEVP(F262:F281)</f>
        <v/>
      </c>
      <c r="K281">
        <f>AVERAGE(H262:H281)</f>
        <v/>
      </c>
      <c r="L281">
        <f>I281+2.0*J281</f>
        <v/>
      </c>
      <c r="M281">
        <f>I281-2.0*J281</f>
        <v/>
      </c>
      <c r="N281">
        <f>I281+1.5*K281</f>
        <v/>
      </c>
      <c r="O281">
        <f>I281-1.5*K281</f>
        <v/>
      </c>
      <c r="P281">
        <f>AND(L281&lt;N281,M281&gt;O281)</f>
        <v/>
      </c>
      <c r="Q281">
        <f>MAX(D262:D281)</f>
        <v/>
      </c>
      <c r="R281">
        <f>MIN(E262:E281)</f>
        <v/>
      </c>
      <c r="S281">
        <f>F281-((Q281+R281)/2+I281)/2</f>
        <v/>
      </c>
      <c r="T281">
        <f>FORECAST(A281,S262:S281,A262:A281)</f>
        <v/>
      </c>
    </row>
    <row r="282">
      <c r="A282" t="n">
        <v>280</v>
      </c>
      <c r="B282" s="2" t="n">
        <v>43144</v>
      </c>
      <c r="C282" t="n">
        <v>254.24</v>
      </c>
      <c r="D282" t="n">
        <v>256.79</v>
      </c>
      <c r="E282" t="n">
        <v>253.6</v>
      </c>
      <c r="F282" t="n">
        <v>256.19</v>
      </c>
      <c r="G282" t="n">
        <v>84333360</v>
      </c>
      <c r="H282">
        <f>MAX(D282-E282,ABS(D282-F281),ABS(E282-F281))</f>
        <v/>
      </c>
      <c r="I282">
        <f>AVERAGE(F263:F282)</f>
        <v/>
      </c>
      <c r="J282">
        <f>STDEVP(F263:F282)</f>
        <v/>
      </c>
      <c r="K282">
        <f>AVERAGE(H263:H282)</f>
        <v/>
      </c>
      <c r="L282">
        <f>I282+2.0*J282</f>
        <v/>
      </c>
      <c r="M282">
        <f>I282-2.0*J282</f>
        <v/>
      </c>
      <c r="N282">
        <f>I282+1.5*K282</f>
        <v/>
      </c>
      <c r="O282">
        <f>I282-1.5*K282</f>
        <v/>
      </c>
      <c r="P282">
        <f>AND(L282&lt;N282,M282&gt;O282)</f>
        <v/>
      </c>
      <c r="Q282">
        <f>MAX(D263:D282)</f>
        <v/>
      </c>
      <c r="R282">
        <f>MIN(E263:E282)</f>
        <v/>
      </c>
      <c r="S282">
        <f>F282-((Q282+R282)/2+I282)/2</f>
        <v/>
      </c>
      <c r="T282">
        <f>FORECAST(A282,S263:S282,A263:A282)</f>
        <v/>
      </c>
    </row>
    <row r="283">
      <c r="A283" t="n">
        <v>281</v>
      </c>
      <c r="B283" s="2" t="n">
        <v>43145</v>
      </c>
      <c r="C283" t="n">
        <v>254.56</v>
      </c>
      <c r="D283" t="n">
        <v>260.04</v>
      </c>
      <c r="E283" t="n">
        <v>254.55</v>
      </c>
      <c r="F283" t="n">
        <v>259.65</v>
      </c>
      <c r="G283" t="n">
        <v>125358160</v>
      </c>
      <c r="H283">
        <f>MAX(D283-E283,ABS(D283-F282),ABS(E283-F282))</f>
        <v/>
      </c>
      <c r="I283">
        <f>AVERAGE(F264:F283)</f>
        <v/>
      </c>
      <c r="J283">
        <f>STDEVP(F264:F283)</f>
        <v/>
      </c>
      <c r="K283">
        <f>AVERAGE(H264:H283)</f>
        <v/>
      </c>
      <c r="L283">
        <f>I283+2.0*J283</f>
        <v/>
      </c>
      <c r="M283">
        <f>I283-2.0*J283</f>
        <v/>
      </c>
      <c r="N283">
        <f>I283+1.5*K283</f>
        <v/>
      </c>
      <c r="O283">
        <f>I283-1.5*K283</f>
        <v/>
      </c>
      <c r="P283">
        <f>AND(L283&lt;N283,M283&gt;O283)</f>
        <v/>
      </c>
      <c r="Q283">
        <f>MAX(D264:D283)</f>
        <v/>
      </c>
      <c r="R283">
        <f>MIN(E264:E283)</f>
        <v/>
      </c>
      <c r="S283">
        <f>F283-((Q283+R283)/2+I283)/2</f>
        <v/>
      </c>
      <c r="T283">
        <f>FORECAST(A283,S264:S283,A264:A283)</f>
        <v/>
      </c>
    </row>
    <row r="284">
      <c r="A284" t="n">
        <v>282</v>
      </c>
      <c r="B284" s="2" t="n">
        <v>43146</v>
      </c>
      <c r="C284" t="n">
        <v>261.56</v>
      </c>
      <c r="D284" t="n">
        <v>262.97</v>
      </c>
      <c r="E284" t="n">
        <v>258.86</v>
      </c>
      <c r="F284" t="n">
        <v>262.96</v>
      </c>
      <c r="G284" t="n">
        <v>115457688</v>
      </c>
      <c r="H284">
        <f>MAX(D284-E284,ABS(D284-F283),ABS(E284-F283))</f>
        <v/>
      </c>
      <c r="I284">
        <f>AVERAGE(F265:F284)</f>
        <v/>
      </c>
      <c r="J284">
        <f>STDEVP(F265:F284)</f>
        <v/>
      </c>
      <c r="K284">
        <f>AVERAGE(H265:H284)</f>
        <v/>
      </c>
      <c r="L284">
        <f>I284+2.0*J284</f>
        <v/>
      </c>
      <c r="M284">
        <f>I284-2.0*J284</f>
        <v/>
      </c>
      <c r="N284">
        <f>I284+1.5*K284</f>
        <v/>
      </c>
      <c r="O284">
        <f>I284-1.5*K284</f>
        <v/>
      </c>
      <c r="P284">
        <f>AND(L284&lt;N284,M284&gt;O284)</f>
        <v/>
      </c>
      <c r="Q284">
        <f>MAX(D265:D284)</f>
        <v/>
      </c>
      <c r="R284">
        <f>MIN(E265:E284)</f>
        <v/>
      </c>
      <c r="S284">
        <f>F284-((Q284+R284)/2+I284)/2</f>
        <v/>
      </c>
      <c r="T284">
        <f>FORECAST(A284,S265:S284,A265:A284)</f>
        <v/>
      </c>
    </row>
    <row r="285">
      <c r="A285" t="n">
        <v>283</v>
      </c>
      <c r="B285" s="2" t="n">
        <v>43147</v>
      </c>
      <c r="C285" t="n">
        <v>262.28</v>
      </c>
      <c r="D285" t="n">
        <v>265.17</v>
      </c>
      <c r="E285" t="n">
        <v>262.23</v>
      </c>
      <c r="F285" t="n">
        <v>263.04</v>
      </c>
      <c r="G285" t="n">
        <v>166561968</v>
      </c>
      <c r="H285">
        <f>MAX(D285-E285,ABS(D285-F284),ABS(E285-F284))</f>
        <v/>
      </c>
      <c r="I285">
        <f>AVERAGE(F266:F285)</f>
        <v/>
      </c>
      <c r="J285">
        <f>STDEVP(F266:F285)</f>
        <v/>
      </c>
      <c r="K285">
        <f>AVERAGE(H266:H285)</f>
        <v/>
      </c>
      <c r="L285">
        <f>I285+2.0*J285</f>
        <v/>
      </c>
      <c r="M285">
        <f>I285-2.0*J285</f>
        <v/>
      </c>
      <c r="N285">
        <f>I285+1.5*K285</f>
        <v/>
      </c>
      <c r="O285">
        <f>I285-1.5*K285</f>
        <v/>
      </c>
      <c r="P285">
        <f>AND(L285&lt;N285,M285&gt;O285)</f>
        <v/>
      </c>
      <c r="Q285">
        <f>MAX(D266:D285)</f>
        <v/>
      </c>
      <c r="R285">
        <f>MIN(E266:E285)</f>
        <v/>
      </c>
      <c r="S285">
        <f>F285-((Q285+R285)/2+I285)/2</f>
        <v/>
      </c>
      <c r="T285">
        <f>FORECAST(A285,S266:S285,A266:A285)</f>
        <v/>
      </c>
    </row>
    <row r="286">
      <c r="A286" t="n">
        <v>284</v>
      </c>
      <c r="B286" s="2" t="n">
        <v>43151</v>
      </c>
      <c r="C286" t="n">
        <v>262</v>
      </c>
      <c r="D286" t="n">
        <v>263.58</v>
      </c>
      <c r="E286" t="n">
        <v>260.53</v>
      </c>
      <c r="F286" t="n">
        <v>261.39</v>
      </c>
      <c r="G286" t="n">
        <v>89676400</v>
      </c>
      <c r="H286">
        <f>MAX(D286-E286,ABS(D286-F285),ABS(E286-F285))</f>
        <v/>
      </c>
      <c r="I286">
        <f>AVERAGE(F267:F286)</f>
        <v/>
      </c>
      <c r="J286">
        <f>STDEVP(F267:F286)</f>
        <v/>
      </c>
      <c r="K286">
        <f>AVERAGE(H267:H286)</f>
        <v/>
      </c>
      <c r="L286">
        <f>I286+2.0*J286</f>
        <v/>
      </c>
      <c r="M286">
        <f>I286-2.0*J286</f>
        <v/>
      </c>
      <c r="N286">
        <f>I286+1.5*K286</f>
        <v/>
      </c>
      <c r="O286">
        <f>I286-1.5*K286</f>
        <v/>
      </c>
      <c r="P286">
        <f>AND(L286&lt;N286,M286&gt;O286)</f>
        <v/>
      </c>
      <c r="Q286">
        <f>MAX(D267:D286)</f>
        <v/>
      </c>
      <c r="R286">
        <f>MIN(E267:E286)</f>
        <v/>
      </c>
      <c r="S286">
        <f>F286-((Q286+R286)/2+I286)/2</f>
        <v/>
      </c>
      <c r="T286">
        <f>FORECAST(A286,S267:S286,A267:A286)</f>
        <v/>
      </c>
    </row>
    <row r="287">
      <c r="A287" t="n">
        <v>285</v>
      </c>
      <c r="B287" s="2" t="n">
        <v>43152</v>
      </c>
      <c r="C287" t="n">
        <v>261.87</v>
      </c>
      <c r="D287" t="n">
        <v>264.59</v>
      </c>
      <c r="E287" t="n">
        <v>259.99</v>
      </c>
      <c r="F287" t="n">
        <v>260.09</v>
      </c>
      <c r="G287" t="n">
        <v>102669592</v>
      </c>
      <c r="H287">
        <f>MAX(D287-E287,ABS(D287-F286),ABS(E287-F286))</f>
        <v/>
      </c>
      <c r="I287">
        <f>AVERAGE(F268:F287)</f>
        <v/>
      </c>
      <c r="J287">
        <f>STDEVP(F268:F287)</f>
        <v/>
      </c>
      <c r="K287">
        <f>AVERAGE(H268:H287)</f>
        <v/>
      </c>
      <c r="L287">
        <f>I287+2.0*J287</f>
        <v/>
      </c>
      <c r="M287">
        <f>I287-2.0*J287</f>
        <v/>
      </c>
      <c r="N287">
        <f>I287+1.5*K287</f>
        <v/>
      </c>
      <c r="O287">
        <f>I287-1.5*K287</f>
        <v/>
      </c>
      <c r="P287">
        <f>AND(L287&lt;N287,M287&gt;O287)</f>
        <v/>
      </c>
      <c r="Q287">
        <f>MAX(D268:D287)</f>
        <v/>
      </c>
      <c r="R287">
        <f>MIN(E268:E287)</f>
        <v/>
      </c>
      <c r="S287">
        <f>F287-((Q287+R287)/2+I287)/2</f>
        <v/>
      </c>
      <c r="T287">
        <f>FORECAST(A287,S268:S287,A268:A287)</f>
        <v/>
      </c>
    </row>
    <row r="288">
      <c r="A288" t="n">
        <v>286</v>
      </c>
      <c r="B288" s="2" t="n">
        <v>43153</v>
      </c>
      <c r="C288" t="n">
        <v>261.1</v>
      </c>
      <c r="D288" t="n">
        <v>262.98</v>
      </c>
      <c r="E288" t="n">
        <v>259.7</v>
      </c>
      <c r="F288" t="n">
        <v>260.43</v>
      </c>
      <c r="G288" t="n">
        <v>114742312</v>
      </c>
      <c r="H288">
        <f>MAX(D288-E288,ABS(D288-F287),ABS(E288-F287))</f>
        <v/>
      </c>
      <c r="I288">
        <f>AVERAGE(F269:F288)</f>
        <v/>
      </c>
      <c r="J288">
        <f>STDEVP(F269:F288)</f>
        <v/>
      </c>
      <c r="K288">
        <f>AVERAGE(H269:H288)</f>
        <v/>
      </c>
      <c r="L288">
        <f>I288+2.0*J288</f>
        <v/>
      </c>
      <c r="M288">
        <f>I288-2.0*J288</f>
        <v/>
      </c>
      <c r="N288">
        <f>I288+1.5*K288</f>
        <v/>
      </c>
      <c r="O288">
        <f>I288-1.5*K288</f>
        <v/>
      </c>
      <c r="P288">
        <f>AND(L288&lt;N288,M288&gt;O288)</f>
        <v/>
      </c>
      <c r="Q288">
        <f>MAX(D269:D288)</f>
        <v/>
      </c>
      <c r="R288">
        <f>MIN(E269:E288)</f>
        <v/>
      </c>
      <c r="S288">
        <f>F288-((Q288+R288)/2+I288)/2</f>
        <v/>
      </c>
      <c r="T288">
        <f>FORECAST(A288,S269:S288,A269:A288)</f>
        <v/>
      </c>
    </row>
    <row r="289">
      <c r="A289" t="n">
        <v>287</v>
      </c>
      <c r="B289" s="2" t="n">
        <v>43154</v>
      </c>
      <c r="C289" t="n">
        <v>261.77</v>
      </c>
      <c r="D289" t="n">
        <v>264.58</v>
      </c>
      <c r="E289" t="n">
        <v>261.25</v>
      </c>
      <c r="F289" t="n">
        <v>264.58</v>
      </c>
      <c r="G289" t="n">
        <v>96318072</v>
      </c>
      <c r="H289">
        <f>MAX(D289-E289,ABS(D289-F288),ABS(E289-F288))</f>
        <v/>
      </c>
      <c r="I289">
        <f>AVERAGE(F270:F289)</f>
        <v/>
      </c>
      <c r="J289">
        <f>STDEVP(F270:F289)</f>
        <v/>
      </c>
      <c r="K289">
        <f>AVERAGE(H270:H289)</f>
        <v/>
      </c>
      <c r="L289">
        <f>I289+2.0*J289</f>
        <v/>
      </c>
      <c r="M289">
        <f>I289-2.0*J289</f>
        <v/>
      </c>
      <c r="N289">
        <f>I289+1.5*K289</f>
        <v/>
      </c>
      <c r="O289">
        <f>I289-1.5*K289</f>
        <v/>
      </c>
      <c r="P289">
        <f>AND(L289&lt;N289,M289&gt;O289)</f>
        <v/>
      </c>
      <c r="Q289">
        <f>MAX(D270:D289)</f>
        <v/>
      </c>
      <c r="R289">
        <f>MIN(E270:E289)</f>
        <v/>
      </c>
      <c r="S289">
        <f>F289-((Q289+R289)/2+I289)/2</f>
        <v/>
      </c>
      <c r="T289">
        <f>FORECAST(A289,S270:S289,A270:A289)</f>
        <v/>
      </c>
    </row>
    <row r="290">
      <c r="A290" t="n">
        <v>288</v>
      </c>
      <c r="B290" s="2" t="n">
        <v>43157</v>
      </c>
      <c r="C290" t="n">
        <v>265.76</v>
      </c>
      <c r="D290" t="n">
        <v>267.76</v>
      </c>
      <c r="E290" t="n">
        <v>265.11</v>
      </c>
      <c r="F290" t="n">
        <v>267.65</v>
      </c>
      <c r="G290" t="n">
        <v>89802808</v>
      </c>
      <c r="H290">
        <f>MAX(D290-E290,ABS(D290-F289),ABS(E290-F289))</f>
        <v/>
      </c>
      <c r="I290">
        <f>AVERAGE(F271:F290)</f>
        <v/>
      </c>
      <c r="J290">
        <f>STDEVP(F271:F290)</f>
        <v/>
      </c>
      <c r="K290">
        <f>AVERAGE(H271:H290)</f>
        <v/>
      </c>
      <c r="L290">
        <f>I290+2.0*J290</f>
        <v/>
      </c>
      <c r="M290">
        <f>I290-2.0*J290</f>
        <v/>
      </c>
      <c r="N290">
        <f>I290+1.5*K290</f>
        <v/>
      </c>
      <c r="O290">
        <f>I290-1.5*K290</f>
        <v/>
      </c>
      <c r="P290">
        <f>AND(L290&lt;N290,M290&gt;O290)</f>
        <v/>
      </c>
      <c r="Q290">
        <f>MAX(D271:D290)</f>
        <v/>
      </c>
      <c r="R290">
        <f>MIN(E271:E290)</f>
        <v/>
      </c>
      <c r="S290">
        <f>F290-((Q290+R290)/2+I290)/2</f>
        <v/>
      </c>
      <c r="T290">
        <f>FORECAST(A290,S271:S290,A271:A290)</f>
        <v/>
      </c>
    </row>
    <row r="291">
      <c r="A291" t="n">
        <v>289</v>
      </c>
      <c r="B291" s="2" t="n">
        <v>43158</v>
      </c>
      <c r="C291" t="n">
        <v>267.86</v>
      </c>
      <c r="D291" t="n">
        <v>268.63</v>
      </c>
      <c r="E291" t="n">
        <v>264.24</v>
      </c>
      <c r="F291" t="n">
        <v>264.31</v>
      </c>
      <c r="G291" t="n">
        <v>102893264</v>
      </c>
      <c r="H291">
        <f>MAX(D291-E291,ABS(D291-F290),ABS(E291-F290))</f>
        <v/>
      </c>
      <c r="I291">
        <f>AVERAGE(F272:F291)</f>
        <v/>
      </c>
      <c r="J291">
        <f>STDEVP(F272:F291)</f>
        <v/>
      </c>
      <c r="K291">
        <f>AVERAGE(H272:H291)</f>
        <v/>
      </c>
      <c r="L291">
        <f>I291+2.0*J291</f>
        <v/>
      </c>
      <c r="M291">
        <f>I291-2.0*J291</f>
        <v/>
      </c>
      <c r="N291">
        <f>I291+1.5*K291</f>
        <v/>
      </c>
      <c r="O291">
        <f>I291-1.5*K291</f>
        <v/>
      </c>
      <c r="P291">
        <f>AND(L291&lt;N291,M291&gt;O291)</f>
        <v/>
      </c>
      <c r="Q291">
        <f>MAX(D272:D291)</f>
        <v/>
      </c>
      <c r="R291">
        <f>MIN(E272:E291)</f>
        <v/>
      </c>
      <c r="S291">
        <f>F291-((Q291+R291)/2+I291)/2</f>
        <v/>
      </c>
      <c r="T291">
        <f>FORECAST(A291,S272:S291,A272:A291)</f>
        <v/>
      </c>
    </row>
    <row r="292">
      <c r="A292" t="n">
        <v>290</v>
      </c>
      <c r="B292" s="2" t="n">
        <v>43159</v>
      </c>
      <c r="C292" t="n">
        <v>265.51</v>
      </c>
      <c r="D292" t="n">
        <v>266.01</v>
      </c>
      <c r="E292" t="n">
        <v>261.29</v>
      </c>
      <c r="F292" t="n">
        <v>261.63</v>
      </c>
      <c r="G292" t="n">
        <v>126575120</v>
      </c>
      <c r="H292">
        <f>MAX(D292-E292,ABS(D292-F291),ABS(E292-F291))</f>
        <v/>
      </c>
      <c r="I292">
        <f>AVERAGE(F273:F292)</f>
        <v/>
      </c>
      <c r="J292">
        <f>STDEVP(F273:F292)</f>
        <v/>
      </c>
      <c r="K292">
        <f>AVERAGE(H273:H292)</f>
        <v/>
      </c>
      <c r="L292">
        <f>I292+2.0*J292</f>
        <v/>
      </c>
      <c r="M292">
        <f>I292-2.0*J292</f>
        <v/>
      </c>
      <c r="N292">
        <f>I292+1.5*K292</f>
        <v/>
      </c>
      <c r="O292">
        <f>I292-1.5*K292</f>
        <v/>
      </c>
      <c r="P292">
        <f>AND(L292&lt;N292,M292&gt;O292)</f>
        <v/>
      </c>
      <c r="Q292">
        <f>MAX(D273:D292)</f>
        <v/>
      </c>
      <c r="R292">
        <f>MIN(E273:E292)</f>
        <v/>
      </c>
      <c r="S292">
        <f>F292-((Q292+R292)/2+I292)/2</f>
        <v/>
      </c>
      <c r="T292">
        <f>FORECAST(A292,S273:S292,A273:A292)</f>
        <v/>
      </c>
    </row>
    <row r="293">
      <c r="A293" t="n">
        <v>291</v>
      </c>
      <c r="B293" s="2" t="n">
        <v>43160</v>
      </c>
      <c r="C293" t="n">
        <v>261.4</v>
      </c>
      <c r="D293" t="n">
        <v>263.1</v>
      </c>
      <c r="E293" t="n">
        <v>256.19</v>
      </c>
      <c r="F293" t="n">
        <v>257.83</v>
      </c>
      <c r="G293" t="n">
        <v>183626128</v>
      </c>
      <c r="H293">
        <f>MAX(D293-E293,ABS(D293-F292),ABS(E293-F292))</f>
        <v/>
      </c>
      <c r="I293">
        <f>AVERAGE(F274:F293)</f>
        <v/>
      </c>
      <c r="J293">
        <f>STDEVP(F274:F293)</f>
        <v/>
      </c>
      <c r="K293">
        <f>AVERAGE(H274:H293)</f>
        <v/>
      </c>
      <c r="L293">
        <f>I293+2.0*J293</f>
        <v/>
      </c>
      <c r="M293">
        <f>I293-2.0*J293</f>
        <v/>
      </c>
      <c r="N293">
        <f>I293+1.5*K293</f>
        <v/>
      </c>
      <c r="O293">
        <f>I293-1.5*K293</f>
        <v/>
      </c>
      <c r="P293">
        <f>AND(L293&lt;N293,M293&gt;O293)</f>
        <v/>
      </c>
      <c r="Q293">
        <f>MAX(D274:D293)</f>
        <v/>
      </c>
      <c r="R293">
        <f>MIN(E274:E293)</f>
        <v/>
      </c>
      <c r="S293">
        <f>F293-((Q293+R293)/2+I293)/2</f>
        <v/>
      </c>
      <c r="T293">
        <f>FORECAST(A293,S274:S293,A274:A293)</f>
        <v/>
      </c>
    </row>
    <row r="294">
      <c r="A294" t="n">
        <v>292</v>
      </c>
      <c r="B294" s="2" t="n">
        <v>43161</v>
      </c>
      <c r="C294" t="n">
        <v>256</v>
      </c>
      <c r="D294" t="n">
        <v>259.77</v>
      </c>
      <c r="E294" t="n">
        <v>255.05</v>
      </c>
      <c r="F294" t="n">
        <v>259.16</v>
      </c>
      <c r="G294" t="n">
        <v>144408144</v>
      </c>
      <c r="H294">
        <f>MAX(D294-E294,ABS(D294-F293),ABS(E294-F293))</f>
        <v/>
      </c>
      <c r="I294">
        <f>AVERAGE(F275:F294)</f>
        <v/>
      </c>
      <c r="J294">
        <f>STDEVP(F275:F294)</f>
        <v/>
      </c>
      <c r="K294">
        <f>AVERAGE(H275:H294)</f>
        <v/>
      </c>
      <c r="L294">
        <f>I294+2.0*J294</f>
        <v/>
      </c>
      <c r="M294">
        <f>I294-2.0*J294</f>
        <v/>
      </c>
      <c r="N294">
        <f>I294+1.5*K294</f>
        <v/>
      </c>
      <c r="O294">
        <f>I294-1.5*K294</f>
        <v/>
      </c>
      <c r="P294">
        <f>AND(L294&lt;N294,M294&gt;O294)</f>
        <v/>
      </c>
      <c r="Q294">
        <f>MAX(D275:D294)</f>
        <v/>
      </c>
      <c r="R294">
        <f>MIN(E275:E294)</f>
        <v/>
      </c>
      <c r="S294">
        <f>F294-((Q294+R294)/2+I294)/2</f>
        <v/>
      </c>
      <c r="T294">
        <f>FORECAST(A294,S275:S294,A275:A294)</f>
        <v/>
      </c>
    </row>
    <row r="295">
      <c r="A295" t="n">
        <v>293</v>
      </c>
      <c r="B295" s="2" t="n">
        <v>43164</v>
      </c>
      <c r="C295" t="n">
        <v>257.86</v>
      </c>
      <c r="D295" t="n">
        <v>262.83</v>
      </c>
      <c r="E295" t="n">
        <v>257.74</v>
      </c>
      <c r="F295" t="n">
        <v>262.15</v>
      </c>
      <c r="G295" t="n">
        <v>101032888</v>
      </c>
      <c r="H295">
        <f>MAX(D295-E295,ABS(D295-F294),ABS(E295-F294))</f>
        <v/>
      </c>
      <c r="I295">
        <f>AVERAGE(F276:F295)</f>
        <v/>
      </c>
      <c r="J295">
        <f>STDEVP(F276:F295)</f>
        <v/>
      </c>
      <c r="K295">
        <f>AVERAGE(H276:H295)</f>
        <v/>
      </c>
      <c r="L295">
        <f>I295+2.0*J295</f>
        <v/>
      </c>
      <c r="M295">
        <f>I295-2.0*J295</f>
        <v/>
      </c>
      <c r="N295">
        <f>I295+1.5*K295</f>
        <v/>
      </c>
      <c r="O295">
        <f>I295-1.5*K295</f>
        <v/>
      </c>
      <c r="P295">
        <f>AND(L295&lt;N295,M295&gt;O295)</f>
        <v/>
      </c>
      <c r="Q295">
        <f>MAX(D276:D295)</f>
        <v/>
      </c>
      <c r="R295">
        <f>MIN(E276:E295)</f>
        <v/>
      </c>
      <c r="S295">
        <f>F295-((Q295+R295)/2+I295)/2</f>
        <v/>
      </c>
      <c r="T295">
        <f>FORECAST(A295,S276:S295,A276:A295)</f>
        <v/>
      </c>
    </row>
    <row r="296">
      <c r="A296" t="n">
        <v>294</v>
      </c>
      <c r="B296" s="2" t="n">
        <v>43165</v>
      </c>
      <c r="C296" t="n">
        <v>263.22</v>
      </c>
      <c r="D296" t="n">
        <v>263.31</v>
      </c>
      <c r="E296" t="n">
        <v>261.18</v>
      </c>
      <c r="F296" t="n">
        <v>262.82</v>
      </c>
      <c r="G296" t="n">
        <v>82245904</v>
      </c>
      <c r="H296">
        <f>MAX(D296-E296,ABS(D296-F295),ABS(E296-F295))</f>
        <v/>
      </c>
      <c r="I296">
        <f>AVERAGE(F277:F296)</f>
        <v/>
      </c>
      <c r="J296">
        <f>STDEVP(F277:F296)</f>
        <v/>
      </c>
      <c r="K296">
        <f>AVERAGE(H277:H296)</f>
        <v/>
      </c>
      <c r="L296">
        <f>I296+2.0*J296</f>
        <v/>
      </c>
      <c r="M296">
        <f>I296-2.0*J296</f>
        <v/>
      </c>
      <c r="N296">
        <f>I296+1.5*K296</f>
        <v/>
      </c>
      <c r="O296">
        <f>I296-1.5*K296</f>
        <v/>
      </c>
      <c r="P296">
        <f>AND(L296&lt;N296,M296&gt;O296)</f>
        <v/>
      </c>
      <c r="Q296">
        <f>MAX(D277:D296)</f>
        <v/>
      </c>
      <c r="R296">
        <f>MIN(E277:E296)</f>
        <v/>
      </c>
      <c r="S296">
        <f>F296-((Q296+R296)/2+I296)/2</f>
        <v/>
      </c>
      <c r="T296">
        <f>FORECAST(A296,S277:S296,A277:A296)</f>
        <v/>
      </c>
    </row>
    <row r="297">
      <c r="A297" t="n">
        <v>295</v>
      </c>
      <c r="B297" s="2" t="n">
        <v>43166</v>
      </c>
      <c r="C297" t="n">
        <v>260.45</v>
      </c>
      <c r="D297" t="n">
        <v>263.11</v>
      </c>
      <c r="E297" t="n">
        <v>260.24</v>
      </c>
      <c r="F297" t="n">
        <v>262.72</v>
      </c>
      <c r="G297" t="n">
        <v>90396808</v>
      </c>
      <c r="H297">
        <f>MAX(D297-E297,ABS(D297-F296),ABS(E297-F296))</f>
        <v/>
      </c>
      <c r="I297">
        <f>AVERAGE(F278:F297)</f>
        <v/>
      </c>
      <c r="J297">
        <f>STDEVP(F278:F297)</f>
        <v/>
      </c>
      <c r="K297">
        <f>AVERAGE(H278:H297)</f>
        <v/>
      </c>
      <c r="L297">
        <f>I297+2.0*J297</f>
        <v/>
      </c>
      <c r="M297">
        <f>I297-2.0*J297</f>
        <v/>
      </c>
      <c r="N297">
        <f>I297+1.5*K297</f>
        <v/>
      </c>
      <c r="O297">
        <f>I297-1.5*K297</f>
        <v/>
      </c>
      <c r="P297">
        <f>AND(L297&lt;N297,M297&gt;O297)</f>
        <v/>
      </c>
      <c r="Q297">
        <f>MAX(D278:D297)</f>
        <v/>
      </c>
      <c r="R297">
        <f>MIN(E278:E297)</f>
        <v/>
      </c>
      <c r="S297">
        <f>F297-((Q297+R297)/2+I297)/2</f>
        <v/>
      </c>
      <c r="T297">
        <f>FORECAST(A297,S278:S297,A278:A297)</f>
        <v/>
      </c>
    </row>
    <row r="298">
      <c r="A298" t="n">
        <v>296</v>
      </c>
      <c r="B298" s="2" t="n">
        <v>43167</v>
      </c>
      <c r="C298" t="n">
        <v>263.46</v>
      </c>
      <c r="D298" t="n">
        <v>264.13</v>
      </c>
      <c r="E298" t="n">
        <v>262.37</v>
      </c>
      <c r="F298" t="n">
        <v>263.99</v>
      </c>
      <c r="G298" t="n">
        <v>69462520</v>
      </c>
      <c r="H298">
        <f>MAX(D298-E298,ABS(D298-F297),ABS(E298-F297))</f>
        <v/>
      </c>
      <c r="I298">
        <f>AVERAGE(F279:F298)</f>
        <v/>
      </c>
      <c r="J298">
        <f>STDEVP(F279:F298)</f>
        <v/>
      </c>
      <c r="K298">
        <f>AVERAGE(H279:H298)</f>
        <v/>
      </c>
      <c r="L298">
        <f>I298+2.0*J298</f>
        <v/>
      </c>
      <c r="M298">
        <f>I298-2.0*J298</f>
        <v/>
      </c>
      <c r="N298">
        <f>I298+1.5*K298</f>
        <v/>
      </c>
      <c r="O298">
        <f>I298-1.5*K298</f>
        <v/>
      </c>
      <c r="P298">
        <f>AND(L298&lt;N298,M298&gt;O298)</f>
        <v/>
      </c>
      <c r="Q298">
        <f>MAX(D279:D298)</f>
        <v/>
      </c>
      <c r="R298">
        <f>MIN(E279:E298)</f>
        <v/>
      </c>
      <c r="S298">
        <f>F298-((Q298+R298)/2+I298)/2</f>
        <v/>
      </c>
      <c r="T298">
        <f>FORECAST(A298,S279:S298,A279:A298)</f>
        <v/>
      </c>
    </row>
    <row r="299">
      <c r="A299" t="n">
        <v>297</v>
      </c>
      <c r="B299" s="2" t="n">
        <v>43168</v>
      </c>
      <c r="C299" t="n">
        <v>265.53</v>
      </c>
      <c r="D299" t="n">
        <v>268.59</v>
      </c>
      <c r="E299" t="n">
        <v>265.19</v>
      </c>
      <c r="F299" t="n">
        <v>268.59</v>
      </c>
      <c r="G299" t="n">
        <v>117975584</v>
      </c>
      <c r="H299">
        <f>MAX(D299-E299,ABS(D299-F298),ABS(E299-F298))</f>
        <v/>
      </c>
      <c r="I299">
        <f>AVERAGE(F280:F299)</f>
        <v/>
      </c>
      <c r="J299">
        <f>STDEVP(F280:F299)</f>
        <v/>
      </c>
      <c r="K299">
        <f>AVERAGE(H280:H299)</f>
        <v/>
      </c>
      <c r="L299">
        <f>I299+2.0*J299</f>
        <v/>
      </c>
      <c r="M299">
        <f>I299-2.0*J299</f>
        <v/>
      </c>
      <c r="N299">
        <f>I299+1.5*K299</f>
        <v/>
      </c>
      <c r="O299">
        <f>I299-1.5*K299</f>
        <v/>
      </c>
      <c r="P299">
        <f>AND(L299&lt;N299,M299&gt;O299)</f>
        <v/>
      </c>
      <c r="Q299">
        <f>MAX(D280:D299)</f>
        <v/>
      </c>
      <c r="R299">
        <f>MIN(E280:E299)</f>
        <v/>
      </c>
      <c r="S299">
        <f>F299-((Q299+R299)/2+I299)/2</f>
        <v/>
      </c>
      <c r="T299">
        <f>FORECAST(A299,S280:S299,A280:A299)</f>
        <v/>
      </c>
    </row>
    <row r="300">
      <c r="A300" t="n">
        <v>298</v>
      </c>
      <c r="B300" s="2" t="n">
        <v>43171</v>
      </c>
      <c r="C300" t="n">
        <v>268.9</v>
      </c>
      <c r="D300" t="n">
        <v>269.59</v>
      </c>
      <c r="E300" t="n">
        <v>267.83</v>
      </c>
      <c r="F300" t="n">
        <v>268.25</v>
      </c>
      <c r="G300" t="n">
        <v>74678496</v>
      </c>
      <c r="H300">
        <f>MAX(D300-E300,ABS(D300-F299),ABS(E300-F299))</f>
        <v/>
      </c>
      <c r="I300">
        <f>AVERAGE(F281:F300)</f>
        <v/>
      </c>
      <c r="J300">
        <f>STDEVP(F281:F300)</f>
        <v/>
      </c>
      <c r="K300">
        <f>AVERAGE(H281:H300)</f>
        <v/>
      </c>
      <c r="L300">
        <f>I300+2.0*J300</f>
        <v/>
      </c>
      <c r="M300">
        <f>I300-2.0*J300</f>
        <v/>
      </c>
      <c r="N300">
        <f>I300+1.5*K300</f>
        <v/>
      </c>
      <c r="O300">
        <f>I300-1.5*K300</f>
        <v/>
      </c>
      <c r="P300">
        <f>AND(L300&lt;N300,M300&gt;O300)</f>
        <v/>
      </c>
      <c r="Q300">
        <f>MAX(D281:D300)</f>
        <v/>
      </c>
      <c r="R300">
        <f>MIN(E281:E300)</f>
        <v/>
      </c>
      <c r="S300">
        <f>F300-((Q300+R300)/2+I300)/2</f>
        <v/>
      </c>
      <c r="T300">
        <f>FORECAST(A300,S281:S300,A281:A300)</f>
        <v/>
      </c>
    </row>
    <row r="301">
      <c r="A301" t="n">
        <v>299</v>
      </c>
      <c r="B301" s="2" t="n">
        <v>43172</v>
      </c>
      <c r="C301" t="n">
        <v>269.52</v>
      </c>
      <c r="D301" t="n">
        <v>270.07</v>
      </c>
      <c r="E301" t="n">
        <v>265.85</v>
      </c>
      <c r="F301" t="n">
        <v>266.52</v>
      </c>
      <c r="G301" t="n">
        <v>95490048</v>
      </c>
      <c r="H301">
        <f>MAX(D301-E301,ABS(D301-F300),ABS(E301-F300))</f>
        <v/>
      </c>
      <c r="I301">
        <f>AVERAGE(F282:F301)</f>
        <v/>
      </c>
      <c r="J301">
        <f>STDEVP(F282:F301)</f>
        <v/>
      </c>
      <c r="K301">
        <f>AVERAGE(H282:H301)</f>
        <v/>
      </c>
      <c r="L301">
        <f>I301+2.0*J301</f>
        <v/>
      </c>
      <c r="M301">
        <f>I301-2.0*J301</f>
        <v/>
      </c>
      <c r="N301">
        <f>I301+1.5*K301</f>
        <v/>
      </c>
      <c r="O301">
        <f>I301-1.5*K301</f>
        <v/>
      </c>
      <c r="P301">
        <f>AND(L301&lt;N301,M301&gt;O301)</f>
        <v/>
      </c>
      <c r="Q301">
        <f>MAX(D282:D301)</f>
        <v/>
      </c>
      <c r="R301">
        <f>MIN(E282:E301)</f>
        <v/>
      </c>
      <c r="S301">
        <f>F301-((Q301+R301)/2+I301)/2</f>
        <v/>
      </c>
      <c r="T301">
        <f>FORECAST(A301,S282:S301,A282:A301)</f>
        <v/>
      </c>
    </row>
    <row r="302">
      <c r="A302" t="n">
        <v>300</v>
      </c>
      <c r="B302" s="2" t="n">
        <v>43173</v>
      </c>
      <c r="C302" t="n">
        <v>267.57</v>
      </c>
      <c r="D302" t="n">
        <v>267.77</v>
      </c>
      <c r="E302" t="n">
        <v>264.54</v>
      </c>
      <c r="F302" t="n">
        <v>265.15</v>
      </c>
      <c r="G302" t="n">
        <v>109949368</v>
      </c>
      <c r="H302">
        <f>MAX(D302-E302,ABS(D302-F301),ABS(E302-F301))</f>
        <v/>
      </c>
      <c r="I302">
        <f>AVERAGE(F283:F302)</f>
        <v/>
      </c>
      <c r="J302">
        <f>STDEVP(F283:F302)</f>
        <v/>
      </c>
      <c r="K302">
        <f>AVERAGE(H283:H302)</f>
        <v/>
      </c>
      <c r="L302">
        <f>I302+2.0*J302</f>
        <v/>
      </c>
      <c r="M302">
        <f>I302-2.0*J302</f>
        <v/>
      </c>
      <c r="N302">
        <f>I302+1.5*K302</f>
        <v/>
      </c>
      <c r="O302">
        <f>I302-1.5*K302</f>
        <v/>
      </c>
      <c r="P302">
        <f>AND(L302&lt;N302,M302&gt;O302)</f>
        <v/>
      </c>
      <c r="Q302">
        <f>MAX(D283:D302)</f>
        <v/>
      </c>
      <c r="R302">
        <f>MIN(E283:E302)</f>
        <v/>
      </c>
      <c r="S302">
        <f>F302-((Q302+R302)/2+I302)/2</f>
        <v/>
      </c>
      <c r="T302">
        <f>FORECAST(A302,S283:S302,A283:A302)</f>
        <v/>
      </c>
    </row>
    <row r="303">
      <c r="A303" t="n">
        <v>301</v>
      </c>
      <c r="B303" s="2" t="n">
        <v>43174</v>
      </c>
      <c r="C303" t="n">
        <v>265.71</v>
      </c>
      <c r="D303" t="n">
        <v>266.41</v>
      </c>
      <c r="E303" t="n">
        <v>264.31</v>
      </c>
      <c r="F303" t="n">
        <v>264.86</v>
      </c>
      <c r="G303" t="n">
        <v>86627344</v>
      </c>
      <c r="H303">
        <f>MAX(D303-E303,ABS(D303-F302),ABS(E303-F302))</f>
        <v/>
      </c>
      <c r="I303">
        <f>AVERAGE(F284:F303)</f>
        <v/>
      </c>
      <c r="J303">
        <f>STDEVP(F284:F303)</f>
        <v/>
      </c>
      <c r="K303">
        <f>AVERAGE(H284:H303)</f>
        <v/>
      </c>
      <c r="L303">
        <f>I303+2.0*J303</f>
        <v/>
      </c>
      <c r="M303">
        <f>I303-2.0*J303</f>
        <v/>
      </c>
      <c r="N303">
        <f>I303+1.5*K303</f>
        <v/>
      </c>
      <c r="O303">
        <f>I303-1.5*K303</f>
        <v/>
      </c>
      <c r="P303">
        <f>AND(L303&lt;N303,M303&gt;O303)</f>
        <v/>
      </c>
      <c r="Q303">
        <f>MAX(D284:D303)</f>
        <v/>
      </c>
      <c r="R303">
        <f>MIN(E284:E303)</f>
        <v/>
      </c>
      <c r="S303">
        <f>F303-((Q303+R303)/2+I303)/2</f>
        <v/>
      </c>
      <c r="T303">
        <f>FORECAST(A303,S284:S303,A284:A303)</f>
        <v/>
      </c>
    </row>
    <row r="304">
      <c r="A304" t="n">
        <v>302</v>
      </c>
      <c r="B304" s="2" t="n">
        <v>43175</v>
      </c>
      <c r="C304" t="n">
        <v>265.44</v>
      </c>
      <c r="D304" t="n">
        <v>266.3</v>
      </c>
      <c r="E304" t="n">
        <v>265.09</v>
      </c>
      <c r="F304" t="n">
        <v>265.15</v>
      </c>
      <c r="G304" t="n">
        <v>103769888</v>
      </c>
      <c r="H304">
        <f>MAX(D304-E304,ABS(D304-F303),ABS(E304-F303))</f>
        <v/>
      </c>
      <c r="I304">
        <f>AVERAGE(F285:F304)</f>
        <v/>
      </c>
      <c r="J304">
        <f>STDEVP(F285:F304)</f>
        <v/>
      </c>
      <c r="K304">
        <f>AVERAGE(H285:H304)</f>
        <v/>
      </c>
      <c r="L304">
        <f>I304+2.0*J304</f>
        <v/>
      </c>
      <c r="M304">
        <f>I304-2.0*J304</f>
        <v/>
      </c>
      <c r="N304">
        <f>I304+1.5*K304</f>
        <v/>
      </c>
      <c r="O304">
        <f>I304-1.5*K304</f>
        <v/>
      </c>
      <c r="P304">
        <f>AND(L304&lt;N304,M304&gt;O304)</f>
        <v/>
      </c>
      <c r="Q304">
        <f>MAX(D285:D304)</f>
        <v/>
      </c>
      <c r="R304">
        <f>MIN(E285:E304)</f>
        <v/>
      </c>
      <c r="S304">
        <f>F304-((Q304+R304)/2+I304)/2</f>
        <v/>
      </c>
      <c r="T304">
        <f>FORECAST(A304,S285:S304,A285:A304)</f>
        <v/>
      </c>
    </row>
    <row r="305">
      <c r="A305" t="n">
        <v>303</v>
      </c>
      <c r="B305" s="2" t="n">
        <v>43178</v>
      </c>
      <c r="C305" t="n">
        <v>264.32</v>
      </c>
      <c r="D305" t="n">
        <v>265.34</v>
      </c>
      <c r="E305" t="n">
        <v>259.75</v>
      </c>
      <c r="F305" t="n">
        <v>261.56</v>
      </c>
      <c r="G305" t="n">
        <v>112937344</v>
      </c>
      <c r="H305">
        <f>MAX(D305-E305,ABS(D305-F304),ABS(E305-F304))</f>
        <v/>
      </c>
      <c r="I305">
        <f>AVERAGE(F286:F305)</f>
        <v/>
      </c>
      <c r="J305">
        <f>STDEVP(F286:F305)</f>
        <v/>
      </c>
      <c r="K305">
        <f>AVERAGE(H286:H305)</f>
        <v/>
      </c>
      <c r="L305">
        <f>I305+2.0*J305</f>
        <v/>
      </c>
      <c r="M305">
        <f>I305-2.0*J305</f>
        <v/>
      </c>
      <c r="N305">
        <f>I305+1.5*K305</f>
        <v/>
      </c>
      <c r="O305">
        <f>I305-1.5*K305</f>
        <v/>
      </c>
      <c r="P305">
        <f>AND(L305&lt;N305,M305&gt;O305)</f>
        <v/>
      </c>
      <c r="Q305">
        <f>MAX(D286:D305)</f>
        <v/>
      </c>
      <c r="R305">
        <f>MIN(E286:E305)</f>
        <v/>
      </c>
      <c r="S305">
        <f>F305-((Q305+R305)/2+I305)/2</f>
        <v/>
      </c>
      <c r="T305">
        <f>FORECAST(A305,S286:S305,A286:A305)</f>
        <v/>
      </c>
    </row>
    <row r="306">
      <c r="A306" t="n">
        <v>304</v>
      </c>
      <c r="B306" s="2" t="n">
        <v>43179</v>
      </c>
      <c r="C306" t="n">
        <v>261.99</v>
      </c>
      <c r="D306" t="n">
        <v>262.7</v>
      </c>
      <c r="E306" t="n">
        <v>261.26</v>
      </c>
      <c r="F306" t="n">
        <v>262</v>
      </c>
      <c r="G306" t="n">
        <v>61797672</v>
      </c>
      <c r="H306">
        <f>MAX(D306-E306,ABS(D306-F305),ABS(E306-F305))</f>
        <v/>
      </c>
      <c r="I306">
        <f>AVERAGE(F287:F306)</f>
        <v/>
      </c>
      <c r="J306">
        <f>STDEVP(F287:F306)</f>
        <v/>
      </c>
      <c r="K306">
        <f>AVERAGE(H287:H306)</f>
        <v/>
      </c>
      <c r="L306">
        <f>I306+2.0*J306</f>
        <v/>
      </c>
      <c r="M306">
        <f>I306-2.0*J306</f>
        <v/>
      </c>
      <c r="N306">
        <f>I306+1.5*K306</f>
        <v/>
      </c>
      <c r="O306">
        <f>I306-1.5*K306</f>
        <v/>
      </c>
      <c r="P306">
        <f>AND(L306&lt;N306,M306&gt;O306)</f>
        <v/>
      </c>
      <c r="Q306">
        <f>MAX(D287:D306)</f>
        <v/>
      </c>
      <c r="R306">
        <f>MIN(E287:E306)</f>
        <v/>
      </c>
      <c r="S306">
        <f>F306-((Q306+R306)/2+I306)/2</f>
        <v/>
      </c>
      <c r="T306">
        <f>FORECAST(A306,S287:S306,A287:A306)</f>
        <v/>
      </c>
    </row>
    <row r="307">
      <c r="A307" t="n">
        <v>305</v>
      </c>
      <c r="B307" s="2" t="n">
        <v>43180</v>
      </c>
      <c r="C307" t="n">
        <v>261.96</v>
      </c>
      <c r="D307" t="n">
        <v>264.25</v>
      </c>
      <c r="E307" t="n">
        <v>261.27</v>
      </c>
      <c r="F307" t="n">
        <v>261.5</v>
      </c>
      <c r="G307" t="n">
        <v>81397104</v>
      </c>
      <c r="H307">
        <f>MAX(D307-E307,ABS(D307-F306),ABS(E307-F306))</f>
        <v/>
      </c>
      <c r="I307">
        <f>AVERAGE(F288:F307)</f>
        <v/>
      </c>
      <c r="J307">
        <f>STDEVP(F288:F307)</f>
        <v/>
      </c>
      <c r="K307">
        <f>AVERAGE(H288:H307)</f>
        <v/>
      </c>
      <c r="L307">
        <f>I307+2.0*J307</f>
        <v/>
      </c>
      <c r="M307">
        <f>I307-2.0*J307</f>
        <v/>
      </c>
      <c r="N307">
        <f>I307+1.5*K307</f>
        <v/>
      </c>
      <c r="O307">
        <f>I307-1.5*K307</f>
        <v/>
      </c>
      <c r="P307">
        <f>AND(L307&lt;N307,M307&gt;O307)</f>
        <v/>
      </c>
      <c r="Q307">
        <f>MAX(D288:D307)</f>
        <v/>
      </c>
      <c r="R307">
        <f>MIN(E288:E307)</f>
        <v/>
      </c>
      <c r="S307">
        <f>F307-((Q307+R307)/2+I307)/2</f>
        <v/>
      </c>
      <c r="T307">
        <f>FORECAST(A307,S288:S307,A288:A307)</f>
        <v/>
      </c>
    </row>
    <row r="308">
      <c r="A308" t="n">
        <v>306</v>
      </c>
      <c r="B308" s="2" t="n">
        <v>43181</v>
      </c>
      <c r="C308" t="n">
        <v>259.06</v>
      </c>
      <c r="D308" t="n">
        <v>259.99</v>
      </c>
      <c r="E308" t="n">
        <v>254.66</v>
      </c>
      <c r="F308" t="n">
        <v>254.96</v>
      </c>
      <c r="G308" t="n">
        <v>153866192</v>
      </c>
      <c r="H308">
        <f>MAX(D308-E308,ABS(D308-F307),ABS(E308-F307))</f>
        <v/>
      </c>
      <c r="I308">
        <f>AVERAGE(F289:F308)</f>
        <v/>
      </c>
      <c r="J308">
        <f>STDEVP(F289:F308)</f>
        <v/>
      </c>
      <c r="K308">
        <f>AVERAGE(H289:H308)</f>
        <v/>
      </c>
      <c r="L308">
        <f>I308+2.0*J308</f>
        <v/>
      </c>
      <c r="M308">
        <f>I308-2.0*J308</f>
        <v/>
      </c>
      <c r="N308">
        <f>I308+1.5*K308</f>
        <v/>
      </c>
      <c r="O308">
        <f>I308-1.5*K308</f>
        <v/>
      </c>
      <c r="P308">
        <f>AND(L308&lt;N308,M308&gt;O308)</f>
        <v/>
      </c>
      <c r="Q308">
        <f>MAX(D289:D308)</f>
        <v/>
      </c>
      <c r="R308">
        <f>MIN(E289:E308)</f>
        <v/>
      </c>
      <c r="S308">
        <f>F308-((Q308+R308)/2+I308)/2</f>
        <v/>
      </c>
      <c r="T308">
        <f>FORECAST(A308,S289:S308,A289:A308)</f>
        <v/>
      </c>
    </row>
    <row r="309">
      <c r="A309" t="n">
        <v>307</v>
      </c>
      <c r="B309" s="2" t="n">
        <v>43182</v>
      </c>
      <c r="C309" t="n">
        <v>255.45</v>
      </c>
      <c r="D309" t="n">
        <v>256.27</v>
      </c>
      <c r="E309" t="n">
        <v>249.32</v>
      </c>
      <c r="F309" t="n">
        <v>249.53</v>
      </c>
      <c r="G309" t="n">
        <v>189801520</v>
      </c>
      <c r="H309">
        <f>MAX(D309-E309,ABS(D309-F308),ABS(E309-F308))</f>
        <v/>
      </c>
      <c r="I309">
        <f>AVERAGE(F290:F309)</f>
        <v/>
      </c>
      <c r="J309">
        <f>STDEVP(F290:F309)</f>
        <v/>
      </c>
      <c r="K309">
        <f>AVERAGE(H290:H309)</f>
        <v/>
      </c>
      <c r="L309">
        <f>I309+2.0*J309</f>
        <v/>
      </c>
      <c r="M309">
        <f>I309-2.0*J309</f>
        <v/>
      </c>
      <c r="N309">
        <f>I309+1.5*K309</f>
        <v/>
      </c>
      <c r="O309">
        <f>I309-1.5*K309</f>
        <v/>
      </c>
      <c r="P309">
        <f>AND(L309&lt;N309,M309&gt;O309)</f>
        <v/>
      </c>
      <c r="Q309">
        <f>MAX(D290:D309)</f>
        <v/>
      </c>
      <c r="R309">
        <f>MIN(E290:E309)</f>
        <v/>
      </c>
      <c r="S309">
        <f>F309-((Q309+R309)/2+I309)/2</f>
        <v/>
      </c>
      <c r="T309">
        <f>FORECAST(A309,S290:S309,A290:A309)</f>
        <v/>
      </c>
    </row>
    <row r="310">
      <c r="A310" t="n">
        <v>308</v>
      </c>
      <c r="B310" s="2" t="n">
        <v>43185</v>
      </c>
      <c r="C310" t="n">
        <v>253.48</v>
      </c>
      <c r="D310" t="n">
        <v>256.67</v>
      </c>
      <c r="E310" t="n">
        <v>250.84</v>
      </c>
      <c r="F310" t="n">
        <v>256.36</v>
      </c>
      <c r="G310" t="n">
        <v>146803168</v>
      </c>
      <c r="H310">
        <f>MAX(D310-E310,ABS(D310-F309),ABS(E310-F309))</f>
        <v/>
      </c>
      <c r="I310">
        <f>AVERAGE(F291:F310)</f>
        <v/>
      </c>
      <c r="J310">
        <f>STDEVP(F291:F310)</f>
        <v/>
      </c>
      <c r="K310">
        <f>AVERAGE(H291:H310)</f>
        <v/>
      </c>
      <c r="L310">
        <f>I310+2.0*J310</f>
        <v/>
      </c>
      <c r="M310">
        <f>I310-2.0*J310</f>
        <v/>
      </c>
      <c r="N310">
        <f>I310+1.5*K310</f>
        <v/>
      </c>
      <c r="O310">
        <f>I310-1.5*K310</f>
        <v/>
      </c>
      <c r="P310">
        <f>AND(L310&lt;N310,M310&gt;O310)</f>
        <v/>
      </c>
      <c r="Q310">
        <f>MAX(D291:D310)</f>
        <v/>
      </c>
      <c r="R310">
        <f>MIN(E291:E310)</f>
        <v/>
      </c>
      <c r="S310">
        <f>F310-((Q310+R310)/2+I310)/2</f>
        <v/>
      </c>
      <c r="T310">
        <f>FORECAST(A310,S291:S310,A291:A310)</f>
        <v/>
      </c>
    </row>
    <row r="311">
      <c r="A311" t="n">
        <v>309</v>
      </c>
      <c r="B311" s="2" t="n">
        <v>43186</v>
      </c>
      <c r="C311" t="n">
        <v>257.38</v>
      </c>
      <c r="D311" t="n">
        <v>257.96</v>
      </c>
      <c r="E311" t="n">
        <v>250.29</v>
      </c>
      <c r="F311" t="n">
        <v>252</v>
      </c>
      <c r="G311" t="n">
        <v>134378272</v>
      </c>
      <c r="H311">
        <f>MAX(D311-E311,ABS(D311-F310),ABS(E311-F310))</f>
        <v/>
      </c>
      <c r="I311">
        <f>AVERAGE(F292:F311)</f>
        <v/>
      </c>
      <c r="J311">
        <f>STDEVP(F292:F311)</f>
        <v/>
      </c>
      <c r="K311">
        <f>AVERAGE(H292:H311)</f>
        <v/>
      </c>
      <c r="L311">
        <f>I311+2.0*J311</f>
        <v/>
      </c>
      <c r="M311">
        <f>I311-2.0*J311</f>
        <v/>
      </c>
      <c r="N311">
        <f>I311+1.5*K311</f>
        <v/>
      </c>
      <c r="O311">
        <f>I311-1.5*K311</f>
        <v/>
      </c>
      <c r="P311">
        <f>AND(L311&lt;N311,M311&gt;O311)</f>
        <v/>
      </c>
      <c r="Q311">
        <f>MAX(D292:D311)</f>
        <v/>
      </c>
      <c r="R311">
        <f>MIN(E292:E311)</f>
        <v/>
      </c>
      <c r="S311">
        <f>F311-((Q311+R311)/2+I311)/2</f>
        <v/>
      </c>
      <c r="T311">
        <f>FORECAST(A311,S292:S311,A292:A311)</f>
        <v/>
      </c>
    </row>
    <row r="312">
      <c r="A312" t="n">
        <v>310</v>
      </c>
      <c r="B312" s="2" t="n">
        <v>43187</v>
      </c>
      <c r="C312" t="n">
        <v>252.14</v>
      </c>
      <c r="D312" t="n">
        <v>253.97</v>
      </c>
      <c r="E312" t="n">
        <v>250.04</v>
      </c>
      <c r="F312" t="n">
        <v>251.25</v>
      </c>
      <c r="G312" t="n">
        <v>151452896</v>
      </c>
      <c r="H312">
        <f>MAX(D312-E312,ABS(D312-F311),ABS(E312-F311))</f>
        <v/>
      </c>
      <c r="I312">
        <f>AVERAGE(F293:F312)</f>
        <v/>
      </c>
      <c r="J312">
        <f>STDEVP(F293:F312)</f>
        <v/>
      </c>
      <c r="K312">
        <f>AVERAGE(H293:H312)</f>
        <v/>
      </c>
      <c r="L312">
        <f>I312+2.0*J312</f>
        <v/>
      </c>
      <c r="M312">
        <f>I312-2.0*J312</f>
        <v/>
      </c>
      <c r="N312">
        <f>I312+1.5*K312</f>
        <v/>
      </c>
      <c r="O312">
        <f>I312-1.5*K312</f>
        <v/>
      </c>
      <c r="P312">
        <f>AND(L312&lt;N312,M312&gt;O312)</f>
        <v/>
      </c>
      <c r="Q312">
        <f>MAX(D293:D312)</f>
        <v/>
      </c>
      <c r="R312">
        <f>MIN(E293:E312)</f>
        <v/>
      </c>
      <c r="S312">
        <f>F312-((Q312+R312)/2+I312)/2</f>
        <v/>
      </c>
      <c r="T312">
        <f>FORECAST(A312,S293:S312,A293:A312)</f>
        <v/>
      </c>
    </row>
    <row r="313">
      <c r="A313" t="n">
        <v>311</v>
      </c>
      <c r="B313" s="2" t="n">
        <v>43188</v>
      </c>
      <c r="C313" t="n">
        <v>252.5</v>
      </c>
      <c r="D313" t="n">
        <v>256.5</v>
      </c>
      <c r="E313" t="n">
        <v>251.26</v>
      </c>
      <c r="F313" t="n">
        <v>254.46</v>
      </c>
      <c r="G313" t="n">
        <v>128487112</v>
      </c>
      <c r="H313">
        <f>MAX(D313-E313,ABS(D313-F312),ABS(E313-F312))</f>
        <v/>
      </c>
      <c r="I313">
        <f>AVERAGE(F294:F313)</f>
        <v/>
      </c>
      <c r="J313">
        <f>STDEVP(F294:F313)</f>
        <v/>
      </c>
      <c r="K313">
        <f>AVERAGE(H294:H313)</f>
        <v/>
      </c>
      <c r="L313">
        <f>I313+2.0*J313</f>
        <v/>
      </c>
      <c r="M313">
        <f>I313-2.0*J313</f>
        <v/>
      </c>
      <c r="N313">
        <f>I313+1.5*K313</f>
        <v/>
      </c>
      <c r="O313">
        <f>I313-1.5*K313</f>
        <v/>
      </c>
      <c r="P313">
        <f>AND(L313&lt;N313,M313&gt;O313)</f>
        <v/>
      </c>
      <c r="Q313">
        <f>MAX(D294:D313)</f>
        <v/>
      </c>
      <c r="R313">
        <f>MIN(E294:E313)</f>
        <v/>
      </c>
      <c r="S313">
        <f>F313-((Q313+R313)/2+I313)/2</f>
        <v/>
      </c>
      <c r="T313">
        <f>FORECAST(A313,S294:S313,A294:A313)</f>
        <v/>
      </c>
    </row>
    <row r="314">
      <c r="A314" t="n">
        <v>312</v>
      </c>
      <c r="B314" s="2" t="n">
        <v>43192</v>
      </c>
      <c r="C314" t="n">
        <v>253.88</v>
      </c>
      <c r="D314" t="n">
        <v>254.44</v>
      </c>
      <c r="E314" t="n">
        <v>246.26</v>
      </c>
      <c r="F314" t="n">
        <v>248.97</v>
      </c>
      <c r="G314" t="n">
        <v>192647056</v>
      </c>
      <c r="H314">
        <f>MAX(D314-E314,ABS(D314-F313),ABS(E314-F313))</f>
        <v/>
      </c>
      <c r="I314">
        <f>AVERAGE(F295:F314)</f>
        <v/>
      </c>
      <c r="J314">
        <f>STDEVP(F295:F314)</f>
        <v/>
      </c>
      <c r="K314">
        <f>AVERAGE(H295:H314)</f>
        <v/>
      </c>
      <c r="L314">
        <f>I314+2.0*J314</f>
        <v/>
      </c>
      <c r="M314">
        <f>I314-2.0*J314</f>
        <v/>
      </c>
      <c r="N314">
        <f>I314+1.5*K314</f>
        <v/>
      </c>
      <c r="O314">
        <f>I314-1.5*K314</f>
        <v/>
      </c>
      <c r="P314">
        <f>AND(L314&lt;N314,M314&gt;O314)</f>
        <v/>
      </c>
      <c r="Q314">
        <f>MAX(D295:D314)</f>
        <v/>
      </c>
      <c r="R314">
        <f>MIN(E295:E314)</f>
        <v/>
      </c>
      <c r="S314">
        <f>F314-((Q314+R314)/2+I314)/2</f>
        <v/>
      </c>
      <c r="T314">
        <f>FORECAST(A314,S295:S314,A295:A314)</f>
        <v/>
      </c>
    </row>
    <row r="315">
      <c r="A315" t="n">
        <v>313</v>
      </c>
      <c r="B315" s="2" t="n">
        <v>43193</v>
      </c>
      <c r="C315" t="n">
        <v>250.32</v>
      </c>
      <c r="D315" t="n">
        <v>252.68</v>
      </c>
      <c r="E315" t="n">
        <v>248.36</v>
      </c>
      <c r="F315" t="n">
        <v>252.16</v>
      </c>
      <c r="G315" t="n">
        <v>124052768</v>
      </c>
      <c r="H315">
        <f>MAX(D315-E315,ABS(D315-F314),ABS(E315-F314))</f>
        <v/>
      </c>
      <c r="I315">
        <f>AVERAGE(F296:F315)</f>
        <v/>
      </c>
      <c r="J315">
        <f>STDEVP(F296:F315)</f>
        <v/>
      </c>
      <c r="K315">
        <f>AVERAGE(H296:H315)</f>
        <v/>
      </c>
      <c r="L315">
        <f>I315+2.0*J315</f>
        <v/>
      </c>
      <c r="M315">
        <f>I315-2.0*J315</f>
        <v/>
      </c>
      <c r="N315">
        <f>I315+1.5*K315</f>
        <v/>
      </c>
      <c r="O315">
        <f>I315-1.5*K315</f>
        <v/>
      </c>
      <c r="P315">
        <f>AND(L315&lt;N315,M315&gt;O315)</f>
        <v/>
      </c>
      <c r="Q315">
        <f>MAX(D296:D315)</f>
        <v/>
      </c>
      <c r="R315">
        <f>MIN(E296:E315)</f>
        <v/>
      </c>
      <c r="S315">
        <f>F315-((Q315+R315)/2+I315)/2</f>
        <v/>
      </c>
      <c r="T315">
        <f>FORECAST(A315,S296:S315,A296:A315)</f>
        <v/>
      </c>
    </row>
    <row r="316">
      <c r="A316" t="n">
        <v>314</v>
      </c>
      <c r="B316" s="2" t="n">
        <v>43194</v>
      </c>
      <c r="C316" t="n">
        <v>248.27</v>
      </c>
      <c r="D316" t="n">
        <v>255.63</v>
      </c>
      <c r="E316" t="n">
        <v>248.13</v>
      </c>
      <c r="F316" t="n">
        <v>254.86</v>
      </c>
      <c r="G316" t="n">
        <v>127939576</v>
      </c>
      <c r="H316">
        <f>MAX(D316-E316,ABS(D316-F315),ABS(E316-F315))</f>
        <v/>
      </c>
      <c r="I316">
        <f>AVERAGE(F297:F316)</f>
        <v/>
      </c>
      <c r="J316">
        <f>STDEVP(F297:F316)</f>
        <v/>
      </c>
      <c r="K316">
        <f>AVERAGE(H297:H316)</f>
        <v/>
      </c>
      <c r="L316">
        <f>I316+2.0*J316</f>
        <v/>
      </c>
      <c r="M316">
        <f>I316-2.0*J316</f>
        <v/>
      </c>
      <c r="N316">
        <f>I316+1.5*K316</f>
        <v/>
      </c>
      <c r="O316">
        <f>I316-1.5*K316</f>
        <v/>
      </c>
      <c r="P316">
        <f>AND(L316&lt;N316,M316&gt;O316)</f>
        <v/>
      </c>
      <c r="Q316">
        <f>MAX(D297:D316)</f>
        <v/>
      </c>
      <c r="R316">
        <f>MIN(E297:E316)</f>
        <v/>
      </c>
      <c r="S316">
        <f>F316-((Q316+R316)/2+I316)/2</f>
        <v/>
      </c>
      <c r="T316">
        <f>FORECAST(A316,S297:S316,A297:A316)</f>
        <v/>
      </c>
    </row>
    <row r="317">
      <c r="A317" t="n">
        <v>315</v>
      </c>
      <c r="B317" s="2" t="n">
        <v>43195</v>
      </c>
      <c r="C317" t="n">
        <v>256.78</v>
      </c>
      <c r="D317" t="n">
        <v>257.84</v>
      </c>
      <c r="E317" t="n">
        <v>255.59</v>
      </c>
      <c r="F317" t="n">
        <v>256.87</v>
      </c>
      <c r="G317" t="n">
        <v>85474776</v>
      </c>
      <c r="H317">
        <f>MAX(D317-E317,ABS(D317-F316),ABS(E317-F316))</f>
        <v/>
      </c>
      <c r="I317">
        <f>AVERAGE(F298:F317)</f>
        <v/>
      </c>
      <c r="J317">
        <f>STDEVP(F298:F317)</f>
        <v/>
      </c>
      <c r="K317">
        <f>AVERAGE(H298:H317)</f>
        <v/>
      </c>
      <c r="L317">
        <f>I317+2.0*J317</f>
        <v/>
      </c>
      <c r="M317">
        <f>I317-2.0*J317</f>
        <v/>
      </c>
      <c r="N317">
        <f>I317+1.5*K317</f>
        <v/>
      </c>
      <c r="O317">
        <f>I317-1.5*K317</f>
        <v/>
      </c>
      <c r="P317">
        <f>AND(L317&lt;N317,M317&gt;O317)</f>
        <v/>
      </c>
      <c r="Q317">
        <f>MAX(D298:D317)</f>
        <v/>
      </c>
      <c r="R317">
        <f>MIN(E298:E317)</f>
        <v/>
      </c>
      <c r="S317">
        <f>F317-((Q317+R317)/2+I317)/2</f>
        <v/>
      </c>
      <c r="T317">
        <f>FORECAST(A317,S298:S317,A298:A317)</f>
        <v/>
      </c>
    </row>
    <row r="318">
      <c r="A318" t="n">
        <v>316</v>
      </c>
      <c r="B318" s="2" t="n">
        <v>43196</v>
      </c>
      <c r="C318" t="n">
        <v>254.72</v>
      </c>
      <c r="D318" t="n">
        <v>256.36</v>
      </c>
      <c r="E318" t="n">
        <v>249.48</v>
      </c>
      <c r="F318" t="n">
        <v>251.14</v>
      </c>
      <c r="G318" t="n">
        <v>185650928</v>
      </c>
      <c r="H318">
        <f>MAX(D318-E318,ABS(D318-F317),ABS(E318-F317))</f>
        <v/>
      </c>
      <c r="I318">
        <f>AVERAGE(F299:F318)</f>
        <v/>
      </c>
      <c r="J318">
        <f>STDEVP(F299:F318)</f>
        <v/>
      </c>
      <c r="K318">
        <f>AVERAGE(H299:H318)</f>
        <v/>
      </c>
      <c r="L318">
        <f>I318+2.0*J318</f>
        <v/>
      </c>
      <c r="M318">
        <f>I318-2.0*J318</f>
        <v/>
      </c>
      <c r="N318">
        <f>I318+1.5*K318</f>
        <v/>
      </c>
      <c r="O318">
        <f>I318-1.5*K318</f>
        <v/>
      </c>
      <c r="P318">
        <f>AND(L318&lt;N318,M318&gt;O318)</f>
        <v/>
      </c>
      <c r="Q318">
        <f>MAX(D299:D318)</f>
        <v/>
      </c>
      <c r="R318">
        <f>MIN(E299:E318)</f>
        <v/>
      </c>
      <c r="S318">
        <f>F318-((Q318+R318)/2+I318)/2</f>
        <v/>
      </c>
      <c r="T318">
        <f>FORECAST(A318,S299:S318,A299:A318)</f>
        <v/>
      </c>
    </row>
    <row r="319">
      <c r="A319" t="n">
        <v>317</v>
      </c>
      <c r="B319" s="2" t="n">
        <v>43199</v>
      </c>
      <c r="C319" t="n">
        <v>252.74</v>
      </c>
      <c r="D319" t="n">
        <v>256.1</v>
      </c>
      <c r="E319" t="n">
        <v>251.35</v>
      </c>
      <c r="F319" t="n">
        <v>252.38</v>
      </c>
      <c r="G319" t="n">
        <v>109043264</v>
      </c>
      <c r="H319">
        <f>MAX(D319-E319,ABS(D319-F318),ABS(E319-F318))</f>
        <v/>
      </c>
      <c r="I319">
        <f>AVERAGE(F300:F319)</f>
        <v/>
      </c>
      <c r="J319">
        <f>STDEVP(F300:F319)</f>
        <v/>
      </c>
      <c r="K319">
        <f>AVERAGE(H300:H319)</f>
        <v/>
      </c>
      <c r="L319">
        <f>I319+2.0*J319</f>
        <v/>
      </c>
      <c r="M319">
        <f>I319-2.0*J319</f>
        <v/>
      </c>
      <c r="N319">
        <f>I319+1.5*K319</f>
        <v/>
      </c>
      <c r="O319">
        <f>I319-1.5*K319</f>
        <v/>
      </c>
      <c r="P319">
        <f>AND(L319&lt;N319,M319&gt;O319)</f>
        <v/>
      </c>
      <c r="Q319">
        <f>MAX(D300:D319)</f>
        <v/>
      </c>
      <c r="R319">
        <f>MIN(E300:E319)</f>
        <v/>
      </c>
      <c r="S319">
        <f>F319-((Q319+R319)/2+I319)/2</f>
        <v/>
      </c>
      <c r="T319">
        <f>FORECAST(A319,S300:S319,A300:A319)</f>
        <v/>
      </c>
    </row>
    <row r="320">
      <c r="A320" t="n">
        <v>318</v>
      </c>
      <c r="B320" s="2" t="n">
        <v>43200</v>
      </c>
      <c r="C320" t="n">
        <v>255.54</v>
      </c>
      <c r="D320" t="n">
        <v>257.26</v>
      </c>
      <c r="E320" t="n">
        <v>254.3</v>
      </c>
      <c r="F320" t="n">
        <v>256.4</v>
      </c>
      <c r="G320" t="n">
        <v>109178536</v>
      </c>
      <c r="H320">
        <f>MAX(D320-E320,ABS(D320-F319),ABS(E320-F319))</f>
        <v/>
      </c>
      <c r="I320">
        <f>AVERAGE(F301:F320)</f>
        <v/>
      </c>
      <c r="J320">
        <f>STDEVP(F301:F320)</f>
        <v/>
      </c>
      <c r="K320">
        <f>AVERAGE(H301:H320)</f>
        <v/>
      </c>
      <c r="L320">
        <f>I320+2.0*J320</f>
        <v/>
      </c>
      <c r="M320">
        <f>I320-2.0*J320</f>
        <v/>
      </c>
      <c r="N320">
        <f>I320+1.5*K320</f>
        <v/>
      </c>
      <c r="O320">
        <f>I320-1.5*K320</f>
        <v/>
      </c>
      <c r="P320">
        <f>AND(L320&lt;N320,M320&gt;O320)</f>
        <v/>
      </c>
      <c r="Q320">
        <f>MAX(D301:D320)</f>
        <v/>
      </c>
      <c r="R320">
        <f>MIN(E301:E320)</f>
        <v/>
      </c>
      <c r="S320">
        <f>F320-((Q320+R320)/2+I320)/2</f>
        <v/>
      </c>
      <c r="T320">
        <f>FORECAST(A320,S301:S320,A301:A320)</f>
        <v/>
      </c>
    </row>
    <row r="321">
      <c r="A321" t="n">
        <v>319</v>
      </c>
      <c r="B321" s="2" t="n">
        <v>43201</v>
      </c>
      <c r="C321" t="n">
        <v>254.77</v>
      </c>
      <c r="D321" t="n">
        <v>256.87</v>
      </c>
      <c r="E321" t="n">
        <v>254.69</v>
      </c>
      <c r="F321" t="n">
        <v>255.05</v>
      </c>
      <c r="G321" t="n">
        <v>94252208</v>
      </c>
      <c r="H321">
        <f>MAX(D321-E321,ABS(D321-F320),ABS(E321-F320))</f>
        <v/>
      </c>
      <c r="I321">
        <f>AVERAGE(F302:F321)</f>
        <v/>
      </c>
      <c r="J321">
        <f>STDEVP(F302:F321)</f>
        <v/>
      </c>
      <c r="K321">
        <f>AVERAGE(H302:H321)</f>
        <v/>
      </c>
      <c r="L321">
        <f>I321+2.0*J321</f>
        <v/>
      </c>
      <c r="M321">
        <f>I321-2.0*J321</f>
        <v/>
      </c>
      <c r="N321">
        <f>I321+1.5*K321</f>
        <v/>
      </c>
      <c r="O321">
        <f>I321-1.5*K321</f>
        <v/>
      </c>
      <c r="P321">
        <f>AND(L321&lt;N321,M321&gt;O321)</f>
        <v/>
      </c>
      <c r="Q321">
        <f>MAX(D302:D321)</f>
        <v/>
      </c>
      <c r="R321">
        <f>MIN(E302:E321)</f>
        <v/>
      </c>
      <c r="S321">
        <f>F321-((Q321+R321)/2+I321)/2</f>
        <v/>
      </c>
      <c r="T321">
        <f>FORECAST(A321,S302:S321,A302:A321)</f>
        <v/>
      </c>
    </row>
    <row r="322">
      <c r="A322" t="n">
        <v>320</v>
      </c>
      <c r="B322" s="2" t="n">
        <v>43202</v>
      </c>
      <c r="C322" t="n">
        <v>256.5</v>
      </c>
      <c r="D322" t="n">
        <v>258.18</v>
      </c>
      <c r="E322" t="n">
        <v>256.31</v>
      </c>
      <c r="F322" t="n">
        <v>257.15</v>
      </c>
      <c r="G322" t="n">
        <v>71242736</v>
      </c>
      <c r="H322">
        <f>MAX(D322-E322,ABS(D322-F321),ABS(E322-F321))</f>
        <v/>
      </c>
      <c r="I322">
        <f>AVERAGE(F303:F322)</f>
        <v/>
      </c>
      <c r="J322">
        <f>STDEVP(F303:F322)</f>
        <v/>
      </c>
      <c r="K322">
        <f>AVERAGE(H303:H322)</f>
        <v/>
      </c>
      <c r="L322">
        <f>I322+2.0*J322</f>
        <v/>
      </c>
      <c r="M322">
        <f>I322-2.0*J322</f>
        <v/>
      </c>
      <c r="N322">
        <f>I322+1.5*K322</f>
        <v/>
      </c>
      <c r="O322">
        <f>I322-1.5*K322</f>
        <v/>
      </c>
      <c r="P322">
        <f>AND(L322&lt;N322,M322&gt;O322)</f>
        <v/>
      </c>
      <c r="Q322">
        <f>MAX(D303:D322)</f>
        <v/>
      </c>
      <c r="R322">
        <f>MIN(E303:E322)</f>
        <v/>
      </c>
      <c r="S322">
        <f>F322-((Q322+R322)/2+I322)/2</f>
        <v/>
      </c>
      <c r="T322">
        <f>FORECAST(A322,S303:S322,A303:A322)</f>
        <v/>
      </c>
    </row>
    <row r="323">
      <c r="A323" t="n">
        <v>321</v>
      </c>
      <c r="B323" s="2" t="n">
        <v>43203</v>
      </c>
      <c r="C323" t="n">
        <v>258.58</v>
      </c>
      <c r="D323" t="n">
        <v>258.71</v>
      </c>
      <c r="E323" t="n">
        <v>255.29</v>
      </c>
      <c r="F323" t="n">
        <v>256.4</v>
      </c>
      <c r="G323" t="n">
        <v>87984192</v>
      </c>
      <c r="H323">
        <f>MAX(D323-E323,ABS(D323-F322),ABS(E323-F322))</f>
        <v/>
      </c>
      <c r="I323">
        <f>AVERAGE(F304:F323)</f>
        <v/>
      </c>
      <c r="J323">
        <f>STDEVP(F304:F323)</f>
        <v/>
      </c>
      <c r="K323">
        <f>AVERAGE(H304:H323)</f>
        <v/>
      </c>
      <c r="L323">
        <f>I323+2.0*J323</f>
        <v/>
      </c>
      <c r="M323">
        <f>I323-2.0*J323</f>
        <v/>
      </c>
      <c r="N323">
        <f>I323+1.5*K323</f>
        <v/>
      </c>
      <c r="O323">
        <f>I323-1.5*K323</f>
        <v/>
      </c>
      <c r="P323">
        <f>AND(L323&lt;N323,M323&gt;O323)</f>
        <v/>
      </c>
      <c r="Q323">
        <f>MAX(D304:D323)</f>
        <v/>
      </c>
      <c r="R323">
        <f>MIN(E304:E323)</f>
        <v/>
      </c>
      <c r="S323">
        <f>F323-((Q323+R323)/2+I323)/2</f>
        <v/>
      </c>
      <c r="T323">
        <f>FORECAST(A323,S304:S323,A304:A323)</f>
        <v/>
      </c>
    </row>
    <row r="324">
      <c r="A324" t="n">
        <v>322</v>
      </c>
      <c r="B324" s="2" t="n">
        <v>43206</v>
      </c>
      <c r="C324" t="n">
        <v>258.18</v>
      </c>
      <c r="D324" t="n">
        <v>259.34</v>
      </c>
      <c r="E324" t="n">
        <v>257.29</v>
      </c>
      <c r="F324" t="n">
        <v>258.5</v>
      </c>
      <c r="G324" t="n">
        <v>65570252</v>
      </c>
      <c r="H324">
        <f>MAX(D324-E324,ABS(D324-F323),ABS(E324-F323))</f>
        <v/>
      </c>
      <c r="I324">
        <f>AVERAGE(F305:F324)</f>
        <v/>
      </c>
      <c r="J324">
        <f>STDEVP(F305:F324)</f>
        <v/>
      </c>
      <c r="K324">
        <f>AVERAGE(H305:H324)</f>
        <v/>
      </c>
      <c r="L324">
        <f>I324+2.0*J324</f>
        <v/>
      </c>
      <c r="M324">
        <f>I324-2.0*J324</f>
        <v/>
      </c>
      <c r="N324">
        <f>I324+1.5*K324</f>
        <v/>
      </c>
      <c r="O324">
        <f>I324-1.5*K324</f>
        <v/>
      </c>
      <c r="P324">
        <f>AND(L324&lt;N324,M324&gt;O324)</f>
        <v/>
      </c>
      <c r="Q324">
        <f>MAX(D305:D324)</f>
        <v/>
      </c>
      <c r="R324">
        <f>MIN(E305:E324)</f>
        <v/>
      </c>
      <c r="S324">
        <f>F324-((Q324+R324)/2+I324)/2</f>
        <v/>
      </c>
      <c r="T324">
        <f>FORECAST(A324,S305:S324,A305:A324)</f>
        <v/>
      </c>
    </row>
    <row r="325">
      <c r="A325" t="n">
        <v>323</v>
      </c>
      <c r="B325" s="2" t="n">
        <v>43207</v>
      </c>
      <c r="C325" t="n">
        <v>260.44</v>
      </c>
      <c r="D325" t="n">
        <v>261.93</v>
      </c>
      <c r="E325" t="n">
        <v>259.88</v>
      </c>
      <c r="F325" t="n">
        <v>261.27</v>
      </c>
      <c r="G325" t="n">
        <v>66890592</v>
      </c>
      <c r="H325">
        <f>MAX(D325-E325,ABS(D325-F324),ABS(E325-F324))</f>
        <v/>
      </c>
      <c r="I325">
        <f>AVERAGE(F306:F325)</f>
        <v/>
      </c>
      <c r="J325">
        <f>STDEVP(F306:F325)</f>
        <v/>
      </c>
      <c r="K325">
        <f>AVERAGE(H306:H325)</f>
        <v/>
      </c>
      <c r="L325">
        <f>I325+2.0*J325</f>
        <v/>
      </c>
      <c r="M325">
        <f>I325-2.0*J325</f>
        <v/>
      </c>
      <c r="N325">
        <f>I325+1.5*K325</f>
        <v/>
      </c>
      <c r="O325">
        <f>I325-1.5*K325</f>
        <v/>
      </c>
      <c r="P325">
        <f>AND(L325&lt;N325,M325&gt;O325)</f>
        <v/>
      </c>
      <c r="Q325">
        <f>MAX(D306:D325)</f>
        <v/>
      </c>
      <c r="R325">
        <f>MIN(E306:E325)</f>
        <v/>
      </c>
      <c r="S325">
        <f>F325-((Q325+R325)/2+I325)/2</f>
        <v/>
      </c>
      <c r="T325">
        <f>FORECAST(A325,S306:S325,A306:A325)</f>
        <v/>
      </c>
    </row>
    <row r="326">
      <c r="A326" t="n">
        <v>324</v>
      </c>
      <c r="B326" s="2" t="n">
        <v>43208</v>
      </c>
      <c r="C326" t="n">
        <v>261.75</v>
      </c>
      <c r="D326" t="n">
        <v>262.34</v>
      </c>
      <c r="E326" t="n">
        <v>260.96</v>
      </c>
      <c r="F326" t="n">
        <v>261.46</v>
      </c>
      <c r="G326" t="n">
        <v>59260488</v>
      </c>
      <c r="H326">
        <f>MAX(D326-E326,ABS(D326-F325),ABS(E326-F325))</f>
        <v/>
      </c>
      <c r="I326">
        <f>AVERAGE(F307:F326)</f>
        <v/>
      </c>
      <c r="J326">
        <f>STDEVP(F307:F326)</f>
        <v/>
      </c>
      <c r="K326">
        <f>AVERAGE(H307:H326)</f>
        <v/>
      </c>
      <c r="L326">
        <f>I326+2.0*J326</f>
        <v/>
      </c>
      <c r="M326">
        <f>I326-2.0*J326</f>
        <v/>
      </c>
      <c r="N326">
        <f>I326+1.5*K326</f>
        <v/>
      </c>
      <c r="O326">
        <f>I326-1.5*K326</f>
        <v/>
      </c>
      <c r="P326">
        <f>AND(L326&lt;N326,M326&gt;O326)</f>
        <v/>
      </c>
      <c r="Q326">
        <f>MAX(D307:D326)</f>
        <v/>
      </c>
      <c r="R326">
        <f>MIN(E307:E326)</f>
        <v/>
      </c>
      <c r="S326">
        <f>F326-((Q326+R326)/2+I326)/2</f>
        <v/>
      </c>
      <c r="T326">
        <f>FORECAST(A326,S307:S326,A307:A326)</f>
        <v/>
      </c>
    </row>
    <row r="327">
      <c r="A327" t="n">
        <v>325</v>
      </c>
      <c r="B327" s="2" t="n">
        <v>43209</v>
      </c>
      <c r="C327" t="n">
        <v>260.75</v>
      </c>
      <c r="D327" t="n">
        <v>260.97</v>
      </c>
      <c r="E327" t="n">
        <v>258.88</v>
      </c>
      <c r="F327" t="n">
        <v>260.01</v>
      </c>
      <c r="G327" t="n">
        <v>80307456</v>
      </c>
      <c r="H327">
        <f>MAX(D327-E327,ABS(D327-F326),ABS(E327-F326))</f>
        <v/>
      </c>
      <c r="I327">
        <f>AVERAGE(F308:F327)</f>
        <v/>
      </c>
      <c r="J327">
        <f>STDEVP(F308:F327)</f>
        <v/>
      </c>
      <c r="K327">
        <f>AVERAGE(H308:H327)</f>
        <v/>
      </c>
      <c r="L327">
        <f>I327+2.0*J327</f>
        <v/>
      </c>
      <c r="M327">
        <f>I327-2.0*J327</f>
        <v/>
      </c>
      <c r="N327">
        <f>I327+1.5*K327</f>
        <v/>
      </c>
      <c r="O327">
        <f>I327-1.5*K327</f>
        <v/>
      </c>
      <c r="P327">
        <f>AND(L327&lt;N327,M327&gt;O327)</f>
        <v/>
      </c>
      <c r="Q327">
        <f>MAX(D308:D327)</f>
        <v/>
      </c>
      <c r="R327">
        <f>MIN(E308:E327)</f>
        <v/>
      </c>
      <c r="S327">
        <f>F327-((Q327+R327)/2+I327)/2</f>
        <v/>
      </c>
      <c r="T327">
        <f>FORECAST(A327,S308:S327,A308:A327)</f>
        <v/>
      </c>
    </row>
    <row r="328">
      <c r="A328" t="n">
        <v>326</v>
      </c>
      <c r="B328" s="2" t="n">
        <v>43210</v>
      </c>
      <c r="C328" t="n">
        <v>259.93</v>
      </c>
      <c r="D328" t="n">
        <v>260.18</v>
      </c>
      <c r="E328" t="n">
        <v>256.84</v>
      </c>
      <c r="F328" t="n">
        <v>257.81</v>
      </c>
      <c r="G328" t="n">
        <v>103366016</v>
      </c>
      <c r="H328">
        <f>MAX(D328-E328,ABS(D328-F327),ABS(E328-F327))</f>
        <v/>
      </c>
      <c r="I328">
        <f>AVERAGE(F309:F328)</f>
        <v/>
      </c>
      <c r="J328">
        <f>STDEVP(F309:F328)</f>
        <v/>
      </c>
      <c r="K328">
        <f>AVERAGE(H309:H328)</f>
        <v/>
      </c>
      <c r="L328">
        <f>I328+2.0*J328</f>
        <v/>
      </c>
      <c r="M328">
        <f>I328-2.0*J328</f>
        <v/>
      </c>
      <c r="N328">
        <f>I328+1.5*K328</f>
        <v/>
      </c>
      <c r="O328">
        <f>I328-1.5*K328</f>
        <v/>
      </c>
      <c r="P328">
        <f>AND(L328&lt;N328,M328&gt;O328)</f>
        <v/>
      </c>
      <c r="Q328">
        <f>MAX(D309:D328)</f>
        <v/>
      </c>
      <c r="R328">
        <f>MIN(E309:E328)</f>
        <v/>
      </c>
      <c r="S328">
        <f>F328-((Q328+R328)/2+I328)/2</f>
        <v/>
      </c>
      <c r="T328">
        <f>FORECAST(A328,S309:S328,A309:A328)</f>
        <v/>
      </c>
    </row>
    <row r="329">
      <c r="A329" t="n">
        <v>327</v>
      </c>
      <c r="B329" s="2" t="n">
        <v>43213</v>
      </c>
      <c r="C329" t="n">
        <v>258.44</v>
      </c>
      <c r="D329" t="n">
        <v>259.04</v>
      </c>
      <c r="E329" t="n">
        <v>256.59</v>
      </c>
      <c r="F329" t="n">
        <v>257.77</v>
      </c>
      <c r="G329" t="n">
        <v>67796416</v>
      </c>
      <c r="H329">
        <f>MAX(D329-E329,ABS(D329-F328),ABS(E329-F328))</f>
        <v/>
      </c>
      <c r="I329">
        <f>AVERAGE(F310:F329)</f>
        <v/>
      </c>
      <c r="J329">
        <f>STDEVP(F310:F329)</f>
        <v/>
      </c>
      <c r="K329">
        <f>AVERAGE(H310:H329)</f>
        <v/>
      </c>
      <c r="L329">
        <f>I329+2.0*J329</f>
        <v/>
      </c>
      <c r="M329">
        <f>I329-2.0*J329</f>
        <v/>
      </c>
      <c r="N329">
        <f>I329+1.5*K329</f>
        <v/>
      </c>
      <c r="O329">
        <f>I329-1.5*K329</f>
        <v/>
      </c>
      <c r="P329">
        <f>AND(L329&lt;N329,M329&gt;O329)</f>
        <v/>
      </c>
      <c r="Q329">
        <f>MAX(D310:D329)</f>
        <v/>
      </c>
      <c r="R329">
        <f>MIN(E310:E329)</f>
        <v/>
      </c>
      <c r="S329">
        <f>F329-((Q329+R329)/2+I329)/2</f>
        <v/>
      </c>
      <c r="T329">
        <f>FORECAST(A329,S310:S329,A310:A329)</f>
        <v/>
      </c>
    </row>
    <row r="330">
      <c r="A330" t="n">
        <v>328</v>
      </c>
      <c r="B330" s="2" t="n">
        <v>43214</v>
      </c>
      <c r="C330" t="n">
        <v>258.89</v>
      </c>
      <c r="D330" t="n">
        <v>259.13</v>
      </c>
      <c r="E330" t="n">
        <v>252.65</v>
      </c>
      <c r="F330" t="n">
        <v>254.3</v>
      </c>
      <c r="G330" t="n">
        <v>116739904</v>
      </c>
      <c r="H330">
        <f>MAX(D330-E330,ABS(D330-F329),ABS(E330-F329))</f>
        <v/>
      </c>
      <c r="I330">
        <f>AVERAGE(F311:F330)</f>
        <v/>
      </c>
      <c r="J330">
        <f>STDEVP(F311:F330)</f>
        <v/>
      </c>
      <c r="K330">
        <f>AVERAGE(H311:H330)</f>
        <v/>
      </c>
      <c r="L330">
        <f>I330+2.0*J330</f>
        <v/>
      </c>
      <c r="M330">
        <f>I330-2.0*J330</f>
        <v/>
      </c>
      <c r="N330">
        <f>I330+1.5*K330</f>
        <v/>
      </c>
      <c r="O330">
        <f>I330-1.5*K330</f>
        <v/>
      </c>
      <c r="P330">
        <f>AND(L330&lt;N330,M330&gt;O330)</f>
        <v/>
      </c>
      <c r="Q330">
        <f>MAX(D311:D330)</f>
        <v/>
      </c>
      <c r="R330">
        <f>MIN(E311:E330)</f>
        <v/>
      </c>
      <c r="S330">
        <f>F330-((Q330+R330)/2+I330)/2</f>
        <v/>
      </c>
      <c r="T330">
        <f>FORECAST(A330,S311:S330,A311:A330)</f>
        <v/>
      </c>
    </row>
    <row r="331">
      <c r="A331" t="n">
        <v>329</v>
      </c>
      <c r="B331" s="2" t="n">
        <v>43215</v>
      </c>
      <c r="C331" t="n">
        <v>254.23</v>
      </c>
      <c r="D331" t="n">
        <v>255.41</v>
      </c>
      <c r="E331" t="n">
        <v>252.24</v>
      </c>
      <c r="F331" t="n">
        <v>254.93</v>
      </c>
      <c r="G331" t="n">
        <v>107386584</v>
      </c>
      <c r="H331">
        <f>MAX(D331-E331,ABS(D331-F330),ABS(E331-F330))</f>
        <v/>
      </c>
      <c r="I331">
        <f>AVERAGE(F312:F331)</f>
        <v/>
      </c>
      <c r="J331">
        <f>STDEVP(F312:F331)</f>
        <v/>
      </c>
      <c r="K331">
        <f>AVERAGE(H312:H331)</f>
        <v/>
      </c>
      <c r="L331">
        <f>I331+2.0*J331</f>
        <v/>
      </c>
      <c r="M331">
        <f>I331-2.0*J331</f>
        <v/>
      </c>
      <c r="N331">
        <f>I331+1.5*K331</f>
        <v/>
      </c>
      <c r="O331">
        <f>I331-1.5*K331</f>
        <v/>
      </c>
      <c r="P331">
        <f>AND(L331&lt;N331,M331&gt;O331)</f>
        <v/>
      </c>
      <c r="Q331">
        <f>MAX(D312:D331)</f>
        <v/>
      </c>
      <c r="R331">
        <f>MIN(E312:E331)</f>
        <v/>
      </c>
      <c r="S331">
        <f>F331-((Q331+R331)/2+I331)/2</f>
        <v/>
      </c>
      <c r="T331">
        <f>FORECAST(A331,S312:S331,A312:A331)</f>
        <v/>
      </c>
    </row>
    <row r="332">
      <c r="A332" t="n">
        <v>330</v>
      </c>
      <c r="B332" s="2" t="n">
        <v>43216</v>
      </c>
      <c r="C332" t="n">
        <v>256.05</v>
      </c>
      <c r="D332" t="n">
        <v>258.42</v>
      </c>
      <c r="E332" t="n">
        <v>255.56</v>
      </c>
      <c r="F332" t="n">
        <v>257.52</v>
      </c>
      <c r="G332" t="n">
        <v>70044640</v>
      </c>
      <c r="H332">
        <f>MAX(D332-E332,ABS(D332-F331),ABS(E332-F331))</f>
        <v/>
      </c>
      <c r="I332">
        <f>AVERAGE(F313:F332)</f>
        <v/>
      </c>
      <c r="J332">
        <f>STDEVP(F313:F332)</f>
        <v/>
      </c>
      <c r="K332">
        <f>AVERAGE(H313:H332)</f>
        <v/>
      </c>
      <c r="L332">
        <f>I332+2.0*J332</f>
        <v/>
      </c>
      <c r="M332">
        <f>I332-2.0*J332</f>
        <v/>
      </c>
      <c r="N332">
        <f>I332+1.5*K332</f>
        <v/>
      </c>
      <c r="O332">
        <f>I332-1.5*K332</f>
        <v/>
      </c>
      <c r="P332">
        <f>AND(L332&lt;N332,M332&gt;O332)</f>
        <v/>
      </c>
      <c r="Q332">
        <f>MAX(D313:D332)</f>
        <v/>
      </c>
      <c r="R332">
        <f>MIN(E313:E332)</f>
        <v/>
      </c>
      <c r="S332">
        <f>F332-((Q332+R332)/2+I332)/2</f>
        <v/>
      </c>
      <c r="T332">
        <f>FORECAST(A332,S313:S332,A313:A332)</f>
        <v/>
      </c>
    </row>
    <row r="333">
      <c r="A333" t="n">
        <v>331</v>
      </c>
      <c r="B333" s="2" t="n">
        <v>43217</v>
      </c>
      <c r="C333" t="n">
        <v>258.18</v>
      </c>
      <c r="D333" t="n">
        <v>258.51</v>
      </c>
      <c r="E333" t="n">
        <v>256.73</v>
      </c>
      <c r="F333" t="n">
        <v>257.76</v>
      </c>
      <c r="G333" t="n">
        <v>59001736</v>
      </c>
      <c r="H333">
        <f>MAX(D333-E333,ABS(D333-F332),ABS(E333-F332))</f>
        <v/>
      </c>
      <c r="I333">
        <f>AVERAGE(F314:F333)</f>
        <v/>
      </c>
      <c r="J333">
        <f>STDEVP(F314:F333)</f>
        <v/>
      </c>
      <c r="K333">
        <f>AVERAGE(H314:H333)</f>
        <v/>
      </c>
      <c r="L333">
        <f>I333+2.0*J333</f>
        <v/>
      </c>
      <c r="M333">
        <f>I333-2.0*J333</f>
        <v/>
      </c>
      <c r="N333">
        <f>I333+1.5*K333</f>
        <v/>
      </c>
      <c r="O333">
        <f>I333-1.5*K333</f>
        <v/>
      </c>
      <c r="P333">
        <f>AND(L333&lt;N333,M333&gt;O333)</f>
        <v/>
      </c>
      <c r="Q333">
        <f>MAX(D314:D333)</f>
        <v/>
      </c>
      <c r="R333">
        <f>MIN(E314:E333)</f>
        <v/>
      </c>
      <c r="S333">
        <f>F333-((Q333+R333)/2+I333)/2</f>
        <v/>
      </c>
      <c r="T333">
        <f>FORECAST(A333,S314:S333,A314:A333)</f>
        <v/>
      </c>
    </row>
    <row r="334">
      <c r="A334" t="n">
        <v>332</v>
      </c>
      <c r="B334" s="2" t="n">
        <v>43220</v>
      </c>
      <c r="C334" t="n">
        <v>258.44</v>
      </c>
      <c r="D334" t="n">
        <v>259.04</v>
      </c>
      <c r="E334" t="n">
        <v>255.7</v>
      </c>
      <c r="F334" t="n">
        <v>255.78</v>
      </c>
      <c r="G334" t="n">
        <v>84988424</v>
      </c>
      <c r="H334">
        <f>MAX(D334-E334,ABS(D334-F333),ABS(E334-F333))</f>
        <v/>
      </c>
      <c r="I334">
        <f>AVERAGE(F315:F334)</f>
        <v/>
      </c>
      <c r="J334">
        <f>STDEVP(F315:F334)</f>
        <v/>
      </c>
      <c r="K334">
        <f>AVERAGE(H315:H334)</f>
        <v/>
      </c>
      <c r="L334">
        <f>I334+2.0*J334</f>
        <v/>
      </c>
      <c r="M334">
        <f>I334-2.0*J334</f>
        <v/>
      </c>
      <c r="N334">
        <f>I334+1.5*K334</f>
        <v/>
      </c>
      <c r="O334">
        <f>I334-1.5*K334</f>
        <v/>
      </c>
      <c r="P334">
        <f>AND(L334&lt;N334,M334&gt;O334)</f>
        <v/>
      </c>
      <c r="Q334">
        <f>MAX(D315:D334)</f>
        <v/>
      </c>
      <c r="R334">
        <f>MIN(E315:E334)</f>
        <v/>
      </c>
      <c r="S334">
        <f>F334-((Q334+R334)/2+I334)/2</f>
        <v/>
      </c>
      <c r="T334">
        <f>FORECAST(A334,S315:S334,A315:A334)</f>
        <v/>
      </c>
    </row>
    <row r="335">
      <c r="A335" t="n">
        <v>333</v>
      </c>
      <c r="B335" s="2" t="n">
        <v>43221</v>
      </c>
      <c r="C335" t="n">
        <v>255.16</v>
      </c>
      <c r="D335" t="n">
        <v>256.35</v>
      </c>
      <c r="E335" t="n">
        <v>253.46</v>
      </c>
      <c r="F335" t="n">
        <v>256.23</v>
      </c>
      <c r="G335" t="n">
        <v>76737024</v>
      </c>
      <c r="H335">
        <f>MAX(D335-E335,ABS(D335-F334),ABS(E335-F334))</f>
        <v/>
      </c>
      <c r="I335">
        <f>AVERAGE(F316:F335)</f>
        <v/>
      </c>
      <c r="J335">
        <f>STDEVP(F316:F335)</f>
        <v/>
      </c>
      <c r="K335">
        <f>AVERAGE(H316:H335)</f>
        <v/>
      </c>
      <c r="L335">
        <f>I335+2.0*J335</f>
        <v/>
      </c>
      <c r="M335">
        <f>I335-2.0*J335</f>
        <v/>
      </c>
      <c r="N335">
        <f>I335+1.5*K335</f>
        <v/>
      </c>
      <c r="O335">
        <f>I335-1.5*K335</f>
        <v/>
      </c>
      <c r="P335">
        <f>AND(L335&lt;N335,M335&gt;O335)</f>
        <v/>
      </c>
      <c r="Q335">
        <f>MAX(D316:D335)</f>
        <v/>
      </c>
      <c r="R335">
        <f>MIN(E316:E335)</f>
        <v/>
      </c>
      <c r="S335">
        <f>F335-((Q335+R335)/2+I335)/2</f>
        <v/>
      </c>
      <c r="T335">
        <f>FORECAST(A335,S316:S335,A316:A335)</f>
        <v/>
      </c>
    </row>
    <row r="336">
      <c r="A336" t="n">
        <v>334</v>
      </c>
      <c r="B336" s="2" t="n">
        <v>43222</v>
      </c>
      <c r="C336" t="n">
        <v>256.02</v>
      </c>
      <c r="D336" t="n">
        <v>256.91</v>
      </c>
      <c r="E336" t="n">
        <v>254.08</v>
      </c>
      <c r="F336" t="n">
        <v>254.51</v>
      </c>
      <c r="G336" t="n">
        <v>89317992</v>
      </c>
      <c r="H336">
        <f>MAX(D336-E336,ABS(D336-F335),ABS(E336-F335))</f>
        <v/>
      </c>
      <c r="I336">
        <f>AVERAGE(F317:F336)</f>
        <v/>
      </c>
      <c r="J336">
        <f>STDEVP(F317:F336)</f>
        <v/>
      </c>
      <c r="K336">
        <f>AVERAGE(H317:H336)</f>
        <v/>
      </c>
      <c r="L336">
        <f>I336+2.0*J336</f>
        <v/>
      </c>
      <c r="M336">
        <f>I336-2.0*J336</f>
        <v/>
      </c>
      <c r="N336">
        <f>I336+1.5*K336</f>
        <v/>
      </c>
      <c r="O336">
        <f>I336-1.5*K336</f>
        <v/>
      </c>
      <c r="P336">
        <f>AND(L336&lt;N336,M336&gt;O336)</f>
        <v/>
      </c>
      <c r="Q336">
        <f>MAX(D317:D336)</f>
        <v/>
      </c>
      <c r="R336">
        <f>MIN(E317:E336)</f>
        <v/>
      </c>
      <c r="S336">
        <f>F336-((Q336+R336)/2+I336)/2</f>
        <v/>
      </c>
      <c r="T336">
        <f>FORECAST(A336,S317:S336,A317:A336)</f>
        <v/>
      </c>
    </row>
    <row r="337">
      <c r="A337" t="n">
        <v>335</v>
      </c>
      <c r="B337" s="2" t="n">
        <v>43223</v>
      </c>
      <c r="C337" t="n">
        <v>253.6</v>
      </c>
      <c r="D337" t="n">
        <v>254.66</v>
      </c>
      <c r="E337" t="n">
        <v>250.5</v>
      </c>
      <c r="F337" t="n">
        <v>253.95</v>
      </c>
      <c r="G337" t="n">
        <v>140965808</v>
      </c>
      <c r="H337">
        <f>MAX(D337-E337,ABS(D337-F336),ABS(E337-F336))</f>
        <v/>
      </c>
      <c r="I337">
        <f>AVERAGE(F318:F337)</f>
        <v/>
      </c>
      <c r="J337">
        <f>STDEVP(F318:F337)</f>
        <v/>
      </c>
      <c r="K337">
        <f>AVERAGE(H318:H337)</f>
        <v/>
      </c>
      <c r="L337">
        <f>I337+2.0*J337</f>
        <v/>
      </c>
      <c r="M337">
        <f>I337-2.0*J337</f>
        <v/>
      </c>
      <c r="N337">
        <f>I337+1.5*K337</f>
        <v/>
      </c>
      <c r="O337">
        <f>I337-1.5*K337</f>
        <v/>
      </c>
      <c r="P337">
        <f>AND(L337&lt;N337,M337&gt;O337)</f>
        <v/>
      </c>
      <c r="Q337">
        <f>MAX(D318:D337)</f>
        <v/>
      </c>
      <c r="R337">
        <f>MIN(E318:E337)</f>
        <v/>
      </c>
      <c r="S337">
        <f>F337-((Q337+R337)/2+I337)/2</f>
        <v/>
      </c>
      <c r="T337">
        <f>FORECAST(A337,S318:S337,A318:A337)</f>
        <v/>
      </c>
    </row>
    <row r="338">
      <c r="A338" t="n">
        <v>336</v>
      </c>
      <c r="B338" s="2" t="n">
        <v>43224</v>
      </c>
      <c r="C338" t="n">
        <v>252.89</v>
      </c>
      <c r="D338" t="n">
        <v>257.98</v>
      </c>
      <c r="E338" t="n">
        <v>252.53</v>
      </c>
      <c r="F338" t="n">
        <v>257.24</v>
      </c>
      <c r="G338" t="n">
        <v>94336840</v>
      </c>
      <c r="H338">
        <f>MAX(D338-E338,ABS(D338-F337),ABS(E338-F337))</f>
        <v/>
      </c>
      <c r="I338">
        <f>AVERAGE(F319:F338)</f>
        <v/>
      </c>
      <c r="J338">
        <f>STDEVP(F319:F338)</f>
        <v/>
      </c>
      <c r="K338">
        <f>AVERAGE(H319:H338)</f>
        <v/>
      </c>
      <c r="L338">
        <f>I338+2.0*J338</f>
        <v/>
      </c>
      <c r="M338">
        <f>I338-2.0*J338</f>
        <v/>
      </c>
      <c r="N338">
        <f>I338+1.5*K338</f>
        <v/>
      </c>
      <c r="O338">
        <f>I338-1.5*K338</f>
        <v/>
      </c>
      <c r="P338">
        <f>AND(L338&lt;N338,M338&gt;O338)</f>
        <v/>
      </c>
      <c r="Q338">
        <f>MAX(D319:D338)</f>
        <v/>
      </c>
      <c r="R338">
        <f>MIN(E319:E338)</f>
        <v/>
      </c>
      <c r="S338">
        <f>F338-((Q338+R338)/2+I338)/2</f>
        <v/>
      </c>
      <c r="T338">
        <f>FORECAST(A338,S319:S338,A319:A338)</f>
        <v/>
      </c>
    </row>
    <row r="339">
      <c r="A339" t="n">
        <v>337</v>
      </c>
      <c r="B339" s="2" t="n">
        <v>43227</v>
      </c>
      <c r="C339" t="n">
        <v>258.08</v>
      </c>
      <c r="D339" t="n">
        <v>259.17</v>
      </c>
      <c r="E339" t="n">
        <v>257.32</v>
      </c>
      <c r="F339" t="n">
        <v>258.11</v>
      </c>
      <c r="G339" t="n">
        <v>57193284</v>
      </c>
      <c r="H339">
        <f>MAX(D339-E339,ABS(D339-F338),ABS(E339-F338))</f>
        <v/>
      </c>
      <c r="I339">
        <f>AVERAGE(F320:F339)</f>
        <v/>
      </c>
      <c r="J339">
        <f>STDEVP(F320:F339)</f>
        <v/>
      </c>
      <c r="K339">
        <f>AVERAGE(H320:H339)</f>
        <v/>
      </c>
      <c r="L339">
        <f>I339+2.0*J339</f>
        <v/>
      </c>
      <c r="M339">
        <f>I339-2.0*J339</f>
        <v/>
      </c>
      <c r="N339">
        <f>I339+1.5*K339</f>
        <v/>
      </c>
      <c r="O339">
        <f>I339-1.5*K339</f>
        <v/>
      </c>
      <c r="P339">
        <f>AND(L339&lt;N339,M339&gt;O339)</f>
        <v/>
      </c>
      <c r="Q339">
        <f>MAX(D320:D339)</f>
        <v/>
      </c>
      <c r="R339">
        <f>MIN(E320:E339)</f>
        <v/>
      </c>
      <c r="S339">
        <f>F339-((Q339+R339)/2+I339)/2</f>
        <v/>
      </c>
      <c r="T339">
        <f>FORECAST(A339,S320:S339,A320:A339)</f>
        <v/>
      </c>
    </row>
    <row r="340">
      <c r="A340" t="n">
        <v>338</v>
      </c>
      <c r="B340" s="2" t="n">
        <v>43228</v>
      </c>
      <c r="C340" t="n">
        <v>257.7</v>
      </c>
      <c r="D340" t="n">
        <v>258.5</v>
      </c>
      <c r="E340" t="n">
        <v>256.4</v>
      </c>
      <c r="F340" t="n">
        <v>258.11</v>
      </c>
      <c r="G340" t="n">
        <v>69804000</v>
      </c>
      <c r="H340">
        <f>MAX(D340-E340,ABS(D340-F339),ABS(E340-F339))</f>
        <v/>
      </c>
      <c r="I340">
        <f>AVERAGE(F321:F340)</f>
        <v/>
      </c>
      <c r="J340">
        <f>STDEVP(F321:F340)</f>
        <v/>
      </c>
      <c r="K340">
        <f>AVERAGE(H321:H340)</f>
        <v/>
      </c>
      <c r="L340">
        <f>I340+2.0*J340</f>
        <v/>
      </c>
      <c r="M340">
        <f>I340-2.0*J340</f>
        <v/>
      </c>
      <c r="N340">
        <f>I340+1.5*K340</f>
        <v/>
      </c>
      <c r="O340">
        <f>I340-1.5*K340</f>
        <v/>
      </c>
      <c r="P340">
        <f>AND(L340&lt;N340,M340&gt;O340)</f>
        <v/>
      </c>
      <c r="Q340">
        <f>MAX(D321:D340)</f>
        <v/>
      </c>
      <c r="R340">
        <f>MIN(E321:E340)</f>
        <v/>
      </c>
      <c r="S340">
        <f>F340-((Q340+R340)/2+I340)/2</f>
        <v/>
      </c>
      <c r="T340">
        <f>FORECAST(A340,S321:S340,A321:A340)</f>
        <v/>
      </c>
    </row>
    <row r="341">
      <c r="A341" t="n">
        <v>339</v>
      </c>
      <c r="B341" s="2" t="n">
        <v>43229</v>
      </c>
      <c r="C341" t="n">
        <v>258.84</v>
      </c>
      <c r="D341" t="n">
        <v>260.95</v>
      </c>
      <c r="E341" t="n">
        <v>258.27</v>
      </c>
      <c r="F341" t="n">
        <v>260.6</v>
      </c>
      <c r="G341" t="n">
        <v>61703432</v>
      </c>
      <c r="H341">
        <f>MAX(D341-E341,ABS(D341-F340),ABS(E341-F340))</f>
        <v/>
      </c>
      <c r="I341">
        <f>AVERAGE(F322:F341)</f>
        <v/>
      </c>
      <c r="J341">
        <f>STDEVP(F322:F341)</f>
        <v/>
      </c>
      <c r="K341">
        <f>AVERAGE(H322:H341)</f>
        <v/>
      </c>
      <c r="L341">
        <f>I341+2.0*J341</f>
        <v/>
      </c>
      <c r="M341">
        <f>I341-2.0*J341</f>
        <v/>
      </c>
      <c r="N341">
        <f>I341+1.5*K341</f>
        <v/>
      </c>
      <c r="O341">
        <f>I341-1.5*K341</f>
        <v/>
      </c>
      <c r="P341">
        <f>AND(L341&lt;N341,M341&gt;O341)</f>
        <v/>
      </c>
      <c r="Q341">
        <f>MAX(D322:D341)</f>
        <v/>
      </c>
      <c r="R341">
        <f>MIN(E322:E341)</f>
        <v/>
      </c>
      <c r="S341">
        <f>F341-((Q341+R341)/2+I341)/2</f>
        <v/>
      </c>
      <c r="T341">
        <f>FORECAST(A341,S322:S341,A322:A341)</f>
        <v/>
      </c>
    </row>
    <row r="342">
      <c r="A342" t="n">
        <v>340</v>
      </c>
      <c r="B342" s="2" t="n">
        <v>43230</v>
      </c>
      <c r="C342" t="n">
        <v>261.41</v>
      </c>
      <c r="D342" t="n">
        <v>263.4</v>
      </c>
      <c r="E342" t="n">
        <v>261.3</v>
      </c>
      <c r="F342" t="n">
        <v>263.04</v>
      </c>
      <c r="G342" t="n">
        <v>74524544</v>
      </c>
      <c r="H342">
        <f>MAX(D342-E342,ABS(D342-F341),ABS(E342-F341))</f>
        <v/>
      </c>
      <c r="I342">
        <f>AVERAGE(F323:F342)</f>
        <v/>
      </c>
      <c r="J342">
        <f>STDEVP(F323:F342)</f>
        <v/>
      </c>
      <c r="K342">
        <f>AVERAGE(H323:H342)</f>
        <v/>
      </c>
      <c r="L342">
        <f>I342+2.0*J342</f>
        <v/>
      </c>
      <c r="M342">
        <f>I342-2.0*J342</f>
        <v/>
      </c>
      <c r="N342">
        <f>I342+1.5*K342</f>
        <v/>
      </c>
      <c r="O342">
        <f>I342-1.5*K342</f>
        <v/>
      </c>
      <c r="P342">
        <f>AND(L342&lt;N342,M342&gt;O342)</f>
        <v/>
      </c>
      <c r="Q342">
        <f>MAX(D323:D342)</f>
        <v/>
      </c>
      <c r="R342">
        <f>MIN(E323:E342)</f>
        <v/>
      </c>
      <c r="S342">
        <f>F342-((Q342+R342)/2+I342)/2</f>
        <v/>
      </c>
      <c r="T342">
        <f>FORECAST(A342,S323:S342,A323:A342)</f>
        <v/>
      </c>
    </row>
    <row r="343">
      <c r="A343" t="n">
        <v>341</v>
      </c>
      <c r="B343" s="2" t="n">
        <v>43231</v>
      </c>
      <c r="C343" t="n">
        <v>263.17</v>
      </c>
      <c r="D343" t="n">
        <v>264.13</v>
      </c>
      <c r="E343" t="n">
        <v>262.61</v>
      </c>
      <c r="F343" t="n">
        <v>263.84</v>
      </c>
      <c r="G343" t="n">
        <v>61915812</v>
      </c>
      <c r="H343">
        <f>MAX(D343-E343,ABS(D343-F342),ABS(E343-F342))</f>
        <v/>
      </c>
      <c r="I343">
        <f>AVERAGE(F324:F343)</f>
        <v/>
      </c>
      <c r="J343">
        <f>STDEVP(F324:F343)</f>
        <v/>
      </c>
      <c r="K343">
        <f>AVERAGE(H324:H343)</f>
        <v/>
      </c>
      <c r="L343">
        <f>I343+2.0*J343</f>
        <v/>
      </c>
      <c r="M343">
        <f>I343-2.0*J343</f>
        <v/>
      </c>
      <c r="N343">
        <f>I343+1.5*K343</f>
        <v/>
      </c>
      <c r="O343">
        <f>I343-1.5*K343</f>
        <v/>
      </c>
      <c r="P343">
        <f>AND(L343&lt;N343,M343&gt;O343)</f>
        <v/>
      </c>
      <c r="Q343">
        <f>MAX(D324:D343)</f>
        <v/>
      </c>
      <c r="R343">
        <f>MIN(E324:E343)</f>
        <v/>
      </c>
      <c r="S343">
        <f>F343-((Q343+R343)/2+I343)/2</f>
        <v/>
      </c>
      <c r="T343">
        <f>FORECAST(A343,S324:S343,A324:A343)</f>
        <v/>
      </c>
    </row>
    <row r="344">
      <c r="A344" t="n">
        <v>342</v>
      </c>
      <c r="B344" s="2" t="n">
        <v>43234</v>
      </c>
      <c r="C344" t="n">
        <v>264.31</v>
      </c>
      <c r="D344" t="n">
        <v>265.03</v>
      </c>
      <c r="E344" t="n">
        <v>263.37</v>
      </c>
      <c r="F344" t="n">
        <v>263.97</v>
      </c>
      <c r="G344" t="n">
        <v>56661420</v>
      </c>
      <c r="H344">
        <f>MAX(D344-E344,ABS(D344-F343),ABS(E344-F343))</f>
        <v/>
      </c>
      <c r="I344">
        <f>AVERAGE(F325:F344)</f>
        <v/>
      </c>
      <c r="J344">
        <f>STDEVP(F325:F344)</f>
        <v/>
      </c>
      <c r="K344">
        <f>AVERAGE(H325:H344)</f>
        <v/>
      </c>
      <c r="L344">
        <f>I344+2.0*J344</f>
        <v/>
      </c>
      <c r="M344">
        <f>I344-2.0*J344</f>
        <v/>
      </c>
      <c r="N344">
        <f>I344+1.5*K344</f>
        <v/>
      </c>
      <c r="O344">
        <f>I344-1.5*K344</f>
        <v/>
      </c>
      <c r="P344">
        <f>AND(L344&lt;N344,M344&gt;O344)</f>
        <v/>
      </c>
      <c r="Q344">
        <f>MAX(D325:D344)</f>
        <v/>
      </c>
      <c r="R344">
        <f>MIN(E325:E344)</f>
        <v/>
      </c>
      <c r="S344">
        <f>F344-((Q344+R344)/2+I344)/2</f>
        <v/>
      </c>
      <c r="T344">
        <f>FORECAST(A344,S325:S344,A325:A344)</f>
        <v/>
      </c>
    </row>
    <row r="345">
      <c r="A345" t="n">
        <v>343</v>
      </c>
      <c r="B345" s="2" t="n">
        <v>43235</v>
      </c>
      <c r="C345" t="n">
        <v>262.62</v>
      </c>
      <c r="D345" t="n">
        <v>262.64</v>
      </c>
      <c r="E345" t="n">
        <v>261.11</v>
      </c>
      <c r="F345" t="n">
        <v>262.15</v>
      </c>
      <c r="G345" t="n">
        <v>90007968</v>
      </c>
      <c r="H345">
        <f>MAX(D345-E345,ABS(D345-F344),ABS(E345-F344))</f>
        <v/>
      </c>
      <c r="I345">
        <f>AVERAGE(F326:F345)</f>
        <v/>
      </c>
      <c r="J345">
        <f>STDEVP(F326:F345)</f>
        <v/>
      </c>
      <c r="K345">
        <f>AVERAGE(H326:H345)</f>
        <v/>
      </c>
      <c r="L345">
        <f>I345+2.0*J345</f>
        <v/>
      </c>
      <c r="M345">
        <f>I345-2.0*J345</f>
        <v/>
      </c>
      <c r="N345">
        <f>I345+1.5*K345</f>
        <v/>
      </c>
      <c r="O345">
        <f>I345-1.5*K345</f>
        <v/>
      </c>
      <c r="P345">
        <f>AND(L345&lt;N345,M345&gt;O345)</f>
        <v/>
      </c>
      <c r="Q345">
        <f>MAX(D326:D345)</f>
        <v/>
      </c>
      <c r="R345">
        <f>MIN(E326:E345)</f>
        <v/>
      </c>
      <c r="S345">
        <f>F345-((Q345+R345)/2+I345)/2</f>
        <v/>
      </c>
      <c r="T345">
        <f>FORECAST(A345,S326:S345,A326:A345)</f>
        <v/>
      </c>
    </row>
    <row r="346">
      <c r="A346" t="n">
        <v>344</v>
      </c>
      <c r="B346" s="2" t="n">
        <v>43236</v>
      </c>
      <c r="C346" t="n">
        <v>262.19</v>
      </c>
      <c r="D346" t="n">
        <v>263.75</v>
      </c>
      <c r="E346" t="n">
        <v>262.16</v>
      </c>
      <c r="F346" t="n">
        <v>263.25</v>
      </c>
      <c r="G346" t="n">
        <v>55784492</v>
      </c>
      <c r="H346">
        <f>MAX(D346-E346,ABS(D346-F345),ABS(E346-F345))</f>
        <v/>
      </c>
      <c r="I346">
        <f>AVERAGE(F327:F346)</f>
        <v/>
      </c>
      <c r="J346">
        <f>STDEVP(F327:F346)</f>
        <v/>
      </c>
      <c r="K346">
        <f>AVERAGE(H327:H346)</f>
        <v/>
      </c>
      <c r="L346">
        <f>I346+2.0*J346</f>
        <v/>
      </c>
      <c r="M346">
        <f>I346-2.0*J346</f>
        <v/>
      </c>
      <c r="N346">
        <f>I346+1.5*K346</f>
        <v/>
      </c>
      <c r="O346">
        <f>I346-1.5*K346</f>
        <v/>
      </c>
      <c r="P346">
        <f>AND(L346&lt;N346,M346&gt;O346)</f>
        <v/>
      </c>
      <c r="Q346">
        <f>MAX(D327:D346)</f>
        <v/>
      </c>
      <c r="R346">
        <f>MIN(E327:E346)</f>
        <v/>
      </c>
      <c r="S346">
        <f>F346-((Q346+R346)/2+I346)/2</f>
        <v/>
      </c>
      <c r="T346">
        <f>FORECAST(A346,S327:S346,A327:A346)</f>
        <v/>
      </c>
    </row>
    <row r="347">
      <c r="A347" t="n">
        <v>345</v>
      </c>
      <c r="B347" s="2" t="n">
        <v>43237</v>
      </c>
      <c r="C347" t="n">
        <v>262.96</v>
      </c>
      <c r="D347" t="n">
        <v>264.21</v>
      </c>
      <c r="E347" t="n">
        <v>262.18</v>
      </c>
      <c r="F347" t="n">
        <v>263.03</v>
      </c>
      <c r="G347" t="n">
        <v>58466824</v>
      </c>
      <c r="H347">
        <f>MAX(D347-E347,ABS(D347-F346),ABS(E347-F346))</f>
        <v/>
      </c>
      <c r="I347">
        <f>AVERAGE(F328:F347)</f>
        <v/>
      </c>
      <c r="J347">
        <f>STDEVP(F328:F347)</f>
        <v/>
      </c>
      <c r="K347">
        <f>AVERAGE(H328:H347)</f>
        <v/>
      </c>
      <c r="L347">
        <f>I347+2.0*J347</f>
        <v/>
      </c>
      <c r="M347">
        <f>I347-2.0*J347</f>
        <v/>
      </c>
      <c r="N347">
        <f>I347+1.5*K347</f>
        <v/>
      </c>
      <c r="O347">
        <f>I347-1.5*K347</f>
        <v/>
      </c>
      <c r="P347">
        <f>AND(L347&lt;N347,M347&gt;O347)</f>
        <v/>
      </c>
      <c r="Q347">
        <f>MAX(D328:D347)</f>
        <v/>
      </c>
      <c r="R347">
        <f>MIN(E328:E347)</f>
        <v/>
      </c>
      <c r="S347">
        <f>F347-((Q347+R347)/2+I347)/2</f>
        <v/>
      </c>
      <c r="T347">
        <f>FORECAST(A347,S328:S347,A328:A347)</f>
        <v/>
      </c>
    </row>
    <row r="348">
      <c r="A348" t="n">
        <v>346</v>
      </c>
      <c r="B348" s="2" t="n">
        <v>43238</v>
      </c>
      <c r="C348" t="n">
        <v>262.65</v>
      </c>
      <c r="D348" t="n">
        <v>263.05</v>
      </c>
      <c r="E348" t="n">
        <v>261.98</v>
      </c>
      <c r="F348" t="n">
        <v>262.37</v>
      </c>
      <c r="G348" t="n">
        <v>66565792</v>
      </c>
      <c r="H348">
        <f>MAX(D348-E348,ABS(D348-F347),ABS(E348-F347))</f>
        <v/>
      </c>
      <c r="I348">
        <f>AVERAGE(F329:F348)</f>
        <v/>
      </c>
      <c r="J348">
        <f>STDEVP(F329:F348)</f>
        <v/>
      </c>
      <c r="K348">
        <f>AVERAGE(H329:H348)</f>
        <v/>
      </c>
      <c r="L348">
        <f>I348+2.0*J348</f>
        <v/>
      </c>
      <c r="M348">
        <f>I348-2.0*J348</f>
        <v/>
      </c>
      <c r="N348">
        <f>I348+1.5*K348</f>
        <v/>
      </c>
      <c r="O348">
        <f>I348-1.5*K348</f>
        <v/>
      </c>
      <c r="P348">
        <f>AND(L348&lt;N348,M348&gt;O348)</f>
        <v/>
      </c>
      <c r="Q348">
        <f>MAX(D329:D348)</f>
        <v/>
      </c>
      <c r="R348">
        <f>MIN(E329:E348)</f>
        <v/>
      </c>
      <c r="S348">
        <f>F348-((Q348+R348)/2+I348)/2</f>
        <v/>
      </c>
      <c r="T348">
        <f>FORECAST(A348,S329:S348,A329:A348)</f>
        <v/>
      </c>
    </row>
    <row r="349">
      <c r="A349" t="n">
        <v>347</v>
      </c>
      <c r="B349" s="2" t="n">
        <v>43241</v>
      </c>
      <c r="C349" t="n">
        <v>264</v>
      </c>
      <c r="D349" t="n">
        <v>264.93</v>
      </c>
      <c r="E349" t="n">
        <v>262.39</v>
      </c>
      <c r="F349" t="n">
        <v>264.34</v>
      </c>
      <c r="G349" t="n">
        <v>60007156</v>
      </c>
      <c r="H349">
        <f>MAX(D349-E349,ABS(D349-F348),ABS(E349-F348))</f>
        <v/>
      </c>
      <c r="I349">
        <f>AVERAGE(F330:F349)</f>
        <v/>
      </c>
      <c r="J349">
        <f>STDEVP(F330:F349)</f>
        <v/>
      </c>
      <c r="K349">
        <f>AVERAGE(H330:H349)</f>
        <v/>
      </c>
      <c r="L349">
        <f>I349+2.0*J349</f>
        <v/>
      </c>
      <c r="M349">
        <f>I349-2.0*J349</f>
        <v/>
      </c>
      <c r="N349">
        <f>I349+1.5*K349</f>
        <v/>
      </c>
      <c r="O349">
        <f>I349-1.5*K349</f>
        <v/>
      </c>
      <c r="P349">
        <f>AND(L349&lt;N349,M349&gt;O349)</f>
        <v/>
      </c>
      <c r="Q349">
        <f>MAX(D330:D349)</f>
        <v/>
      </c>
      <c r="R349">
        <f>MIN(E330:E349)</f>
        <v/>
      </c>
      <c r="S349">
        <f>F349-((Q349+R349)/2+I349)/2</f>
        <v/>
      </c>
      <c r="T349">
        <f>FORECAST(A349,S330:S349,A330:A349)</f>
        <v/>
      </c>
    </row>
    <row r="350">
      <c r="A350" t="n">
        <v>348</v>
      </c>
      <c r="B350" s="2" t="n">
        <v>43242</v>
      </c>
      <c r="C350" t="n">
        <v>264.91</v>
      </c>
      <c r="D350" t="n">
        <v>265.2</v>
      </c>
      <c r="E350" t="n">
        <v>263.25</v>
      </c>
      <c r="F350" t="n">
        <v>263.61</v>
      </c>
      <c r="G350" t="n">
        <v>54774884</v>
      </c>
      <c r="H350">
        <f>MAX(D350-E350,ABS(D350-F349),ABS(E350-F349))</f>
        <v/>
      </c>
      <c r="I350">
        <f>AVERAGE(F331:F350)</f>
        <v/>
      </c>
      <c r="J350">
        <f>STDEVP(F331:F350)</f>
        <v/>
      </c>
      <c r="K350">
        <f>AVERAGE(H331:H350)</f>
        <v/>
      </c>
      <c r="L350">
        <f>I350+2.0*J350</f>
        <v/>
      </c>
      <c r="M350">
        <f>I350-2.0*J350</f>
        <v/>
      </c>
      <c r="N350">
        <f>I350+1.5*K350</f>
        <v/>
      </c>
      <c r="O350">
        <f>I350-1.5*K350</f>
        <v/>
      </c>
      <c r="P350">
        <f>AND(L350&lt;N350,M350&gt;O350)</f>
        <v/>
      </c>
      <c r="Q350">
        <f>MAX(D331:D350)</f>
        <v/>
      </c>
      <c r="R350">
        <f>MIN(E331:E350)</f>
        <v/>
      </c>
      <c r="S350">
        <f>F350-((Q350+R350)/2+I350)/2</f>
        <v/>
      </c>
      <c r="T350">
        <f>FORECAST(A350,S331:S350,A331:A350)</f>
        <v/>
      </c>
    </row>
    <row r="351">
      <c r="A351" t="n">
        <v>349</v>
      </c>
      <c r="B351" s="2" t="n">
        <v>43243</v>
      </c>
      <c r="C351" t="n">
        <v>262.22</v>
      </c>
      <c r="D351" t="n">
        <v>264.36</v>
      </c>
      <c r="E351" t="n">
        <v>262.04</v>
      </c>
      <c r="F351" t="n">
        <v>264.33</v>
      </c>
      <c r="G351" t="n">
        <v>66903156</v>
      </c>
      <c r="H351">
        <f>MAX(D351-E351,ABS(D351-F350),ABS(E351-F350))</f>
        <v/>
      </c>
      <c r="I351">
        <f>AVERAGE(F332:F351)</f>
        <v/>
      </c>
      <c r="J351">
        <f>STDEVP(F332:F351)</f>
        <v/>
      </c>
      <c r="K351">
        <f>AVERAGE(H332:H351)</f>
        <v/>
      </c>
      <c r="L351">
        <f>I351+2.0*J351</f>
        <v/>
      </c>
      <c r="M351">
        <f>I351-2.0*J351</f>
        <v/>
      </c>
      <c r="N351">
        <f>I351+1.5*K351</f>
        <v/>
      </c>
      <c r="O351">
        <f>I351-1.5*K351</f>
        <v/>
      </c>
      <c r="P351">
        <f>AND(L351&lt;N351,M351&gt;O351)</f>
        <v/>
      </c>
      <c r="Q351">
        <f>MAX(D332:D351)</f>
        <v/>
      </c>
      <c r="R351">
        <f>MIN(E332:E351)</f>
        <v/>
      </c>
      <c r="S351">
        <f>F351-((Q351+R351)/2+I351)/2</f>
        <v/>
      </c>
      <c r="T351">
        <f>FORECAST(A351,S332:S351,A332:A351)</f>
        <v/>
      </c>
    </row>
    <row r="352">
      <c r="A352" t="n">
        <v>350</v>
      </c>
      <c r="B352" s="2" t="n">
        <v>43244</v>
      </c>
      <c r="C352" t="n">
        <v>263.9</v>
      </c>
      <c r="D352" t="n">
        <v>264.2</v>
      </c>
      <c r="E352" t="n">
        <v>261.84</v>
      </c>
      <c r="F352" t="n">
        <v>263.79</v>
      </c>
      <c r="G352" t="n">
        <v>78640328</v>
      </c>
      <c r="H352">
        <f>MAX(D352-E352,ABS(D352-F351),ABS(E352-F351))</f>
        <v/>
      </c>
      <c r="I352">
        <f>AVERAGE(F333:F352)</f>
        <v/>
      </c>
      <c r="J352">
        <f>STDEVP(F333:F352)</f>
        <v/>
      </c>
      <c r="K352">
        <f>AVERAGE(H333:H352)</f>
        <v/>
      </c>
      <c r="L352">
        <f>I352+2.0*J352</f>
        <v/>
      </c>
      <c r="M352">
        <f>I352-2.0*J352</f>
        <v/>
      </c>
      <c r="N352">
        <f>I352+1.5*K352</f>
        <v/>
      </c>
      <c r="O352">
        <f>I352-1.5*K352</f>
        <v/>
      </c>
      <c r="P352">
        <f>AND(L352&lt;N352,M352&gt;O352)</f>
        <v/>
      </c>
      <c r="Q352">
        <f>MAX(D333:D352)</f>
        <v/>
      </c>
      <c r="R352">
        <f>MIN(E333:E352)</f>
        <v/>
      </c>
      <c r="S352">
        <f>F352-((Q352+R352)/2+I352)/2</f>
        <v/>
      </c>
      <c r="T352">
        <f>FORECAST(A352,S333:S352,A333:A352)</f>
        <v/>
      </c>
    </row>
    <row r="353">
      <c r="A353" t="n">
        <v>351</v>
      </c>
      <c r="B353" s="2" t="n">
        <v>43245</v>
      </c>
      <c r="C353" t="n">
        <v>263.16</v>
      </c>
      <c r="D353" t="n">
        <v>263.85</v>
      </c>
      <c r="E353" t="n">
        <v>262.61</v>
      </c>
      <c r="F353" t="n">
        <v>263.16</v>
      </c>
      <c r="G353" t="n">
        <v>58299660</v>
      </c>
      <c r="H353">
        <f>MAX(D353-E353,ABS(D353-F352),ABS(E353-F352))</f>
        <v/>
      </c>
      <c r="I353">
        <f>AVERAGE(F334:F353)</f>
        <v/>
      </c>
      <c r="J353">
        <f>STDEVP(F334:F353)</f>
        <v/>
      </c>
      <c r="K353">
        <f>AVERAGE(H334:H353)</f>
        <v/>
      </c>
      <c r="L353">
        <f>I353+2.0*J353</f>
        <v/>
      </c>
      <c r="M353">
        <f>I353-2.0*J353</f>
        <v/>
      </c>
      <c r="N353">
        <f>I353+1.5*K353</f>
        <v/>
      </c>
      <c r="O353">
        <f>I353-1.5*K353</f>
        <v/>
      </c>
      <c r="P353">
        <f>AND(L353&lt;N353,M353&gt;O353)</f>
        <v/>
      </c>
      <c r="Q353">
        <f>MAX(D334:D353)</f>
        <v/>
      </c>
      <c r="R353">
        <f>MIN(E334:E353)</f>
        <v/>
      </c>
      <c r="S353">
        <f>F353-((Q353+R353)/2+I353)/2</f>
        <v/>
      </c>
      <c r="T353">
        <f>FORECAST(A353,S334:S353,A334:A353)</f>
        <v/>
      </c>
    </row>
    <row r="354">
      <c r="A354" t="n">
        <v>352</v>
      </c>
      <c r="B354" s="2" t="n">
        <v>43249</v>
      </c>
      <c r="C354" t="n">
        <v>261.39</v>
      </c>
      <c r="D354" t="n">
        <v>262.22</v>
      </c>
      <c r="E354" t="n">
        <v>258.92</v>
      </c>
      <c r="F354" t="n">
        <v>260.14</v>
      </c>
      <c r="G354" t="n">
        <v>119866288</v>
      </c>
      <c r="H354">
        <f>MAX(D354-E354,ABS(D354-F353),ABS(E354-F353))</f>
        <v/>
      </c>
      <c r="I354">
        <f>AVERAGE(F335:F354)</f>
        <v/>
      </c>
      <c r="J354">
        <f>STDEVP(F335:F354)</f>
        <v/>
      </c>
      <c r="K354">
        <f>AVERAGE(H335:H354)</f>
        <v/>
      </c>
      <c r="L354">
        <f>I354+2.0*J354</f>
        <v/>
      </c>
      <c r="M354">
        <f>I354-2.0*J354</f>
        <v/>
      </c>
      <c r="N354">
        <f>I354+1.5*K354</f>
        <v/>
      </c>
      <c r="O354">
        <f>I354-1.5*K354</f>
        <v/>
      </c>
      <c r="P354">
        <f>AND(L354&lt;N354,M354&gt;O354)</f>
        <v/>
      </c>
      <c r="Q354">
        <f>MAX(D335:D354)</f>
        <v/>
      </c>
      <c r="R354">
        <f>MIN(E335:E354)</f>
        <v/>
      </c>
      <c r="S354">
        <f>F354-((Q354+R354)/2+I354)/2</f>
        <v/>
      </c>
      <c r="T354">
        <f>FORECAST(A354,S335:S354,A335:A354)</f>
        <v/>
      </c>
    </row>
    <row r="355">
      <c r="A355" t="n">
        <v>353</v>
      </c>
      <c r="B355" s="2" t="n">
        <v>43250</v>
      </c>
      <c r="C355" t="n">
        <v>261.57</v>
      </c>
      <c r="D355" t="n">
        <v>264.09</v>
      </c>
      <c r="E355" t="n">
        <v>261.49</v>
      </c>
      <c r="F355" t="n">
        <v>263.61</v>
      </c>
      <c r="G355" t="n">
        <v>72057608</v>
      </c>
      <c r="H355">
        <f>MAX(D355-E355,ABS(D355-F354),ABS(E355-F354))</f>
        <v/>
      </c>
      <c r="I355">
        <f>AVERAGE(F336:F355)</f>
        <v/>
      </c>
      <c r="J355">
        <f>STDEVP(F336:F355)</f>
        <v/>
      </c>
      <c r="K355">
        <f>AVERAGE(H336:H355)</f>
        <v/>
      </c>
      <c r="L355">
        <f>I355+2.0*J355</f>
        <v/>
      </c>
      <c r="M355">
        <f>I355-2.0*J355</f>
        <v/>
      </c>
      <c r="N355">
        <f>I355+1.5*K355</f>
        <v/>
      </c>
      <c r="O355">
        <f>I355-1.5*K355</f>
        <v/>
      </c>
      <c r="P355">
        <f>AND(L355&lt;N355,M355&gt;O355)</f>
        <v/>
      </c>
      <c r="Q355">
        <f>MAX(D336:D355)</f>
        <v/>
      </c>
      <c r="R355">
        <f>MIN(E336:E355)</f>
        <v/>
      </c>
      <c r="S355">
        <f>F355-((Q355+R355)/2+I355)/2</f>
        <v/>
      </c>
      <c r="T355">
        <f>FORECAST(A355,S336:S355,A336:A355)</f>
        <v/>
      </c>
    </row>
    <row r="356">
      <c r="A356" t="n">
        <v>354</v>
      </c>
      <c r="B356" s="2" t="n">
        <v>43251</v>
      </c>
      <c r="C356" t="n">
        <v>263.16</v>
      </c>
      <c r="D356" t="n">
        <v>263.49</v>
      </c>
      <c r="E356" t="n">
        <v>261.33</v>
      </c>
      <c r="F356" t="n">
        <v>261.99</v>
      </c>
      <c r="G356" t="n">
        <v>96713160</v>
      </c>
      <c r="H356">
        <f>MAX(D356-E356,ABS(D356-F355),ABS(E356-F355))</f>
        <v/>
      </c>
      <c r="I356">
        <f>AVERAGE(F337:F356)</f>
        <v/>
      </c>
      <c r="J356">
        <f>STDEVP(F337:F356)</f>
        <v/>
      </c>
      <c r="K356">
        <f>AVERAGE(H337:H356)</f>
        <v/>
      </c>
      <c r="L356">
        <f>I356+2.0*J356</f>
        <v/>
      </c>
      <c r="M356">
        <f>I356-2.0*J356</f>
        <v/>
      </c>
      <c r="N356">
        <f>I356+1.5*K356</f>
        <v/>
      </c>
      <c r="O356">
        <f>I356-1.5*K356</f>
        <v/>
      </c>
      <c r="P356">
        <f>AND(L356&lt;N356,M356&gt;O356)</f>
        <v/>
      </c>
      <c r="Q356">
        <f>MAX(D337:D356)</f>
        <v/>
      </c>
      <c r="R356">
        <f>MIN(E337:E356)</f>
        <v/>
      </c>
      <c r="S356">
        <f>F356-((Q356+R356)/2+I356)/2</f>
        <v/>
      </c>
      <c r="T356">
        <f>FORECAST(A356,S337:S356,A337:A356)</f>
        <v/>
      </c>
    </row>
    <row r="357">
      <c r="A357" t="n">
        <v>355</v>
      </c>
      <c r="B357" s="2" t="n">
        <v>43252</v>
      </c>
      <c r="C357" t="n">
        <v>263.42</v>
      </c>
      <c r="D357" t="n">
        <v>264.9</v>
      </c>
      <c r="E357" t="n">
        <v>263.34</v>
      </c>
      <c r="F357" t="n">
        <v>264.57</v>
      </c>
      <c r="G357" t="n">
        <v>73691520</v>
      </c>
      <c r="H357">
        <f>MAX(D357-E357,ABS(D357-F356),ABS(E357-F356))</f>
        <v/>
      </c>
      <c r="I357">
        <f>AVERAGE(F338:F357)</f>
        <v/>
      </c>
      <c r="J357">
        <f>STDEVP(F338:F357)</f>
        <v/>
      </c>
      <c r="K357">
        <f>AVERAGE(H338:H357)</f>
        <v/>
      </c>
      <c r="L357">
        <f>I357+2.0*J357</f>
        <v/>
      </c>
      <c r="M357">
        <f>I357-2.0*J357</f>
        <v/>
      </c>
      <c r="N357">
        <f>I357+1.5*K357</f>
        <v/>
      </c>
      <c r="O357">
        <f>I357-1.5*K357</f>
        <v/>
      </c>
      <c r="P357">
        <f>AND(L357&lt;N357,M357&gt;O357)</f>
        <v/>
      </c>
      <c r="Q357">
        <f>MAX(D338:D357)</f>
        <v/>
      </c>
      <c r="R357">
        <f>MIN(E338:E357)</f>
        <v/>
      </c>
      <c r="S357">
        <f>F357-((Q357+R357)/2+I357)/2</f>
        <v/>
      </c>
      <c r="T357">
        <f>FORECAST(A357,S338:S357,A338:A357)</f>
        <v/>
      </c>
    </row>
    <row r="358">
      <c r="A358" t="n">
        <v>356</v>
      </c>
      <c r="B358" s="2" t="n">
        <v>43255</v>
      </c>
      <c r="C358" t="n">
        <v>265.47</v>
      </c>
      <c r="D358" t="n">
        <v>266.1</v>
      </c>
      <c r="E358" t="n">
        <v>265.2</v>
      </c>
      <c r="F358" t="n">
        <v>265.82</v>
      </c>
      <c r="G358" t="n">
        <v>46934832</v>
      </c>
      <c r="H358">
        <f>MAX(D358-E358,ABS(D358-F357),ABS(E358-F357))</f>
        <v/>
      </c>
      <c r="I358">
        <f>AVERAGE(F339:F358)</f>
        <v/>
      </c>
      <c r="J358">
        <f>STDEVP(F339:F358)</f>
        <v/>
      </c>
      <c r="K358">
        <f>AVERAGE(H339:H358)</f>
        <v/>
      </c>
      <c r="L358">
        <f>I358+2.0*J358</f>
        <v/>
      </c>
      <c r="M358">
        <f>I358-2.0*J358</f>
        <v/>
      </c>
      <c r="N358">
        <f>I358+1.5*K358</f>
        <v/>
      </c>
      <c r="O358">
        <f>I358-1.5*K358</f>
        <v/>
      </c>
      <c r="P358">
        <f>AND(L358&lt;N358,M358&gt;O358)</f>
        <v/>
      </c>
      <c r="Q358">
        <f>MAX(D339:D358)</f>
        <v/>
      </c>
      <c r="R358">
        <f>MIN(E339:E358)</f>
        <v/>
      </c>
      <c r="S358">
        <f>F358-((Q358+R358)/2+I358)/2</f>
        <v/>
      </c>
      <c r="T358">
        <f>FORECAST(A358,S339:S358,A339:A358)</f>
        <v/>
      </c>
    </row>
    <row r="359">
      <c r="A359" t="n">
        <v>357</v>
      </c>
      <c r="B359" s="2" t="n">
        <v>43256</v>
      </c>
      <c r="C359" t="n">
        <v>265.97</v>
      </c>
      <c r="D359" t="n">
        <v>266.43</v>
      </c>
      <c r="E359" t="n">
        <v>265.13</v>
      </c>
      <c r="F359" t="n">
        <v>266.02</v>
      </c>
      <c r="G359" t="n">
        <v>52881036</v>
      </c>
      <c r="H359">
        <f>MAX(D359-E359,ABS(D359-F358),ABS(E359-F358))</f>
        <v/>
      </c>
      <c r="I359">
        <f>AVERAGE(F340:F359)</f>
        <v/>
      </c>
      <c r="J359">
        <f>STDEVP(F340:F359)</f>
        <v/>
      </c>
      <c r="K359">
        <f>AVERAGE(H340:H359)</f>
        <v/>
      </c>
      <c r="L359">
        <f>I359+2.0*J359</f>
        <v/>
      </c>
      <c r="M359">
        <f>I359-2.0*J359</f>
        <v/>
      </c>
      <c r="N359">
        <f>I359+1.5*K359</f>
        <v/>
      </c>
      <c r="O359">
        <f>I359-1.5*K359</f>
        <v/>
      </c>
      <c r="P359">
        <f>AND(L359&lt;N359,M359&gt;O359)</f>
        <v/>
      </c>
      <c r="Q359">
        <f>MAX(D340:D359)</f>
        <v/>
      </c>
      <c r="R359">
        <f>MIN(E340:E359)</f>
        <v/>
      </c>
      <c r="S359">
        <f>F359-((Q359+R359)/2+I359)/2</f>
        <v/>
      </c>
      <c r="T359">
        <f>FORECAST(A359,S340:S359,A340:A359)</f>
        <v/>
      </c>
    </row>
    <row r="360">
      <c r="A360" t="n">
        <v>358</v>
      </c>
      <c r="B360" s="2" t="n">
        <v>43257</v>
      </c>
      <c r="C360" t="n">
        <v>266.68</v>
      </c>
      <c r="D360" t="n">
        <v>268.36</v>
      </c>
      <c r="E360" t="n">
        <v>266.01</v>
      </c>
      <c r="F360" t="n">
        <v>268.24</v>
      </c>
      <c r="G360" t="n">
        <v>64874192</v>
      </c>
      <c r="H360">
        <f>MAX(D360-E360,ABS(D360-F359),ABS(E360-F359))</f>
        <v/>
      </c>
      <c r="I360">
        <f>AVERAGE(F341:F360)</f>
        <v/>
      </c>
      <c r="J360">
        <f>STDEVP(F341:F360)</f>
        <v/>
      </c>
      <c r="K360">
        <f>AVERAGE(H341:H360)</f>
        <v/>
      </c>
      <c r="L360">
        <f>I360+2.0*J360</f>
        <v/>
      </c>
      <c r="M360">
        <f>I360-2.0*J360</f>
        <v/>
      </c>
      <c r="N360">
        <f>I360+1.5*K360</f>
        <v/>
      </c>
      <c r="O360">
        <f>I360-1.5*K360</f>
        <v/>
      </c>
      <c r="P360">
        <f>AND(L360&lt;N360,M360&gt;O360)</f>
        <v/>
      </c>
      <c r="Q360">
        <f>MAX(D341:D360)</f>
        <v/>
      </c>
      <c r="R360">
        <f>MIN(E341:E360)</f>
        <v/>
      </c>
      <c r="S360">
        <f>F360-((Q360+R360)/2+I360)/2</f>
        <v/>
      </c>
      <c r="T360">
        <f>FORECAST(A360,S341:S360,A341:A360)</f>
        <v/>
      </c>
    </row>
    <row r="361">
      <c r="A361" t="n">
        <v>359</v>
      </c>
      <c r="B361" s="2" t="n">
        <v>43258</v>
      </c>
      <c r="C361" t="n">
        <v>268.77</v>
      </c>
      <c r="D361" t="n">
        <v>269.09</v>
      </c>
      <c r="E361" t="n">
        <v>267.22</v>
      </c>
      <c r="F361" t="n">
        <v>268.21</v>
      </c>
      <c r="G361" t="n">
        <v>75460928</v>
      </c>
      <c r="H361">
        <f>MAX(D361-E361,ABS(D361-F360),ABS(E361-F360))</f>
        <v/>
      </c>
      <c r="I361">
        <f>AVERAGE(F342:F361)</f>
        <v/>
      </c>
      <c r="J361">
        <f>STDEVP(F342:F361)</f>
        <v/>
      </c>
      <c r="K361">
        <f>AVERAGE(H342:H361)</f>
        <v/>
      </c>
      <c r="L361">
        <f>I361+2.0*J361</f>
        <v/>
      </c>
      <c r="M361">
        <f>I361-2.0*J361</f>
        <v/>
      </c>
      <c r="N361">
        <f>I361+1.5*K361</f>
        <v/>
      </c>
      <c r="O361">
        <f>I361-1.5*K361</f>
        <v/>
      </c>
      <c r="P361">
        <f>AND(L361&lt;N361,M361&gt;O361)</f>
        <v/>
      </c>
      <c r="Q361">
        <f>MAX(D342:D361)</f>
        <v/>
      </c>
      <c r="R361">
        <f>MIN(E342:E361)</f>
        <v/>
      </c>
      <c r="S361">
        <f>F361-((Q361+R361)/2+I361)/2</f>
        <v/>
      </c>
      <c r="T361">
        <f>FORECAST(A361,S342:S361,A342:A361)</f>
        <v/>
      </c>
    </row>
    <row r="362">
      <c r="A362" t="n">
        <v>360</v>
      </c>
      <c r="B362" s="2" t="n">
        <v>43259</v>
      </c>
      <c r="C362" t="n">
        <v>267.71</v>
      </c>
      <c r="D362" t="n">
        <v>269.06</v>
      </c>
      <c r="E362" t="n">
        <v>267.53</v>
      </c>
      <c r="F362" t="n">
        <v>269</v>
      </c>
      <c r="G362" t="n">
        <v>74602920</v>
      </c>
      <c r="H362">
        <f>MAX(D362-E362,ABS(D362-F361),ABS(E362-F361))</f>
        <v/>
      </c>
      <c r="I362">
        <f>AVERAGE(F343:F362)</f>
        <v/>
      </c>
      <c r="J362">
        <f>STDEVP(F343:F362)</f>
        <v/>
      </c>
      <c r="K362">
        <f>AVERAGE(H343:H362)</f>
        <v/>
      </c>
      <c r="L362">
        <f>I362+2.0*J362</f>
        <v/>
      </c>
      <c r="M362">
        <f>I362-2.0*J362</f>
        <v/>
      </c>
      <c r="N362">
        <f>I362+1.5*K362</f>
        <v/>
      </c>
      <c r="O362">
        <f>I362-1.5*K362</f>
        <v/>
      </c>
      <c r="P362">
        <f>AND(L362&lt;N362,M362&gt;O362)</f>
        <v/>
      </c>
      <c r="Q362">
        <f>MAX(D343:D362)</f>
        <v/>
      </c>
      <c r="R362">
        <f>MIN(E343:E362)</f>
        <v/>
      </c>
      <c r="S362">
        <f>F362-((Q362+R362)/2+I362)/2</f>
        <v/>
      </c>
      <c r="T362">
        <f>FORECAST(A362,S343:S362,A343:A362)</f>
        <v/>
      </c>
    </row>
    <row r="363">
      <c r="A363" t="n">
        <v>361</v>
      </c>
      <c r="B363" s="2" t="n">
        <v>43262</v>
      </c>
      <c r="C363" t="n">
        <v>269.25</v>
      </c>
      <c r="D363" t="n">
        <v>270.15</v>
      </c>
      <c r="E363" t="n">
        <v>269.12</v>
      </c>
      <c r="F363" t="n">
        <v>269.36</v>
      </c>
      <c r="G363" t="n">
        <v>60903392</v>
      </c>
      <c r="H363">
        <f>MAX(D363-E363,ABS(D363-F362),ABS(E363-F362))</f>
        <v/>
      </c>
      <c r="I363">
        <f>AVERAGE(F344:F363)</f>
        <v/>
      </c>
      <c r="J363">
        <f>STDEVP(F344:F363)</f>
        <v/>
      </c>
      <c r="K363">
        <f>AVERAGE(H344:H363)</f>
        <v/>
      </c>
      <c r="L363">
        <f>I363+2.0*J363</f>
        <v/>
      </c>
      <c r="M363">
        <f>I363-2.0*J363</f>
        <v/>
      </c>
      <c r="N363">
        <f>I363+1.5*K363</f>
        <v/>
      </c>
      <c r="O363">
        <f>I363-1.5*K363</f>
        <v/>
      </c>
      <c r="P363">
        <f>AND(L363&lt;N363,M363&gt;O363)</f>
        <v/>
      </c>
      <c r="Q363">
        <f>MAX(D344:D363)</f>
        <v/>
      </c>
      <c r="R363">
        <f>MIN(E344:E363)</f>
        <v/>
      </c>
      <c r="S363">
        <f>F363-((Q363+R363)/2+I363)/2</f>
        <v/>
      </c>
      <c r="T363">
        <f>FORECAST(A363,S344:S363,A344:A363)</f>
        <v/>
      </c>
    </row>
    <row r="364">
      <c r="A364" t="n">
        <v>362</v>
      </c>
      <c r="B364" s="2" t="n">
        <v>43263</v>
      </c>
      <c r="C364" t="n">
        <v>269.82</v>
      </c>
      <c r="D364" t="n">
        <v>270.11</v>
      </c>
      <c r="E364" t="n">
        <v>269</v>
      </c>
      <c r="F364" t="n">
        <v>269.71</v>
      </c>
      <c r="G364" t="n">
        <v>74798688</v>
      </c>
      <c r="H364">
        <f>MAX(D364-E364,ABS(D364-F363),ABS(E364-F363))</f>
        <v/>
      </c>
      <c r="I364">
        <f>AVERAGE(F345:F364)</f>
        <v/>
      </c>
      <c r="J364">
        <f>STDEVP(F345:F364)</f>
        <v/>
      </c>
      <c r="K364">
        <f>AVERAGE(H345:H364)</f>
        <v/>
      </c>
      <c r="L364">
        <f>I364+2.0*J364</f>
        <v/>
      </c>
      <c r="M364">
        <f>I364-2.0*J364</f>
        <v/>
      </c>
      <c r="N364">
        <f>I364+1.5*K364</f>
        <v/>
      </c>
      <c r="O364">
        <f>I364-1.5*K364</f>
        <v/>
      </c>
      <c r="P364">
        <f>AND(L364&lt;N364,M364&gt;O364)</f>
        <v/>
      </c>
      <c r="Q364">
        <f>MAX(D345:D364)</f>
        <v/>
      </c>
      <c r="R364">
        <f>MIN(E345:E364)</f>
        <v/>
      </c>
      <c r="S364">
        <f>F364-((Q364+R364)/2+I364)/2</f>
        <v/>
      </c>
      <c r="T364">
        <f>FORECAST(A364,S345:S364,A345:A364)</f>
        <v/>
      </c>
    </row>
    <row r="365">
      <c r="A365" t="n">
        <v>363</v>
      </c>
      <c r="B365" s="2" t="n">
        <v>43264</v>
      </c>
      <c r="C365" t="n">
        <v>269.97</v>
      </c>
      <c r="D365" t="n">
        <v>270.25</v>
      </c>
      <c r="E365" t="n">
        <v>268.63</v>
      </c>
      <c r="F365" t="n">
        <v>268.85</v>
      </c>
      <c r="G365" t="n">
        <v>81770464</v>
      </c>
      <c r="H365">
        <f>MAX(D365-E365,ABS(D365-F364),ABS(E365-F364))</f>
        <v/>
      </c>
      <c r="I365">
        <f>AVERAGE(F346:F365)</f>
        <v/>
      </c>
      <c r="J365">
        <f>STDEVP(F346:F365)</f>
        <v/>
      </c>
      <c r="K365">
        <f>AVERAGE(H346:H365)</f>
        <v/>
      </c>
      <c r="L365">
        <f>I365+2.0*J365</f>
        <v/>
      </c>
      <c r="M365">
        <f>I365-2.0*J365</f>
        <v/>
      </c>
      <c r="N365">
        <f>I365+1.5*K365</f>
        <v/>
      </c>
      <c r="O365">
        <f>I365-1.5*K365</f>
        <v/>
      </c>
      <c r="P365">
        <f>AND(L365&lt;N365,M365&gt;O365)</f>
        <v/>
      </c>
      <c r="Q365">
        <f>MAX(D346:D365)</f>
        <v/>
      </c>
      <c r="R365">
        <f>MIN(E346:E365)</f>
        <v/>
      </c>
      <c r="S365">
        <f>F365-((Q365+R365)/2+I365)/2</f>
        <v/>
      </c>
      <c r="T365">
        <f>FORECAST(A365,S346:S365,A346:A365)</f>
        <v/>
      </c>
    </row>
    <row r="366">
      <c r="A366" t="n">
        <v>364</v>
      </c>
      <c r="B366" s="2" t="n">
        <v>43265</v>
      </c>
      <c r="C366" t="n">
        <v>269.8</v>
      </c>
      <c r="D366" t="n">
        <v>270.11</v>
      </c>
      <c r="E366" t="n">
        <v>268.88</v>
      </c>
      <c r="F366" t="n">
        <v>269.53</v>
      </c>
      <c r="G366" t="n">
        <v>79730104</v>
      </c>
      <c r="H366">
        <f>MAX(D366-E366,ABS(D366-F365),ABS(E366-F365))</f>
        <v/>
      </c>
      <c r="I366">
        <f>AVERAGE(F347:F366)</f>
        <v/>
      </c>
      <c r="J366">
        <f>STDEVP(F347:F366)</f>
        <v/>
      </c>
      <c r="K366">
        <f>AVERAGE(H347:H366)</f>
        <v/>
      </c>
      <c r="L366">
        <f>I366+2.0*J366</f>
        <v/>
      </c>
      <c r="M366">
        <f>I366-2.0*J366</f>
        <v/>
      </c>
      <c r="N366">
        <f>I366+1.5*K366</f>
        <v/>
      </c>
      <c r="O366">
        <f>I366-1.5*K366</f>
        <v/>
      </c>
      <c r="P366">
        <f>AND(L366&lt;N366,M366&gt;O366)</f>
        <v/>
      </c>
      <c r="Q366">
        <f>MAX(D347:D366)</f>
        <v/>
      </c>
      <c r="R366">
        <f>MIN(E347:E366)</f>
        <v/>
      </c>
      <c r="S366">
        <f>F366-((Q366+R366)/2+I366)/2</f>
        <v/>
      </c>
      <c r="T366">
        <f>FORECAST(A366,S347:S366,A347:A366)</f>
        <v/>
      </c>
    </row>
    <row r="367">
      <c r="A367" t="n">
        <v>365</v>
      </c>
      <c r="B367" s="2" t="n">
        <v>43266</v>
      </c>
      <c r="C367" t="n">
        <v>268.67</v>
      </c>
      <c r="D367" t="n">
        <v>269.55</v>
      </c>
      <c r="E367" t="n">
        <v>267.45</v>
      </c>
      <c r="F367" t="n">
        <v>269.18</v>
      </c>
      <c r="G367" t="n">
        <v>123585600</v>
      </c>
      <c r="H367">
        <f>MAX(D367-E367,ABS(D367-F366),ABS(E367-F366))</f>
        <v/>
      </c>
      <c r="I367">
        <f>AVERAGE(F348:F367)</f>
        <v/>
      </c>
      <c r="J367">
        <f>STDEVP(F348:F367)</f>
        <v/>
      </c>
      <c r="K367">
        <f>AVERAGE(H348:H367)</f>
        <v/>
      </c>
      <c r="L367">
        <f>I367+2.0*J367</f>
        <v/>
      </c>
      <c r="M367">
        <f>I367-2.0*J367</f>
        <v/>
      </c>
      <c r="N367">
        <f>I367+1.5*K367</f>
        <v/>
      </c>
      <c r="O367">
        <f>I367-1.5*K367</f>
        <v/>
      </c>
      <c r="P367">
        <f>AND(L367&lt;N367,M367&gt;O367)</f>
        <v/>
      </c>
      <c r="Q367">
        <f>MAX(D348:D367)</f>
        <v/>
      </c>
      <c r="R367">
        <f>MIN(E348:E367)</f>
        <v/>
      </c>
      <c r="S367">
        <f>F367-((Q367+R367)/2+I367)/2</f>
        <v/>
      </c>
      <c r="T367">
        <f>FORECAST(A367,S348:S367,A348:A367)</f>
        <v/>
      </c>
    </row>
    <row r="368">
      <c r="A368" t="n">
        <v>366</v>
      </c>
      <c r="B368" s="2" t="n">
        <v>43269</v>
      </c>
      <c r="C368" t="n">
        <v>267.59</v>
      </c>
      <c r="D368" t="n">
        <v>268.77</v>
      </c>
      <c r="E368" t="n">
        <v>267.07</v>
      </c>
      <c r="F368" t="n">
        <v>268.63</v>
      </c>
      <c r="G368" t="n">
        <v>54479888</v>
      </c>
      <c r="H368">
        <f>MAX(D368-E368,ABS(D368-F367),ABS(E368-F367))</f>
        <v/>
      </c>
      <c r="I368">
        <f>AVERAGE(F349:F368)</f>
        <v/>
      </c>
      <c r="J368">
        <f>STDEVP(F349:F368)</f>
        <v/>
      </c>
      <c r="K368">
        <f>AVERAGE(H349:H368)</f>
        <v/>
      </c>
      <c r="L368">
        <f>I368+2.0*J368</f>
        <v/>
      </c>
      <c r="M368">
        <f>I368-2.0*J368</f>
        <v/>
      </c>
      <c r="N368">
        <f>I368+1.5*K368</f>
        <v/>
      </c>
      <c r="O368">
        <f>I368-1.5*K368</f>
        <v/>
      </c>
      <c r="P368">
        <f>AND(L368&lt;N368,M368&gt;O368)</f>
        <v/>
      </c>
      <c r="Q368">
        <f>MAX(D349:D368)</f>
        <v/>
      </c>
      <c r="R368">
        <f>MIN(E349:E368)</f>
        <v/>
      </c>
      <c r="S368">
        <f>F368-((Q368+R368)/2+I368)/2</f>
        <v/>
      </c>
      <c r="T368">
        <f>FORECAST(A368,S349:S368,A349:A368)</f>
        <v/>
      </c>
    </row>
    <row r="369">
      <c r="A369" t="n">
        <v>367</v>
      </c>
      <c r="B369" s="2" t="n">
        <v>43270</v>
      </c>
      <c r="C369" t="n">
        <v>266.14</v>
      </c>
      <c r="D369" t="n">
        <v>267.84</v>
      </c>
      <c r="E369" t="n">
        <v>265.69</v>
      </c>
      <c r="F369" t="n">
        <v>267.6</v>
      </c>
      <c r="G369" t="n">
        <v>100410976</v>
      </c>
      <c r="H369">
        <f>MAX(D369-E369,ABS(D369-F368),ABS(E369-F368))</f>
        <v/>
      </c>
      <c r="I369">
        <f>AVERAGE(F350:F369)</f>
        <v/>
      </c>
      <c r="J369">
        <f>STDEVP(F350:F369)</f>
        <v/>
      </c>
      <c r="K369">
        <f>AVERAGE(H350:H369)</f>
        <v/>
      </c>
      <c r="L369">
        <f>I369+2.0*J369</f>
        <v/>
      </c>
      <c r="M369">
        <f>I369-2.0*J369</f>
        <v/>
      </c>
      <c r="N369">
        <f>I369+1.5*K369</f>
        <v/>
      </c>
      <c r="O369">
        <f>I369-1.5*K369</f>
        <v/>
      </c>
      <c r="P369">
        <f>AND(L369&lt;N369,M369&gt;O369)</f>
        <v/>
      </c>
      <c r="Q369">
        <f>MAX(D350:D369)</f>
        <v/>
      </c>
      <c r="R369">
        <f>MIN(E350:E369)</f>
        <v/>
      </c>
      <c r="S369">
        <f>F369-((Q369+R369)/2+I369)/2</f>
        <v/>
      </c>
      <c r="T369">
        <f>FORECAST(A369,S350:S369,A350:A369)</f>
        <v/>
      </c>
    </row>
    <row r="370">
      <c r="A370" t="n">
        <v>368</v>
      </c>
      <c r="B370" s="2" t="n">
        <v>43271</v>
      </c>
      <c r="C370" t="n">
        <v>268.35</v>
      </c>
      <c r="D370" t="n">
        <v>268.78</v>
      </c>
      <c r="E370" t="n">
        <v>267.69</v>
      </c>
      <c r="F370" t="n">
        <v>268.06</v>
      </c>
      <c r="G370" t="n">
        <v>55373416</v>
      </c>
      <c r="H370">
        <f>MAX(D370-E370,ABS(D370-F369),ABS(E370-F369))</f>
        <v/>
      </c>
      <c r="I370">
        <f>AVERAGE(F351:F370)</f>
        <v/>
      </c>
      <c r="J370">
        <f>STDEVP(F351:F370)</f>
        <v/>
      </c>
      <c r="K370">
        <f>AVERAGE(H351:H370)</f>
        <v/>
      </c>
      <c r="L370">
        <f>I370+2.0*J370</f>
        <v/>
      </c>
      <c r="M370">
        <f>I370-2.0*J370</f>
        <v/>
      </c>
      <c r="N370">
        <f>I370+1.5*K370</f>
        <v/>
      </c>
      <c r="O370">
        <f>I370-1.5*K370</f>
        <v/>
      </c>
      <c r="P370">
        <f>AND(L370&lt;N370,M370&gt;O370)</f>
        <v/>
      </c>
      <c r="Q370">
        <f>MAX(D351:D370)</f>
        <v/>
      </c>
      <c r="R370">
        <f>MIN(E351:E370)</f>
        <v/>
      </c>
      <c r="S370">
        <f>F370-((Q370+R370)/2+I370)/2</f>
        <v/>
      </c>
      <c r="T370">
        <f>FORECAST(A370,S351:S370,A351:A370)</f>
        <v/>
      </c>
    </row>
    <row r="371">
      <c r="A371" t="n">
        <v>369</v>
      </c>
      <c r="B371" s="2" t="n">
        <v>43272</v>
      </c>
      <c r="C371" t="n">
        <v>268.05</v>
      </c>
      <c r="D371" t="n">
        <v>268.07</v>
      </c>
      <c r="E371" t="n">
        <v>265.83</v>
      </c>
      <c r="F371" t="n">
        <v>266.38</v>
      </c>
      <c r="G371" t="n">
        <v>73159376</v>
      </c>
      <c r="H371">
        <f>MAX(D371-E371,ABS(D371-F370),ABS(E371-F370))</f>
        <v/>
      </c>
      <c r="I371">
        <f>AVERAGE(F352:F371)</f>
        <v/>
      </c>
      <c r="J371">
        <f>STDEVP(F352:F371)</f>
        <v/>
      </c>
      <c r="K371">
        <f>AVERAGE(H352:H371)</f>
        <v/>
      </c>
      <c r="L371">
        <f>I371+2.0*J371</f>
        <v/>
      </c>
      <c r="M371">
        <f>I371-2.0*J371</f>
        <v/>
      </c>
      <c r="N371">
        <f>I371+1.5*K371</f>
        <v/>
      </c>
      <c r="O371">
        <f>I371-1.5*K371</f>
        <v/>
      </c>
      <c r="P371">
        <f>AND(L371&lt;N371,M371&gt;O371)</f>
        <v/>
      </c>
      <c r="Q371">
        <f>MAX(D352:D371)</f>
        <v/>
      </c>
      <c r="R371">
        <f>MIN(E352:E371)</f>
        <v/>
      </c>
      <c r="S371">
        <f>F371-((Q371+R371)/2+I371)/2</f>
        <v/>
      </c>
      <c r="T371">
        <f>FORECAST(A371,S352:S371,A352:A371)</f>
        <v/>
      </c>
    </row>
    <row r="372">
      <c r="A372" t="n">
        <v>370</v>
      </c>
      <c r="B372" s="2" t="n">
        <v>43273</v>
      </c>
      <c r="C372" t="n">
        <v>267.76</v>
      </c>
      <c r="D372" t="n">
        <v>267.88</v>
      </c>
      <c r="E372" t="n">
        <v>266.62</v>
      </c>
      <c r="F372" t="n">
        <v>266.86</v>
      </c>
      <c r="G372" t="n">
        <v>58283384</v>
      </c>
      <c r="H372">
        <f>MAX(D372-E372,ABS(D372-F371),ABS(E372-F371))</f>
        <v/>
      </c>
      <c r="I372">
        <f>AVERAGE(F353:F372)</f>
        <v/>
      </c>
      <c r="J372">
        <f>STDEVP(F353:F372)</f>
        <v/>
      </c>
      <c r="K372">
        <f>AVERAGE(H353:H372)</f>
        <v/>
      </c>
      <c r="L372">
        <f>I372+2.0*J372</f>
        <v/>
      </c>
      <c r="M372">
        <f>I372-2.0*J372</f>
        <v/>
      </c>
      <c r="N372">
        <f>I372+1.5*K372</f>
        <v/>
      </c>
      <c r="O372">
        <f>I372-1.5*K372</f>
        <v/>
      </c>
      <c r="P372">
        <f>AND(L372&lt;N372,M372&gt;O372)</f>
        <v/>
      </c>
      <c r="Q372">
        <f>MAX(D353:D372)</f>
        <v/>
      </c>
      <c r="R372">
        <f>MIN(E353:E372)</f>
        <v/>
      </c>
      <c r="S372">
        <f>F372-((Q372+R372)/2+I372)/2</f>
        <v/>
      </c>
      <c r="T372">
        <f>FORECAST(A372,S353:S372,A353:A372)</f>
        <v/>
      </c>
    </row>
    <row r="373">
      <c r="A373" t="n">
        <v>371</v>
      </c>
      <c r="B373" s="2" t="n">
        <v>43276</v>
      </c>
      <c r="C373" t="n">
        <v>265.6</v>
      </c>
      <c r="D373" t="n">
        <v>265.77</v>
      </c>
      <c r="E373" t="n">
        <v>261.38</v>
      </c>
      <c r="F373" t="n">
        <v>263.23</v>
      </c>
      <c r="G373" t="n">
        <v>141924096</v>
      </c>
      <c r="H373">
        <f>MAX(D373-E373,ABS(D373-F372),ABS(E373-F372))</f>
        <v/>
      </c>
      <c r="I373">
        <f>AVERAGE(F354:F373)</f>
        <v/>
      </c>
      <c r="J373">
        <f>STDEVP(F354:F373)</f>
        <v/>
      </c>
      <c r="K373">
        <f>AVERAGE(H354:H373)</f>
        <v/>
      </c>
      <c r="L373">
        <f>I373+2.0*J373</f>
        <v/>
      </c>
      <c r="M373">
        <f>I373-2.0*J373</f>
        <v/>
      </c>
      <c r="N373">
        <f>I373+1.5*K373</f>
        <v/>
      </c>
      <c r="O373">
        <f>I373-1.5*K373</f>
        <v/>
      </c>
      <c r="P373">
        <f>AND(L373&lt;N373,M373&gt;O373)</f>
        <v/>
      </c>
      <c r="Q373">
        <f>MAX(D354:D373)</f>
        <v/>
      </c>
      <c r="R373">
        <f>MIN(E354:E373)</f>
        <v/>
      </c>
      <c r="S373">
        <f>F373-((Q373+R373)/2+I373)/2</f>
        <v/>
      </c>
      <c r="T373">
        <f>FORECAST(A373,S354:S373,A354:A373)</f>
        <v/>
      </c>
    </row>
    <row r="374">
      <c r="A374" t="n">
        <v>372</v>
      </c>
      <c r="B374" s="2" t="n">
        <v>43277</v>
      </c>
      <c r="C374" t="n">
        <v>263.85</v>
      </c>
      <c r="D374" t="n">
        <v>264.74</v>
      </c>
      <c r="E374" t="n">
        <v>263.02</v>
      </c>
      <c r="F374" t="n">
        <v>263.81</v>
      </c>
      <c r="G374" t="n">
        <v>70710976</v>
      </c>
      <c r="H374">
        <f>MAX(D374-E374,ABS(D374-F373),ABS(E374-F373))</f>
        <v/>
      </c>
      <c r="I374">
        <f>AVERAGE(F355:F374)</f>
        <v/>
      </c>
      <c r="J374">
        <f>STDEVP(F355:F374)</f>
        <v/>
      </c>
      <c r="K374">
        <f>AVERAGE(H355:H374)</f>
        <v/>
      </c>
      <c r="L374">
        <f>I374+2.0*J374</f>
        <v/>
      </c>
      <c r="M374">
        <f>I374-2.0*J374</f>
        <v/>
      </c>
      <c r="N374">
        <f>I374+1.5*K374</f>
        <v/>
      </c>
      <c r="O374">
        <f>I374-1.5*K374</f>
        <v/>
      </c>
      <c r="P374">
        <f>AND(L374&lt;N374,M374&gt;O374)</f>
        <v/>
      </c>
      <c r="Q374">
        <f>MAX(D355:D374)</f>
        <v/>
      </c>
      <c r="R374">
        <f>MIN(E355:E374)</f>
        <v/>
      </c>
      <c r="S374">
        <f>F374-((Q374+R374)/2+I374)/2</f>
        <v/>
      </c>
      <c r="T374">
        <f>FORECAST(A374,S355:S374,A355:A374)</f>
        <v/>
      </c>
    </row>
    <row r="375">
      <c r="A375" t="n">
        <v>373</v>
      </c>
      <c r="B375" s="2" t="n">
        <v>43278</v>
      </c>
      <c r="C375" t="n">
        <v>264.45</v>
      </c>
      <c r="D375" t="n">
        <v>266.01</v>
      </c>
      <c r="E375" t="n">
        <v>261.46</v>
      </c>
      <c r="F375" t="n">
        <v>261.63</v>
      </c>
      <c r="G375" t="n">
        <v>108213904</v>
      </c>
      <c r="H375">
        <f>MAX(D375-E375,ABS(D375-F374),ABS(E375-F374))</f>
        <v/>
      </c>
      <c r="I375">
        <f>AVERAGE(F356:F375)</f>
        <v/>
      </c>
      <c r="J375">
        <f>STDEVP(F356:F375)</f>
        <v/>
      </c>
      <c r="K375">
        <f>AVERAGE(H356:H375)</f>
        <v/>
      </c>
      <c r="L375">
        <f>I375+2.0*J375</f>
        <v/>
      </c>
      <c r="M375">
        <f>I375-2.0*J375</f>
        <v/>
      </c>
      <c r="N375">
        <f>I375+1.5*K375</f>
        <v/>
      </c>
      <c r="O375">
        <f>I375-1.5*K375</f>
        <v/>
      </c>
      <c r="P375">
        <f>AND(L375&lt;N375,M375&gt;O375)</f>
        <v/>
      </c>
      <c r="Q375">
        <f>MAX(D356:D375)</f>
        <v/>
      </c>
      <c r="R375">
        <f>MIN(E356:E375)</f>
        <v/>
      </c>
      <c r="S375">
        <f>F375-((Q375+R375)/2+I375)/2</f>
        <v/>
      </c>
      <c r="T375">
        <f>FORECAST(A375,S356:S375,A356:A375)</f>
        <v/>
      </c>
    </row>
    <row r="376">
      <c r="A376" t="n">
        <v>374</v>
      </c>
      <c r="B376" s="2" t="n">
        <v>43279</v>
      </c>
      <c r="C376" t="n">
        <v>261.57</v>
      </c>
      <c r="D376" t="n">
        <v>263.96</v>
      </c>
      <c r="E376" t="n">
        <v>260.79</v>
      </c>
      <c r="F376" t="n">
        <v>263.12</v>
      </c>
      <c r="G376" t="n">
        <v>78913504</v>
      </c>
      <c r="H376">
        <f>MAX(D376-E376,ABS(D376-F375),ABS(E376-F375))</f>
        <v/>
      </c>
      <c r="I376">
        <f>AVERAGE(F357:F376)</f>
        <v/>
      </c>
      <c r="J376">
        <f>STDEVP(F357:F376)</f>
        <v/>
      </c>
      <c r="K376">
        <f>AVERAGE(H357:H376)</f>
        <v/>
      </c>
      <c r="L376">
        <f>I376+2.0*J376</f>
        <v/>
      </c>
      <c r="M376">
        <f>I376-2.0*J376</f>
        <v/>
      </c>
      <c r="N376">
        <f>I376+1.5*K376</f>
        <v/>
      </c>
      <c r="O376">
        <f>I376-1.5*K376</f>
        <v/>
      </c>
      <c r="P376">
        <f>AND(L376&lt;N376,M376&gt;O376)</f>
        <v/>
      </c>
      <c r="Q376">
        <f>MAX(D357:D376)</f>
        <v/>
      </c>
      <c r="R376">
        <f>MIN(E357:E376)</f>
        <v/>
      </c>
      <c r="S376">
        <f>F376-((Q376+R376)/2+I376)/2</f>
        <v/>
      </c>
      <c r="T376">
        <f>FORECAST(A376,S357:S376,A357:A376)</f>
        <v/>
      </c>
    </row>
    <row r="377">
      <c r="A377" t="n">
        <v>375</v>
      </c>
      <c r="B377" s="2" t="n">
        <v>43280</v>
      </c>
      <c r="C377" t="n">
        <v>264.32</v>
      </c>
      <c r="D377" t="n">
        <v>265.81</v>
      </c>
      <c r="E377" t="n">
        <v>263.37</v>
      </c>
      <c r="F377" t="n">
        <v>263.5</v>
      </c>
      <c r="G377" t="n">
        <v>100473760</v>
      </c>
      <c r="H377">
        <f>MAX(D377-E377,ABS(D377-F376),ABS(E377-F376))</f>
        <v/>
      </c>
      <c r="I377">
        <f>AVERAGE(F358:F377)</f>
        <v/>
      </c>
      <c r="J377">
        <f>STDEVP(F358:F377)</f>
        <v/>
      </c>
      <c r="K377">
        <f>AVERAGE(H358:H377)</f>
        <v/>
      </c>
      <c r="L377">
        <f>I377+2.0*J377</f>
        <v/>
      </c>
      <c r="M377">
        <f>I377-2.0*J377</f>
        <v/>
      </c>
      <c r="N377">
        <f>I377+1.5*K377</f>
        <v/>
      </c>
      <c r="O377">
        <f>I377-1.5*K377</f>
        <v/>
      </c>
      <c r="P377">
        <f>AND(L377&lt;N377,M377&gt;O377)</f>
        <v/>
      </c>
      <c r="Q377">
        <f>MAX(D358:D377)</f>
        <v/>
      </c>
      <c r="R377">
        <f>MIN(E358:E377)</f>
        <v/>
      </c>
      <c r="S377">
        <f>F377-((Q377+R377)/2+I377)/2</f>
        <v/>
      </c>
      <c r="T377">
        <f>FORECAST(A377,S358:S377,A358:A377)</f>
        <v/>
      </c>
    </row>
    <row r="378">
      <c r="A378" t="n">
        <v>376</v>
      </c>
      <c r="B378" s="2" t="n">
        <v>43283</v>
      </c>
      <c r="C378" t="n">
        <v>261.78</v>
      </c>
      <c r="D378" t="n">
        <v>264.24</v>
      </c>
      <c r="E378" t="n">
        <v>261.52</v>
      </c>
      <c r="F378" t="n">
        <v>264.06</v>
      </c>
      <c r="G378" t="n">
        <v>65431128</v>
      </c>
      <c r="H378">
        <f>MAX(D378-E378,ABS(D378-F377),ABS(E378-F377))</f>
        <v/>
      </c>
      <c r="I378">
        <f>AVERAGE(F359:F378)</f>
        <v/>
      </c>
      <c r="J378">
        <f>STDEVP(F359:F378)</f>
        <v/>
      </c>
      <c r="K378">
        <f>AVERAGE(H359:H378)</f>
        <v/>
      </c>
      <c r="L378">
        <f>I378+2.0*J378</f>
        <v/>
      </c>
      <c r="M378">
        <f>I378-2.0*J378</f>
        <v/>
      </c>
      <c r="N378">
        <f>I378+1.5*K378</f>
        <v/>
      </c>
      <c r="O378">
        <f>I378-1.5*K378</f>
        <v/>
      </c>
      <c r="P378">
        <f>AND(L378&lt;N378,M378&gt;O378)</f>
        <v/>
      </c>
      <c r="Q378">
        <f>MAX(D359:D378)</f>
        <v/>
      </c>
      <c r="R378">
        <f>MIN(E359:E378)</f>
        <v/>
      </c>
      <c r="S378">
        <f>F378-((Q378+R378)/2+I378)/2</f>
        <v/>
      </c>
      <c r="T378">
        <f>FORECAST(A378,S359:S378,A359:A378)</f>
        <v/>
      </c>
    </row>
    <row r="379">
      <c r="A379" t="n">
        <v>377</v>
      </c>
      <c r="B379" s="2" t="n">
        <v>43284</v>
      </c>
      <c r="C379" t="n">
        <v>265.05</v>
      </c>
      <c r="D379" t="n">
        <v>265.15</v>
      </c>
      <c r="E379" t="n">
        <v>262.67</v>
      </c>
      <c r="F379" t="n">
        <v>263.13</v>
      </c>
      <c r="G379" t="n">
        <v>43432576</v>
      </c>
      <c r="H379">
        <f>MAX(D379-E379,ABS(D379-F378),ABS(E379-F378))</f>
        <v/>
      </c>
      <c r="I379">
        <f>AVERAGE(F360:F379)</f>
        <v/>
      </c>
      <c r="J379">
        <f>STDEVP(F360:F379)</f>
        <v/>
      </c>
      <c r="K379">
        <f>AVERAGE(H360:H379)</f>
        <v/>
      </c>
      <c r="L379">
        <f>I379+2.0*J379</f>
        <v/>
      </c>
      <c r="M379">
        <f>I379-2.0*J379</f>
        <v/>
      </c>
      <c r="N379">
        <f>I379+1.5*K379</f>
        <v/>
      </c>
      <c r="O379">
        <f>I379-1.5*K379</f>
        <v/>
      </c>
      <c r="P379">
        <f>AND(L379&lt;N379,M379&gt;O379)</f>
        <v/>
      </c>
      <c r="Q379">
        <f>MAX(D360:D379)</f>
        <v/>
      </c>
      <c r="R379">
        <f>MIN(E360:E379)</f>
        <v/>
      </c>
      <c r="S379">
        <f>F379-((Q379+R379)/2+I379)/2</f>
        <v/>
      </c>
      <c r="T379">
        <f>FORECAST(A379,S360:S379,A360:A379)</f>
        <v/>
      </c>
    </row>
    <row r="380">
      <c r="A380" t="n">
        <v>378</v>
      </c>
      <c r="B380" s="2" t="n">
        <v>43286</v>
      </c>
      <c r="C380" t="n">
        <v>264.36</v>
      </c>
      <c r="D380" t="n">
        <v>265.35</v>
      </c>
      <c r="E380" t="n">
        <v>263.19</v>
      </c>
      <c r="F380" t="n">
        <v>265.28</v>
      </c>
      <c r="G380" t="n">
        <v>58606568</v>
      </c>
      <c r="H380">
        <f>MAX(D380-E380,ABS(D380-F379),ABS(E380-F379))</f>
        <v/>
      </c>
      <c r="I380">
        <f>AVERAGE(F361:F380)</f>
        <v/>
      </c>
      <c r="J380">
        <f>STDEVP(F361:F380)</f>
        <v/>
      </c>
      <c r="K380">
        <f>AVERAGE(H361:H380)</f>
        <v/>
      </c>
      <c r="L380">
        <f>I380+2.0*J380</f>
        <v/>
      </c>
      <c r="M380">
        <f>I380-2.0*J380</f>
        <v/>
      </c>
      <c r="N380">
        <f>I380+1.5*K380</f>
        <v/>
      </c>
      <c r="O380">
        <f>I380-1.5*K380</f>
        <v/>
      </c>
      <c r="P380">
        <f>AND(L380&lt;N380,M380&gt;O380)</f>
        <v/>
      </c>
      <c r="Q380">
        <f>MAX(D361:D380)</f>
        <v/>
      </c>
      <c r="R380">
        <f>MIN(E361:E380)</f>
        <v/>
      </c>
      <c r="S380">
        <f>F380-((Q380+R380)/2+I380)/2</f>
        <v/>
      </c>
      <c r="T380">
        <f>FORECAST(A380,S361:S380,A361:A380)</f>
        <v/>
      </c>
    </row>
    <row r="381">
      <c r="A381" t="n">
        <v>379</v>
      </c>
      <c r="B381" s="2" t="n">
        <v>43287</v>
      </c>
      <c r="C381" t="n">
        <v>265.31</v>
      </c>
      <c r="D381" t="n">
        <v>267.93</v>
      </c>
      <c r="E381" t="n">
        <v>264.89</v>
      </c>
      <c r="F381" t="n">
        <v>267.52</v>
      </c>
      <c r="G381" t="n">
        <v>68456816</v>
      </c>
      <c r="H381">
        <f>MAX(D381-E381,ABS(D381-F380),ABS(E381-F380))</f>
        <v/>
      </c>
      <c r="I381">
        <f>AVERAGE(F362:F381)</f>
        <v/>
      </c>
      <c r="J381">
        <f>STDEVP(F362:F381)</f>
        <v/>
      </c>
      <c r="K381">
        <f>AVERAGE(H362:H381)</f>
        <v/>
      </c>
      <c r="L381">
        <f>I381+2.0*J381</f>
        <v/>
      </c>
      <c r="M381">
        <f>I381-2.0*J381</f>
        <v/>
      </c>
      <c r="N381">
        <f>I381+1.5*K381</f>
        <v/>
      </c>
      <c r="O381">
        <f>I381-1.5*K381</f>
        <v/>
      </c>
      <c r="P381">
        <f>AND(L381&lt;N381,M381&gt;O381)</f>
        <v/>
      </c>
      <c r="Q381">
        <f>MAX(D362:D381)</f>
        <v/>
      </c>
      <c r="R381">
        <f>MIN(E362:E381)</f>
        <v/>
      </c>
      <c r="S381">
        <f>F381-((Q381+R381)/2+I381)/2</f>
        <v/>
      </c>
      <c r="T381">
        <f>FORECAST(A381,S362:S381,A362:A381)</f>
        <v/>
      </c>
    </row>
    <row r="382">
      <c r="A382" t="n">
        <v>380</v>
      </c>
      <c r="B382" s="2" t="n">
        <v>43290</v>
      </c>
      <c r="C382" t="n">
        <v>268.62</v>
      </c>
      <c r="D382" t="n">
        <v>269.99</v>
      </c>
      <c r="E382" t="n">
        <v>268.57</v>
      </c>
      <c r="F382" t="n">
        <v>269.93</v>
      </c>
      <c r="G382" t="n">
        <v>52042820</v>
      </c>
      <c r="H382">
        <f>MAX(D382-E382,ABS(D382-F381),ABS(E382-F381))</f>
        <v/>
      </c>
      <c r="I382">
        <f>AVERAGE(F363:F382)</f>
        <v/>
      </c>
      <c r="J382">
        <f>STDEVP(F363:F382)</f>
        <v/>
      </c>
      <c r="K382">
        <f>AVERAGE(H363:H382)</f>
        <v/>
      </c>
      <c r="L382">
        <f>I382+2.0*J382</f>
        <v/>
      </c>
      <c r="M382">
        <f>I382-2.0*J382</f>
        <v/>
      </c>
      <c r="N382">
        <f>I382+1.5*K382</f>
        <v/>
      </c>
      <c r="O382">
        <f>I382-1.5*K382</f>
        <v/>
      </c>
      <c r="P382">
        <f>AND(L382&lt;N382,M382&gt;O382)</f>
        <v/>
      </c>
      <c r="Q382">
        <f>MAX(D363:D382)</f>
        <v/>
      </c>
      <c r="R382">
        <f>MIN(E363:E382)</f>
        <v/>
      </c>
      <c r="S382">
        <f>F382-((Q382+R382)/2+I382)/2</f>
        <v/>
      </c>
      <c r="T382">
        <f>FORECAST(A382,S363:S382,A363:A382)</f>
        <v/>
      </c>
    </row>
    <row r="383">
      <c r="A383" t="n">
        <v>381</v>
      </c>
      <c r="B383" s="2" t="n">
        <v>43291</v>
      </c>
      <c r="C383" t="n">
        <v>270.43</v>
      </c>
      <c r="D383" t="n">
        <v>271.01</v>
      </c>
      <c r="E383" t="n">
        <v>270.11</v>
      </c>
      <c r="F383" t="n">
        <v>270.9</v>
      </c>
      <c r="G383" t="n">
        <v>53501064</v>
      </c>
      <c r="H383">
        <f>MAX(D383-E383,ABS(D383-F382),ABS(E383-F382))</f>
        <v/>
      </c>
      <c r="I383">
        <f>AVERAGE(F364:F383)</f>
        <v/>
      </c>
      <c r="J383">
        <f>STDEVP(F364:F383)</f>
        <v/>
      </c>
      <c r="K383">
        <f>AVERAGE(H364:H383)</f>
        <v/>
      </c>
      <c r="L383">
        <f>I383+2.0*J383</f>
        <v/>
      </c>
      <c r="M383">
        <f>I383-2.0*J383</f>
        <v/>
      </c>
      <c r="N383">
        <f>I383+1.5*K383</f>
        <v/>
      </c>
      <c r="O383">
        <f>I383-1.5*K383</f>
        <v/>
      </c>
      <c r="P383">
        <f>AND(L383&lt;N383,M383&gt;O383)</f>
        <v/>
      </c>
      <c r="Q383">
        <f>MAX(D364:D383)</f>
        <v/>
      </c>
      <c r="R383">
        <f>MIN(E364:E383)</f>
        <v/>
      </c>
      <c r="S383">
        <f>F383-((Q383+R383)/2+I383)/2</f>
        <v/>
      </c>
      <c r="T383">
        <f>FORECAST(A383,S364:S383,A364:A383)</f>
        <v/>
      </c>
    </row>
    <row r="384">
      <c r="A384" t="n">
        <v>382</v>
      </c>
      <c r="B384" s="2" t="n">
        <v>43292</v>
      </c>
      <c r="C384" t="n">
        <v>269.2</v>
      </c>
      <c r="D384" t="n">
        <v>270.07</v>
      </c>
      <c r="E384" t="n">
        <v>268.59</v>
      </c>
      <c r="F384" t="n">
        <v>268.92</v>
      </c>
      <c r="G384" t="n">
        <v>79329656</v>
      </c>
      <c r="H384">
        <f>MAX(D384-E384,ABS(D384-F383),ABS(E384-F383))</f>
        <v/>
      </c>
      <c r="I384">
        <f>AVERAGE(F365:F384)</f>
        <v/>
      </c>
      <c r="J384">
        <f>STDEVP(F365:F384)</f>
        <v/>
      </c>
      <c r="K384">
        <f>AVERAGE(H365:H384)</f>
        <v/>
      </c>
      <c r="L384">
        <f>I384+2.0*J384</f>
        <v/>
      </c>
      <c r="M384">
        <f>I384-2.0*J384</f>
        <v/>
      </c>
      <c r="N384">
        <f>I384+1.5*K384</f>
        <v/>
      </c>
      <c r="O384">
        <f>I384-1.5*K384</f>
        <v/>
      </c>
      <c r="P384">
        <f>AND(L384&lt;N384,M384&gt;O384)</f>
        <v/>
      </c>
      <c r="Q384">
        <f>MAX(D365:D384)</f>
        <v/>
      </c>
      <c r="R384">
        <f>MIN(E365:E384)</f>
        <v/>
      </c>
      <c r="S384">
        <f>F384-((Q384+R384)/2+I384)/2</f>
        <v/>
      </c>
      <c r="T384">
        <f>FORECAST(A384,S365:S384,A365:A384)</f>
        <v/>
      </c>
    </row>
    <row r="385">
      <c r="A385" t="n">
        <v>383</v>
      </c>
      <c r="B385" s="2" t="n">
        <v>43293</v>
      </c>
      <c r="C385" t="n">
        <v>270.3</v>
      </c>
      <c r="D385" t="n">
        <v>271.42</v>
      </c>
      <c r="E385" t="n">
        <v>269.64</v>
      </c>
      <c r="F385" t="n">
        <v>271.36</v>
      </c>
      <c r="G385" t="n">
        <v>61899772</v>
      </c>
      <c r="H385">
        <f>MAX(D385-E385,ABS(D385-F384),ABS(E385-F384))</f>
        <v/>
      </c>
      <c r="I385">
        <f>AVERAGE(F366:F385)</f>
        <v/>
      </c>
      <c r="J385">
        <f>STDEVP(F366:F385)</f>
        <v/>
      </c>
      <c r="K385">
        <f>AVERAGE(H366:H385)</f>
        <v/>
      </c>
      <c r="L385">
        <f>I385+2.0*J385</f>
        <v/>
      </c>
      <c r="M385">
        <f>I385-2.0*J385</f>
        <v/>
      </c>
      <c r="N385">
        <f>I385+1.5*K385</f>
        <v/>
      </c>
      <c r="O385">
        <f>I385-1.5*K385</f>
        <v/>
      </c>
      <c r="P385">
        <f>AND(L385&lt;N385,M385&gt;O385)</f>
        <v/>
      </c>
      <c r="Q385">
        <f>MAX(D366:D385)</f>
        <v/>
      </c>
      <c r="R385">
        <f>MIN(E366:E385)</f>
        <v/>
      </c>
      <c r="S385">
        <f>F385-((Q385+R385)/2+I385)/2</f>
        <v/>
      </c>
      <c r="T385">
        <f>FORECAST(A385,S366:S385,A366:A385)</f>
        <v/>
      </c>
    </row>
    <row r="386">
      <c r="A386" t="n">
        <v>384</v>
      </c>
      <c r="B386" s="2" t="n">
        <v>43294</v>
      </c>
      <c r="C386" t="n">
        <v>271.16</v>
      </c>
      <c r="D386" t="n">
        <v>271.9</v>
      </c>
      <c r="E386" t="n">
        <v>270.67</v>
      </c>
      <c r="F386" t="n">
        <v>271.57</v>
      </c>
      <c r="G386" t="n">
        <v>49659024</v>
      </c>
      <c r="H386">
        <f>MAX(D386-E386,ABS(D386-F385),ABS(E386-F385))</f>
        <v/>
      </c>
      <c r="I386">
        <f>AVERAGE(F367:F386)</f>
        <v/>
      </c>
      <c r="J386">
        <f>STDEVP(F367:F386)</f>
        <v/>
      </c>
      <c r="K386">
        <f>AVERAGE(H367:H386)</f>
        <v/>
      </c>
      <c r="L386">
        <f>I386+2.0*J386</f>
        <v/>
      </c>
      <c r="M386">
        <f>I386-2.0*J386</f>
        <v/>
      </c>
      <c r="N386">
        <f>I386+1.5*K386</f>
        <v/>
      </c>
      <c r="O386">
        <f>I386-1.5*K386</f>
        <v/>
      </c>
      <c r="P386">
        <f>AND(L386&lt;N386,M386&gt;O386)</f>
        <v/>
      </c>
      <c r="Q386">
        <f>MAX(D367:D386)</f>
        <v/>
      </c>
      <c r="R386">
        <f>MIN(E367:E386)</f>
        <v/>
      </c>
      <c r="S386">
        <f>F386-((Q386+R386)/2+I386)/2</f>
        <v/>
      </c>
      <c r="T386">
        <f>FORECAST(A386,S367:S386,A367:A386)</f>
        <v/>
      </c>
    </row>
    <row r="387">
      <c r="A387" t="n">
        <v>385</v>
      </c>
      <c r="B387" s="2" t="n">
        <v>43297</v>
      </c>
      <c r="C387" t="n">
        <v>271.62</v>
      </c>
      <c r="D387" t="n">
        <v>271.78</v>
      </c>
      <c r="E387" t="n">
        <v>270.84</v>
      </c>
      <c r="F387" t="n">
        <v>271.33</v>
      </c>
      <c r="G387" t="n">
        <v>49624096</v>
      </c>
      <c r="H387">
        <f>MAX(D387-E387,ABS(D387-F386),ABS(E387-F386))</f>
        <v/>
      </c>
      <c r="I387">
        <f>AVERAGE(F368:F387)</f>
        <v/>
      </c>
      <c r="J387">
        <f>STDEVP(F368:F387)</f>
        <v/>
      </c>
      <c r="K387">
        <f>AVERAGE(H368:H387)</f>
        <v/>
      </c>
      <c r="L387">
        <f>I387+2.0*J387</f>
        <v/>
      </c>
      <c r="M387">
        <f>I387-2.0*J387</f>
        <v/>
      </c>
      <c r="N387">
        <f>I387+1.5*K387</f>
        <v/>
      </c>
      <c r="O387">
        <f>I387-1.5*K387</f>
        <v/>
      </c>
      <c r="P387">
        <f>AND(L387&lt;N387,M387&gt;O387)</f>
        <v/>
      </c>
      <c r="Q387">
        <f>MAX(D368:D387)</f>
        <v/>
      </c>
      <c r="R387">
        <f>MIN(E368:E387)</f>
        <v/>
      </c>
      <c r="S387">
        <f>F387-((Q387+R387)/2+I387)/2</f>
        <v/>
      </c>
      <c r="T387">
        <f>FORECAST(A387,S368:S387,A368:A387)</f>
        <v/>
      </c>
    </row>
    <row r="388">
      <c r="A388" t="n">
        <v>386</v>
      </c>
      <c r="B388" s="2" t="n">
        <v>43298</v>
      </c>
      <c r="C388" t="n">
        <v>270.48</v>
      </c>
      <c r="D388" t="n">
        <v>272.85</v>
      </c>
      <c r="E388" t="n">
        <v>270.43</v>
      </c>
      <c r="F388" t="n">
        <v>272.43</v>
      </c>
      <c r="G388" t="n">
        <v>53860032</v>
      </c>
      <c r="H388">
        <f>MAX(D388-E388,ABS(D388-F387),ABS(E388-F387))</f>
        <v/>
      </c>
      <c r="I388">
        <f>AVERAGE(F369:F388)</f>
        <v/>
      </c>
      <c r="J388">
        <f>STDEVP(F369:F388)</f>
        <v/>
      </c>
      <c r="K388">
        <f>AVERAGE(H369:H388)</f>
        <v/>
      </c>
      <c r="L388">
        <f>I388+2.0*J388</f>
        <v/>
      </c>
      <c r="M388">
        <f>I388-2.0*J388</f>
        <v/>
      </c>
      <c r="N388">
        <f>I388+1.5*K388</f>
        <v/>
      </c>
      <c r="O388">
        <f>I388-1.5*K388</f>
        <v/>
      </c>
      <c r="P388">
        <f>AND(L388&lt;N388,M388&gt;O388)</f>
        <v/>
      </c>
      <c r="Q388">
        <f>MAX(D369:D388)</f>
        <v/>
      </c>
      <c r="R388">
        <f>MIN(E369:E388)</f>
        <v/>
      </c>
      <c r="S388">
        <f>F388-((Q388+R388)/2+I388)/2</f>
        <v/>
      </c>
      <c r="T388">
        <f>FORECAST(A388,S369:S388,A369:A388)</f>
        <v/>
      </c>
    </row>
    <row r="389">
      <c r="A389" t="n">
        <v>387</v>
      </c>
      <c r="B389" s="2" t="n">
        <v>43299</v>
      </c>
      <c r="C389" t="n">
        <v>272.51</v>
      </c>
      <c r="D389" t="n">
        <v>273.12</v>
      </c>
      <c r="E389" t="n">
        <v>272.03</v>
      </c>
      <c r="F389" t="n">
        <v>273</v>
      </c>
      <c r="G389" t="n">
        <v>45910016</v>
      </c>
      <c r="H389">
        <f>MAX(D389-E389,ABS(D389-F388),ABS(E389-F388))</f>
        <v/>
      </c>
      <c r="I389">
        <f>AVERAGE(F370:F389)</f>
        <v/>
      </c>
      <c r="J389">
        <f>STDEVP(F370:F389)</f>
        <v/>
      </c>
      <c r="K389">
        <f>AVERAGE(H370:H389)</f>
        <v/>
      </c>
      <c r="L389">
        <f>I389+2.0*J389</f>
        <v/>
      </c>
      <c r="M389">
        <f>I389-2.0*J389</f>
        <v/>
      </c>
      <c r="N389">
        <f>I389+1.5*K389</f>
        <v/>
      </c>
      <c r="O389">
        <f>I389-1.5*K389</f>
        <v/>
      </c>
      <c r="P389">
        <f>AND(L389&lt;N389,M389&gt;O389)</f>
        <v/>
      </c>
      <c r="Q389">
        <f>MAX(D370:D389)</f>
        <v/>
      </c>
      <c r="R389">
        <f>MIN(E370:E389)</f>
        <v/>
      </c>
      <c r="S389">
        <f>F389-((Q389+R389)/2+I389)/2</f>
        <v/>
      </c>
      <c r="T389">
        <f>FORECAST(A389,S370:S389,A370:A389)</f>
        <v/>
      </c>
    </row>
    <row r="390">
      <c r="A390" t="n">
        <v>388</v>
      </c>
      <c r="B390" s="2" t="n">
        <v>43300</v>
      </c>
      <c r="C390" t="n">
        <v>272.27</v>
      </c>
      <c r="D390" t="n">
        <v>272.69</v>
      </c>
      <c r="E390" t="n">
        <v>271.45</v>
      </c>
      <c r="F390" t="n">
        <v>271.97</v>
      </c>
      <c r="G390" t="n">
        <v>63225212</v>
      </c>
      <c r="H390">
        <f>MAX(D390-E390,ABS(D390-F389),ABS(E390-F389))</f>
        <v/>
      </c>
      <c r="I390">
        <f>AVERAGE(F371:F390)</f>
        <v/>
      </c>
      <c r="J390">
        <f>STDEVP(F371:F390)</f>
        <v/>
      </c>
      <c r="K390">
        <f>AVERAGE(H371:H390)</f>
        <v/>
      </c>
      <c r="L390">
        <f>I390+2.0*J390</f>
        <v/>
      </c>
      <c r="M390">
        <f>I390-2.0*J390</f>
        <v/>
      </c>
      <c r="N390">
        <f>I390+1.5*K390</f>
        <v/>
      </c>
      <c r="O390">
        <f>I390-1.5*K390</f>
        <v/>
      </c>
      <c r="P390">
        <f>AND(L390&lt;N390,M390&gt;O390)</f>
        <v/>
      </c>
      <c r="Q390">
        <f>MAX(D371:D390)</f>
        <v/>
      </c>
      <c r="R390">
        <f>MIN(E371:E390)</f>
        <v/>
      </c>
      <c r="S390">
        <f>F390-((Q390+R390)/2+I390)/2</f>
        <v/>
      </c>
      <c r="T390">
        <f>FORECAST(A390,S371:S390,A371:A390)</f>
        <v/>
      </c>
    </row>
    <row r="391">
      <c r="A391" t="n">
        <v>389</v>
      </c>
      <c r="B391" s="2" t="n">
        <v>43301</v>
      </c>
      <c r="C391" t="n">
        <v>271.75</v>
      </c>
      <c r="D391" t="n">
        <v>272.44</v>
      </c>
      <c r="E391" t="n">
        <v>271.48</v>
      </c>
      <c r="F391" t="n">
        <v>271.66</v>
      </c>
      <c r="G391" t="n">
        <v>84804656</v>
      </c>
      <c r="H391">
        <f>MAX(D391-E391,ABS(D391-F390),ABS(E391-F390))</f>
        <v/>
      </c>
      <c r="I391">
        <f>AVERAGE(F372:F391)</f>
        <v/>
      </c>
      <c r="J391">
        <f>STDEVP(F372:F391)</f>
        <v/>
      </c>
      <c r="K391">
        <f>AVERAGE(H372:H391)</f>
        <v/>
      </c>
      <c r="L391">
        <f>I391+2.0*J391</f>
        <v/>
      </c>
      <c r="M391">
        <f>I391-2.0*J391</f>
        <v/>
      </c>
      <c r="N391">
        <f>I391+1.5*K391</f>
        <v/>
      </c>
      <c r="O391">
        <f>I391-1.5*K391</f>
        <v/>
      </c>
      <c r="P391">
        <f>AND(L391&lt;N391,M391&gt;O391)</f>
        <v/>
      </c>
      <c r="Q391">
        <f>MAX(D372:D391)</f>
        <v/>
      </c>
      <c r="R391">
        <f>MIN(E372:E391)</f>
        <v/>
      </c>
      <c r="S391">
        <f>F391-((Q391+R391)/2+I391)/2</f>
        <v/>
      </c>
      <c r="T391">
        <f>FORECAST(A391,S372:S391,A372:A391)</f>
        <v/>
      </c>
    </row>
    <row r="392">
      <c r="A392" t="n">
        <v>390</v>
      </c>
      <c r="B392" s="2" t="n">
        <v>43304</v>
      </c>
      <c r="C392" t="n">
        <v>271.44</v>
      </c>
      <c r="D392" t="n">
        <v>272.39</v>
      </c>
      <c r="E392" t="n">
        <v>271.06</v>
      </c>
      <c r="F392" t="n">
        <v>272.16</v>
      </c>
      <c r="G392" t="n">
        <v>48436568</v>
      </c>
      <c r="H392">
        <f>MAX(D392-E392,ABS(D392-F391),ABS(E392-F391))</f>
        <v/>
      </c>
      <c r="I392">
        <f>AVERAGE(F373:F392)</f>
        <v/>
      </c>
      <c r="J392">
        <f>STDEVP(F373:F392)</f>
        <v/>
      </c>
      <c r="K392">
        <f>AVERAGE(H373:H392)</f>
        <v/>
      </c>
      <c r="L392">
        <f>I392+2.0*J392</f>
        <v/>
      </c>
      <c r="M392">
        <f>I392-2.0*J392</f>
        <v/>
      </c>
      <c r="N392">
        <f>I392+1.5*K392</f>
        <v/>
      </c>
      <c r="O392">
        <f>I392-1.5*K392</f>
        <v/>
      </c>
      <c r="P392">
        <f>AND(L392&lt;N392,M392&gt;O392)</f>
        <v/>
      </c>
      <c r="Q392">
        <f>MAX(D373:D392)</f>
        <v/>
      </c>
      <c r="R392">
        <f>MIN(E373:E392)</f>
        <v/>
      </c>
      <c r="S392">
        <f>F392-((Q392+R392)/2+I392)/2</f>
        <v/>
      </c>
      <c r="T392">
        <f>FORECAST(A392,S373:S392,A373:A392)</f>
        <v/>
      </c>
    </row>
    <row r="393">
      <c r="A393" t="n">
        <v>391</v>
      </c>
      <c r="B393" s="2" t="n">
        <v>43305</v>
      </c>
      <c r="C393" t="n">
        <v>273.71</v>
      </c>
      <c r="D393" t="n">
        <v>274.46</v>
      </c>
      <c r="E393" t="n">
        <v>272.58</v>
      </c>
      <c r="F393" t="n">
        <v>273.53</v>
      </c>
      <c r="G393" t="n">
        <v>70035320</v>
      </c>
      <c r="H393">
        <f>MAX(D393-E393,ABS(D393-F392),ABS(E393-F392))</f>
        <v/>
      </c>
      <c r="I393">
        <f>AVERAGE(F374:F393)</f>
        <v/>
      </c>
      <c r="J393">
        <f>STDEVP(F374:F393)</f>
        <v/>
      </c>
      <c r="K393">
        <f>AVERAGE(H374:H393)</f>
        <v/>
      </c>
      <c r="L393">
        <f>I393+2.0*J393</f>
        <v/>
      </c>
      <c r="M393">
        <f>I393-2.0*J393</f>
        <v/>
      </c>
      <c r="N393">
        <f>I393+1.5*K393</f>
        <v/>
      </c>
      <c r="O393">
        <f>I393-1.5*K393</f>
        <v/>
      </c>
      <c r="P393">
        <f>AND(L393&lt;N393,M393&gt;O393)</f>
        <v/>
      </c>
      <c r="Q393">
        <f>MAX(D374:D393)</f>
        <v/>
      </c>
      <c r="R393">
        <f>MIN(E374:E393)</f>
        <v/>
      </c>
      <c r="S393">
        <f>F393-((Q393+R393)/2+I393)/2</f>
        <v/>
      </c>
      <c r="T393">
        <f>FORECAST(A393,S374:S393,A374:A393)</f>
        <v/>
      </c>
    </row>
    <row r="394">
      <c r="A394" t="n">
        <v>392</v>
      </c>
      <c r="B394" s="2" t="n">
        <v>43306</v>
      </c>
      <c r="C394" t="n">
        <v>273.26</v>
      </c>
      <c r="D394" t="n">
        <v>276.22</v>
      </c>
      <c r="E394" t="n">
        <v>273.21</v>
      </c>
      <c r="F394" t="n">
        <v>275.87</v>
      </c>
      <c r="G394" t="n">
        <v>81211824</v>
      </c>
      <c r="H394">
        <f>MAX(D394-E394,ABS(D394-F393),ABS(E394-F393))</f>
        <v/>
      </c>
      <c r="I394">
        <f>AVERAGE(F375:F394)</f>
        <v/>
      </c>
      <c r="J394">
        <f>STDEVP(F375:F394)</f>
        <v/>
      </c>
      <c r="K394">
        <f>AVERAGE(H375:H394)</f>
        <v/>
      </c>
      <c r="L394">
        <f>I394+2.0*J394</f>
        <v/>
      </c>
      <c r="M394">
        <f>I394-2.0*J394</f>
        <v/>
      </c>
      <c r="N394">
        <f>I394+1.5*K394</f>
        <v/>
      </c>
      <c r="O394">
        <f>I394-1.5*K394</f>
        <v/>
      </c>
      <c r="P394">
        <f>AND(L394&lt;N394,M394&gt;O394)</f>
        <v/>
      </c>
      <c r="Q394">
        <f>MAX(D375:D394)</f>
        <v/>
      </c>
      <c r="R394">
        <f>MIN(E375:E394)</f>
        <v/>
      </c>
      <c r="S394">
        <f>F394-((Q394+R394)/2+I394)/2</f>
        <v/>
      </c>
      <c r="T394">
        <f>FORECAST(A394,S375:S394,A375:A394)</f>
        <v/>
      </c>
    </row>
    <row r="395">
      <c r="A395" t="n">
        <v>393</v>
      </c>
      <c r="B395" s="2" t="n">
        <v>43307</v>
      </c>
      <c r="C395" t="n">
        <v>275.08</v>
      </c>
      <c r="D395" t="n">
        <v>275.96</v>
      </c>
      <c r="E395" t="n">
        <v>274.97</v>
      </c>
      <c r="F395" t="n">
        <v>275.21</v>
      </c>
      <c r="G395" t="n">
        <v>59629476</v>
      </c>
      <c r="H395">
        <f>MAX(D395-E395,ABS(D395-F394),ABS(E395-F394))</f>
        <v/>
      </c>
      <c r="I395">
        <f>AVERAGE(F376:F395)</f>
        <v/>
      </c>
      <c r="J395">
        <f>STDEVP(F376:F395)</f>
        <v/>
      </c>
      <c r="K395">
        <f>AVERAGE(H376:H395)</f>
        <v/>
      </c>
      <c r="L395">
        <f>I395+2.0*J395</f>
        <v/>
      </c>
      <c r="M395">
        <f>I395-2.0*J395</f>
        <v/>
      </c>
      <c r="N395">
        <f>I395+1.5*K395</f>
        <v/>
      </c>
      <c r="O395">
        <f>I395-1.5*K395</f>
        <v/>
      </c>
      <c r="P395">
        <f>AND(L395&lt;N395,M395&gt;O395)</f>
        <v/>
      </c>
      <c r="Q395">
        <f>MAX(D376:D395)</f>
        <v/>
      </c>
      <c r="R395">
        <f>MIN(E376:E395)</f>
        <v/>
      </c>
      <c r="S395">
        <f>F395-((Q395+R395)/2+I395)/2</f>
        <v/>
      </c>
      <c r="T395">
        <f>FORECAST(A395,S376:S395,A376:A395)</f>
        <v/>
      </c>
    </row>
    <row r="396">
      <c r="A396" t="n">
        <v>394</v>
      </c>
      <c r="B396" s="2" t="n">
        <v>43308</v>
      </c>
      <c r="C396" t="n">
        <v>275.57</v>
      </c>
      <c r="D396" t="n">
        <v>275.68</v>
      </c>
      <c r="E396" t="n">
        <v>272.34</v>
      </c>
      <c r="F396" t="n">
        <v>273.35</v>
      </c>
      <c r="G396" t="n">
        <v>79050080</v>
      </c>
      <c r="H396">
        <f>MAX(D396-E396,ABS(D396-F395),ABS(E396-F395))</f>
        <v/>
      </c>
      <c r="I396">
        <f>AVERAGE(F377:F396)</f>
        <v/>
      </c>
      <c r="J396">
        <f>STDEVP(F377:F396)</f>
        <v/>
      </c>
      <c r="K396">
        <f>AVERAGE(H377:H396)</f>
        <v/>
      </c>
      <c r="L396">
        <f>I396+2.0*J396</f>
        <v/>
      </c>
      <c r="M396">
        <f>I396-2.0*J396</f>
        <v/>
      </c>
      <c r="N396">
        <f>I396+1.5*K396</f>
        <v/>
      </c>
      <c r="O396">
        <f>I396-1.5*K396</f>
        <v/>
      </c>
      <c r="P396">
        <f>AND(L396&lt;N396,M396&gt;O396)</f>
        <v/>
      </c>
      <c r="Q396">
        <f>MAX(D377:D396)</f>
        <v/>
      </c>
      <c r="R396">
        <f>MIN(E377:E396)</f>
        <v/>
      </c>
      <c r="S396">
        <f>F396-((Q396+R396)/2+I396)/2</f>
        <v/>
      </c>
      <c r="T396">
        <f>FORECAST(A396,S377:S396,A377:A396)</f>
        <v/>
      </c>
    </row>
    <row r="397">
      <c r="A397" t="n">
        <v>395</v>
      </c>
      <c r="B397" s="2" t="n">
        <v>43311</v>
      </c>
      <c r="C397" t="n">
        <v>273.44</v>
      </c>
      <c r="D397" t="n">
        <v>273.61</v>
      </c>
      <c r="E397" t="n">
        <v>271.35</v>
      </c>
      <c r="F397" t="n">
        <v>271.92</v>
      </c>
      <c r="G397" t="n">
        <v>65624404</v>
      </c>
      <c r="H397">
        <f>MAX(D397-E397,ABS(D397-F396),ABS(E397-F396))</f>
        <v/>
      </c>
      <c r="I397">
        <f>AVERAGE(F378:F397)</f>
        <v/>
      </c>
      <c r="J397">
        <f>STDEVP(F378:F397)</f>
        <v/>
      </c>
      <c r="K397">
        <f>AVERAGE(H378:H397)</f>
        <v/>
      </c>
      <c r="L397">
        <f>I397+2.0*J397</f>
        <v/>
      </c>
      <c r="M397">
        <f>I397-2.0*J397</f>
        <v/>
      </c>
      <c r="N397">
        <f>I397+1.5*K397</f>
        <v/>
      </c>
      <c r="O397">
        <f>I397-1.5*K397</f>
        <v/>
      </c>
      <c r="P397">
        <f>AND(L397&lt;N397,M397&gt;O397)</f>
        <v/>
      </c>
      <c r="Q397">
        <f>MAX(D378:D397)</f>
        <v/>
      </c>
      <c r="R397">
        <f>MIN(E378:E397)</f>
        <v/>
      </c>
      <c r="S397">
        <f>F397-((Q397+R397)/2+I397)/2</f>
        <v/>
      </c>
      <c r="T397">
        <f>FORECAST(A397,S378:S397,A378:A397)</f>
        <v/>
      </c>
    </row>
    <row r="398">
      <c r="A398" t="n">
        <v>396</v>
      </c>
      <c r="B398" s="2" t="n">
        <v>43312</v>
      </c>
      <c r="C398" t="n">
        <v>272.76</v>
      </c>
      <c r="D398" t="n">
        <v>273.93</v>
      </c>
      <c r="E398" t="n">
        <v>272.34</v>
      </c>
      <c r="F398" t="n">
        <v>273.26</v>
      </c>
      <c r="G398" t="n">
        <v>70594928</v>
      </c>
      <c r="H398">
        <f>MAX(D398-E398,ABS(D398-F397),ABS(E398-F397))</f>
        <v/>
      </c>
      <c r="I398">
        <f>AVERAGE(F379:F398)</f>
        <v/>
      </c>
      <c r="J398">
        <f>STDEVP(F379:F398)</f>
        <v/>
      </c>
      <c r="K398">
        <f>AVERAGE(H379:H398)</f>
        <v/>
      </c>
      <c r="L398">
        <f>I398+2.0*J398</f>
        <v/>
      </c>
      <c r="M398">
        <f>I398-2.0*J398</f>
        <v/>
      </c>
      <c r="N398">
        <f>I398+1.5*K398</f>
        <v/>
      </c>
      <c r="O398">
        <f>I398-1.5*K398</f>
        <v/>
      </c>
      <c r="P398">
        <f>AND(L398&lt;N398,M398&gt;O398)</f>
        <v/>
      </c>
      <c r="Q398">
        <f>MAX(D379:D398)</f>
        <v/>
      </c>
      <c r="R398">
        <f>MIN(E379:E398)</f>
        <v/>
      </c>
      <c r="S398">
        <f>F398-((Q398+R398)/2+I398)/2</f>
        <v/>
      </c>
      <c r="T398">
        <f>FORECAST(A398,S379:S398,A379:A398)</f>
        <v/>
      </c>
    </row>
    <row r="399">
      <c r="A399" t="n">
        <v>397</v>
      </c>
      <c r="B399" s="2" t="n">
        <v>43313</v>
      </c>
      <c r="C399" t="n">
        <v>273.49</v>
      </c>
      <c r="D399" t="n">
        <v>274.04</v>
      </c>
      <c r="E399" t="n">
        <v>272.1</v>
      </c>
      <c r="F399" t="n">
        <v>272.81</v>
      </c>
      <c r="G399" t="n">
        <v>55443260</v>
      </c>
      <c r="H399">
        <f>MAX(D399-E399,ABS(D399-F398),ABS(E399-F398))</f>
        <v/>
      </c>
      <c r="I399">
        <f>AVERAGE(F380:F399)</f>
        <v/>
      </c>
      <c r="J399">
        <f>STDEVP(F380:F399)</f>
        <v/>
      </c>
      <c r="K399">
        <f>AVERAGE(H380:H399)</f>
        <v/>
      </c>
      <c r="L399">
        <f>I399+2.0*J399</f>
        <v/>
      </c>
      <c r="M399">
        <f>I399-2.0*J399</f>
        <v/>
      </c>
      <c r="N399">
        <f>I399+1.5*K399</f>
        <v/>
      </c>
      <c r="O399">
        <f>I399-1.5*K399</f>
        <v/>
      </c>
      <c r="P399">
        <f>AND(L399&lt;N399,M399&gt;O399)</f>
        <v/>
      </c>
      <c r="Q399">
        <f>MAX(D380:D399)</f>
        <v/>
      </c>
      <c r="R399">
        <f>MIN(E380:E399)</f>
        <v/>
      </c>
      <c r="S399">
        <f>F399-((Q399+R399)/2+I399)/2</f>
        <v/>
      </c>
      <c r="T399">
        <f>FORECAST(A399,S380:S399,A380:A399)</f>
        <v/>
      </c>
    </row>
    <row r="400">
      <c r="A400" t="n">
        <v>398</v>
      </c>
      <c r="B400" s="2" t="n">
        <v>43314</v>
      </c>
      <c r="C400" t="n">
        <v>271.38</v>
      </c>
      <c r="D400" t="n">
        <v>274.48</v>
      </c>
      <c r="E400" t="n">
        <v>271.15</v>
      </c>
      <c r="F400" t="n">
        <v>274.29</v>
      </c>
      <c r="G400" t="n">
        <v>65298924</v>
      </c>
      <c r="H400">
        <f>MAX(D400-E400,ABS(D400-F399),ABS(E400-F399))</f>
        <v/>
      </c>
      <c r="I400">
        <f>AVERAGE(F381:F400)</f>
        <v/>
      </c>
      <c r="J400">
        <f>STDEVP(F381:F400)</f>
        <v/>
      </c>
      <c r="K400">
        <f>AVERAGE(H381:H400)</f>
        <v/>
      </c>
      <c r="L400">
        <f>I400+2.0*J400</f>
        <v/>
      </c>
      <c r="M400">
        <f>I400-2.0*J400</f>
        <v/>
      </c>
      <c r="N400">
        <f>I400+1.5*K400</f>
        <v/>
      </c>
      <c r="O400">
        <f>I400-1.5*K400</f>
        <v/>
      </c>
      <c r="P400">
        <f>AND(L400&lt;N400,M400&gt;O400)</f>
        <v/>
      </c>
      <c r="Q400">
        <f>MAX(D381:D400)</f>
        <v/>
      </c>
      <c r="R400">
        <f>MIN(E381:E400)</f>
        <v/>
      </c>
      <c r="S400">
        <f>F400-((Q400+R400)/2+I400)/2</f>
        <v/>
      </c>
      <c r="T400">
        <f>FORECAST(A400,S381:S400,A381:A400)</f>
        <v/>
      </c>
    </row>
    <row r="401">
      <c r="A401" t="n">
        <v>399</v>
      </c>
      <c r="B401" s="2" t="n">
        <v>43315</v>
      </c>
      <c r="C401" t="n">
        <v>274.43</v>
      </c>
      <c r="D401" t="n">
        <v>275.52</v>
      </c>
      <c r="E401" t="n">
        <v>274.23</v>
      </c>
      <c r="F401" t="n">
        <v>275.47</v>
      </c>
      <c r="G401" t="n">
        <v>55527740</v>
      </c>
      <c r="H401">
        <f>MAX(D401-E401,ABS(D401-F400),ABS(E401-F400))</f>
        <v/>
      </c>
      <c r="I401">
        <f>AVERAGE(F382:F401)</f>
        <v/>
      </c>
      <c r="J401">
        <f>STDEVP(F382:F401)</f>
        <v/>
      </c>
      <c r="K401">
        <f>AVERAGE(H382:H401)</f>
        <v/>
      </c>
      <c r="L401">
        <f>I401+2.0*J401</f>
        <v/>
      </c>
      <c r="M401">
        <f>I401-2.0*J401</f>
        <v/>
      </c>
      <c r="N401">
        <f>I401+1.5*K401</f>
        <v/>
      </c>
      <c r="O401">
        <f>I401-1.5*K401</f>
        <v/>
      </c>
      <c r="P401">
        <f>AND(L401&lt;N401,M401&gt;O401)</f>
        <v/>
      </c>
      <c r="Q401">
        <f>MAX(D382:D401)</f>
        <v/>
      </c>
      <c r="R401">
        <f>MIN(E382:E401)</f>
        <v/>
      </c>
      <c r="S401">
        <f>F401-((Q401+R401)/2+I401)/2</f>
        <v/>
      </c>
      <c r="T401">
        <f>FORECAST(A401,S382:S401,A382:A401)</f>
        <v/>
      </c>
    </row>
    <row r="402">
      <c r="A402" t="n">
        <v>400</v>
      </c>
      <c r="B402" s="2" t="n">
        <v>43318</v>
      </c>
      <c r="C402" t="n">
        <v>275.51</v>
      </c>
      <c r="D402" t="n">
        <v>276.82</v>
      </c>
      <c r="E402" t="n">
        <v>275.08</v>
      </c>
      <c r="F402" t="n">
        <v>276.48</v>
      </c>
      <c r="G402" t="n">
        <v>40564136</v>
      </c>
      <c r="H402">
        <f>MAX(D402-E402,ABS(D402-F401),ABS(E402-F401))</f>
        <v/>
      </c>
      <c r="I402">
        <f>AVERAGE(F383:F402)</f>
        <v/>
      </c>
      <c r="J402">
        <f>STDEVP(F383:F402)</f>
        <v/>
      </c>
      <c r="K402">
        <f>AVERAGE(H383:H402)</f>
        <v/>
      </c>
      <c r="L402">
        <f>I402+2.0*J402</f>
        <v/>
      </c>
      <c r="M402">
        <f>I402-2.0*J402</f>
        <v/>
      </c>
      <c r="N402">
        <f>I402+1.5*K402</f>
        <v/>
      </c>
      <c r="O402">
        <f>I402-1.5*K402</f>
        <v/>
      </c>
      <c r="P402">
        <f>AND(L402&lt;N402,M402&gt;O402)</f>
        <v/>
      </c>
      <c r="Q402">
        <f>MAX(D383:D402)</f>
        <v/>
      </c>
      <c r="R402">
        <f>MIN(E383:E402)</f>
        <v/>
      </c>
      <c r="S402">
        <f>F402-((Q402+R402)/2+I402)/2</f>
        <v/>
      </c>
      <c r="T402">
        <f>FORECAST(A402,S383:S402,A383:A402)</f>
        <v/>
      </c>
    </row>
    <row r="403">
      <c r="A403" t="n">
        <v>401</v>
      </c>
      <c r="B403" s="2" t="n">
        <v>43319</v>
      </c>
      <c r="C403" t="n">
        <v>277.21</v>
      </c>
      <c r="D403" t="n">
        <v>277.81</v>
      </c>
      <c r="E403" t="n">
        <v>277.06</v>
      </c>
      <c r="F403" t="n">
        <v>277.39</v>
      </c>
      <c r="G403" t="n">
        <v>44471960</v>
      </c>
      <c r="H403">
        <f>MAX(D403-E403,ABS(D403-F402),ABS(E403-F402))</f>
        <v/>
      </c>
      <c r="I403">
        <f>AVERAGE(F384:F403)</f>
        <v/>
      </c>
      <c r="J403">
        <f>STDEVP(F384:F403)</f>
        <v/>
      </c>
      <c r="K403">
        <f>AVERAGE(H384:H403)</f>
        <v/>
      </c>
      <c r="L403">
        <f>I403+2.0*J403</f>
        <v/>
      </c>
      <c r="M403">
        <f>I403-2.0*J403</f>
        <v/>
      </c>
      <c r="N403">
        <f>I403+1.5*K403</f>
        <v/>
      </c>
      <c r="O403">
        <f>I403-1.5*K403</f>
        <v/>
      </c>
      <c r="P403">
        <f>AND(L403&lt;N403,M403&gt;O403)</f>
        <v/>
      </c>
      <c r="Q403">
        <f>MAX(D384:D403)</f>
        <v/>
      </c>
      <c r="R403">
        <f>MIN(E384:E403)</f>
        <v/>
      </c>
      <c r="S403">
        <f>F403-((Q403+R403)/2+I403)/2</f>
        <v/>
      </c>
      <c r="T403">
        <f>FORECAST(A403,S384:S403,A384:A403)</f>
        <v/>
      </c>
    </row>
    <row r="404">
      <c r="A404" t="n">
        <v>402</v>
      </c>
      <c r="B404" s="2" t="n">
        <v>43320</v>
      </c>
      <c r="C404" t="n">
        <v>277.21</v>
      </c>
      <c r="D404" t="n">
        <v>277.71</v>
      </c>
      <c r="E404" t="n">
        <v>276.77</v>
      </c>
      <c r="F404" t="n">
        <v>277.27</v>
      </c>
      <c r="G404" t="n">
        <v>43357916</v>
      </c>
      <c r="H404">
        <f>MAX(D404-E404,ABS(D404-F403),ABS(E404-F403))</f>
        <v/>
      </c>
      <c r="I404">
        <f>AVERAGE(F385:F404)</f>
        <v/>
      </c>
      <c r="J404">
        <f>STDEVP(F385:F404)</f>
        <v/>
      </c>
      <c r="K404">
        <f>AVERAGE(H385:H404)</f>
        <v/>
      </c>
      <c r="L404">
        <f>I404+2.0*J404</f>
        <v/>
      </c>
      <c r="M404">
        <f>I404-2.0*J404</f>
        <v/>
      </c>
      <c r="N404">
        <f>I404+1.5*K404</f>
        <v/>
      </c>
      <c r="O404">
        <f>I404-1.5*K404</f>
        <v/>
      </c>
      <c r="P404">
        <f>AND(L404&lt;N404,M404&gt;O404)</f>
        <v/>
      </c>
      <c r="Q404">
        <f>MAX(D385:D404)</f>
        <v/>
      </c>
      <c r="R404">
        <f>MIN(E385:E404)</f>
        <v/>
      </c>
      <c r="S404">
        <f>F404-((Q404+R404)/2+I404)/2</f>
        <v/>
      </c>
      <c r="T404">
        <f>FORECAST(A404,S385:S404,A385:A404)</f>
        <v/>
      </c>
    </row>
    <row r="405">
      <c r="A405" t="n">
        <v>403</v>
      </c>
      <c r="B405" s="2" t="n">
        <v>43321</v>
      </c>
      <c r="C405" t="n">
        <v>277.34</v>
      </c>
      <c r="D405" t="n">
        <v>277.77</v>
      </c>
      <c r="E405" t="n">
        <v>276.74</v>
      </c>
      <c r="F405" t="n">
        <v>276.9</v>
      </c>
      <c r="G405" t="n">
        <v>36771464</v>
      </c>
      <c r="H405">
        <f>MAX(D405-E405,ABS(D405-F404),ABS(E405-F404))</f>
        <v/>
      </c>
      <c r="I405">
        <f>AVERAGE(F386:F405)</f>
        <v/>
      </c>
      <c r="J405">
        <f>STDEVP(F386:F405)</f>
        <v/>
      </c>
      <c r="K405">
        <f>AVERAGE(H386:H405)</f>
        <v/>
      </c>
      <c r="L405">
        <f>I405+2.0*J405</f>
        <v/>
      </c>
      <c r="M405">
        <f>I405-2.0*J405</f>
        <v/>
      </c>
      <c r="N405">
        <f>I405+1.5*K405</f>
        <v/>
      </c>
      <c r="O405">
        <f>I405-1.5*K405</f>
        <v/>
      </c>
      <c r="P405">
        <f>AND(L405&lt;N405,M405&gt;O405)</f>
        <v/>
      </c>
      <c r="Q405">
        <f>MAX(D386:D405)</f>
        <v/>
      </c>
      <c r="R405">
        <f>MIN(E386:E405)</f>
        <v/>
      </c>
      <c r="S405">
        <f>F405-((Q405+R405)/2+I405)/2</f>
        <v/>
      </c>
      <c r="T405">
        <f>FORECAST(A405,S386:S405,A386:A405)</f>
        <v/>
      </c>
    </row>
    <row r="406">
      <c r="A406" t="n">
        <v>404</v>
      </c>
      <c r="B406" s="2" t="n">
        <v>43322</v>
      </c>
      <c r="C406" t="n">
        <v>275.32</v>
      </c>
      <c r="D406" t="n">
        <v>275.91</v>
      </c>
      <c r="E406" t="n">
        <v>274.26</v>
      </c>
      <c r="F406" t="n">
        <v>275.04</v>
      </c>
      <c r="G406" t="n">
        <v>79351592</v>
      </c>
      <c r="H406">
        <f>MAX(D406-E406,ABS(D406-F405),ABS(E406-F405))</f>
        <v/>
      </c>
      <c r="I406">
        <f>AVERAGE(F387:F406)</f>
        <v/>
      </c>
      <c r="J406">
        <f>STDEVP(F387:F406)</f>
        <v/>
      </c>
      <c r="K406">
        <f>AVERAGE(H387:H406)</f>
        <v/>
      </c>
      <c r="L406">
        <f>I406+2.0*J406</f>
        <v/>
      </c>
      <c r="M406">
        <f>I406-2.0*J406</f>
        <v/>
      </c>
      <c r="N406">
        <f>I406+1.5*K406</f>
        <v/>
      </c>
      <c r="O406">
        <f>I406-1.5*K406</f>
        <v/>
      </c>
      <c r="P406">
        <f>AND(L406&lt;N406,M406&gt;O406)</f>
        <v/>
      </c>
      <c r="Q406">
        <f>MAX(D387:D406)</f>
        <v/>
      </c>
      <c r="R406">
        <f>MIN(E387:E406)</f>
        <v/>
      </c>
      <c r="S406">
        <f>F406-((Q406+R406)/2+I406)/2</f>
        <v/>
      </c>
      <c r="T406">
        <f>FORECAST(A406,S387:S406,A387:A406)</f>
        <v/>
      </c>
    </row>
    <row r="407">
      <c r="A407" t="n">
        <v>405</v>
      </c>
      <c r="B407" s="2" t="n">
        <v>43325</v>
      </c>
      <c r="C407" t="n">
        <v>275.34</v>
      </c>
      <c r="D407" t="n">
        <v>276.01</v>
      </c>
      <c r="E407" t="n">
        <v>273.69</v>
      </c>
      <c r="F407" t="n">
        <v>274.01</v>
      </c>
      <c r="G407" t="n">
        <v>67673568</v>
      </c>
      <c r="H407">
        <f>MAX(D407-E407,ABS(D407-F406),ABS(E407-F406))</f>
        <v/>
      </c>
      <c r="I407">
        <f>AVERAGE(F388:F407)</f>
        <v/>
      </c>
      <c r="J407">
        <f>STDEVP(F388:F407)</f>
        <v/>
      </c>
      <c r="K407">
        <f>AVERAGE(H388:H407)</f>
        <v/>
      </c>
      <c r="L407">
        <f>I407+2.0*J407</f>
        <v/>
      </c>
      <c r="M407">
        <f>I407-2.0*J407</f>
        <v/>
      </c>
      <c r="N407">
        <f>I407+1.5*K407</f>
        <v/>
      </c>
      <c r="O407">
        <f>I407-1.5*K407</f>
        <v/>
      </c>
      <c r="P407">
        <f>AND(L407&lt;N407,M407&gt;O407)</f>
        <v/>
      </c>
      <c r="Q407">
        <f>MAX(D388:D407)</f>
        <v/>
      </c>
      <c r="R407">
        <f>MIN(E388:E407)</f>
        <v/>
      </c>
      <c r="S407">
        <f>F407-((Q407+R407)/2+I407)/2</f>
        <v/>
      </c>
      <c r="T407">
        <f>FORECAST(A407,S388:S407,A388:A407)</f>
        <v/>
      </c>
    </row>
    <row r="408">
      <c r="A408" t="n">
        <v>406</v>
      </c>
      <c r="B408" s="2" t="n">
        <v>43326</v>
      </c>
      <c r="C408" t="n">
        <v>274.81</v>
      </c>
      <c r="D408" t="n">
        <v>276.02</v>
      </c>
      <c r="E408" t="n">
        <v>274.38</v>
      </c>
      <c r="F408" t="n">
        <v>275.76</v>
      </c>
      <c r="G408" t="n">
        <v>45136396</v>
      </c>
      <c r="H408">
        <f>MAX(D408-E408,ABS(D408-F407),ABS(E408-F407))</f>
        <v/>
      </c>
      <c r="I408">
        <f>AVERAGE(F389:F408)</f>
        <v/>
      </c>
      <c r="J408">
        <f>STDEVP(F389:F408)</f>
        <v/>
      </c>
      <c r="K408">
        <f>AVERAGE(H389:H408)</f>
        <v/>
      </c>
      <c r="L408">
        <f>I408+2.0*J408</f>
        <v/>
      </c>
      <c r="M408">
        <f>I408-2.0*J408</f>
        <v/>
      </c>
      <c r="N408">
        <f>I408+1.5*K408</f>
        <v/>
      </c>
      <c r="O408">
        <f>I408-1.5*K408</f>
        <v/>
      </c>
      <c r="P408">
        <f>AND(L408&lt;N408,M408&gt;O408)</f>
        <v/>
      </c>
      <c r="Q408">
        <f>MAX(D389:D408)</f>
        <v/>
      </c>
      <c r="R408">
        <f>MIN(E389:E408)</f>
        <v/>
      </c>
      <c r="S408">
        <f>F408-((Q408+R408)/2+I408)/2</f>
        <v/>
      </c>
      <c r="T408">
        <f>FORECAST(A408,S389:S408,A389:A408)</f>
        <v/>
      </c>
    </row>
    <row r="409">
      <c r="A409" t="n">
        <v>407</v>
      </c>
      <c r="B409" s="2" t="n">
        <v>43327</v>
      </c>
      <c r="C409" t="n">
        <v>274.28</v>
      </c>
      <c r="D409" t="n">
        <v>274.44</v>
      </c>
      <c r="E409" t="n">
        <v>272.13</v>
      </c>
      <c r="F409" t="n">
        <v>273.7</v>
      </c>
      <c r="G409" t="n">
        <v>105964064</v>
      </c>
      <c r="H409">
        <f>MAX(D409-E409,ABS(D409-F408),ABS(E409-F408))</f>
        <v/>
      </c>
      <c r="I409">
        <f>AVERAGE(F390:F409)</f>
        <v/>
      </c>
      <c r="J409">
        <f>STDEVP(F390:F409)</f>
        <v/>
      </c>
      <c r="K409">
        <f>AVERAGE(H390:H409)</f>
        <v/>
      </c>
      <c r="L409">
        <f>I409+2.0*J409</f>
        <v/>
      </c>
      <c r="M409">
        <f>I409-2.0*J409</f>
        <v/>
      </c>
      <c r="N409">
        <f>I409+1.5*K409</f>
        <v/>
      </c>
      <c r="O409">
        <f>I409-1.5*K409</f>
        <v/>
      </c>
      <c r="P409">
        <f>AND(L409&lt;N409,M409&gt;O409)</f>
        <v/>
      </c>
      <c r="Q409">
        <f>MAX(D390:D409)</f>
        <v/>
      </c>
      <c r="R409">
        <f>MIN(E390:E409)</f>
        <v/>
      </c>
      <c r="S409">
        <f>F409-((Q409+R409)/2+I409)/2</f>
        <v/>
      </c>
      <c r="T409">
        <f>FORECAST(A409,S390:S409,A390:A409)</f>
        <v/>
      </c>
    </row>
    <row r="410">
      <c r="A410" t="n">
        <v>408</v>
      </c>
      <c r="B410" s="2" t="n">
        <v>43328</v>
      </c>
      <c r="C410" t="n">
        <v>275.27</v>
      </c>
      <c r="D410" t="n">
        <v>276.87</v>
      </c>
      <c r="E410" t="n">
        <v>275.23</v>
      </c>
      <c r="F410" t="n">
        <v>275.91</v>
      </c>
      <c r="G410" t="n">
        <v>72033608</v>
      </c>
      <c r="H410">
        <f>MAX(D410-E410,ABS(D410-F409),ABS(E410-F409))</f>
        <v/>
      </c>
      <c r="I410">
        <f>AVERAGE(F391:F410)</f>
        <v/>
      </c>
      <c r="J410">
        <f>STDEVP(F391:F410)</f>
        <v/>
      </c>
      <c r="K410">
        <f>AVERAGE(H391:H410)</f>
        <v/>
      </c>
      <c r="L410">
        <f>I410+2.0*J410</f>
        <v/>
      </c>
      <c r="M410">
        <f>I410-2.0*J410</f>
        <v/>
      </c>
      <c r="N410">
        <f>I410+1.5*K410</f>
        <v/>
      </c>
      <c r="O410">
        <f>I410-1.5*K410</f>
        <v/>
      </c>
      <c r="P410">
        <f>AND(L410&lt;N410,M410&gt;O410)</f>
        <v/>
      </c>
      <c r="Q410">
        <f>MAX(D391:D410)</f>
        <v/>
      </c>
      <c r="R410">
        <f>MIN(E391:E410)</f>
        <v/>
      </c>
      <c r="S410">
        <f>F410-((Q410+R410)/2+I410)/2</f>
        <v/>
      </c>
      <c r="T410">
        <f>FORECAST(A410,S391:S410,A391:A410)</f>
        <v/>
      </c>
    </row>
    <row r="411">
      <c r="A411" t="n">
        <v>409</v>
      </c>
      <c r="B411" s="2" t="n">
        <v>43329</v>
      </c>
      <c r="C411" t="n">
        <v>275.69</v>
      </c>
      <c r="D411" t="n">
        <v>277.37</v>
      </c>
      <c r="E411" t="n">
        <v>275.24</v>
      </c>
      <c r="F411" t="n">
        <v>276.89</v>
      </c>
      <c r="G411" t="n">
        <v>67555760</v>
      </c>
      <c r="H411">
        <f>MAX(D411-E411,ABS(D411-F410),ABS(E411-F410))</f>
        <v/>
      </c>
      <c r="I411">
        <f>AVERAGE(F392:F411)</f>
        <v/>
      </c>
      <c r="J411">
        <f>STDEVP(F392:F411)</f>
        <v/>
      </c>
      <c r="K411">
        <f>AVERAGE(H392:H411)</f>
        <v/>
      </c>
      <c r="L411">
        <f>I411+2.0*J411</f>
        <v/>
      </c>
      <c r="M411">
        <f>I411-2.0*J411</f>
        <v/>
      </c>
      <c r="N411">
        <f>I411+1.5*K411</f>
        <v/>
      </c>
      <c r="O411">
        <f>I411-1.5*K411</f>
        <v/>
      </c>
      <c r="P411">
        <f>AND(L411&lt;N411,M411&gt;O411)</f>
        <v/>
      </c>
      <c r="Q411">
        <f>MAX(D392:D411)</f>
        <v/>
      </c>
      <c r="R411">
        <f>MIN(E392:E411)</f>
        <v/>
      </c>
      <c r="S411">
        <f>F411-((Q411+R411)/2+I411)/2</f>
        <v/>
      </c>
      <c r="T411">
        <f>FORECAST(A411,S392:S411,A392:A411)</f>
        <v/>
      </c>
    </row>
    <row r="412">
      <c r="A412" t="n">
        <v>410</v>
      </c>
      <c r="B412" s="2" t="n">
        <v>43332</v>
      </c>
      <c r="C412" t="n">
        <v>277.38</v>
      </c>
      <c r="D412" t="n">
        <v>277.77</v>
      </c>
      <c r="E412" t="n">
        <v>276.89</v>
      </c>
      <c r="F412" t="n">
        <v>277.48</v>
      </c>
      <c r="G412" t="n">
        <v>40982744</v>
      </c>
      <c r="H412">
        <f>MAX(D412-E412,ABS(D412-F411),ABS(E412-F411))</f>
        <v/>
      </c>
      <c r="I412">
        <f>AVERAGE(F393:F412)</f>
        <v/>
      </c>
      <c r="J412">
        <f>STDEVP(F393:F412)</f>
        <v/>
      </c>
      <c r="K412">
        <f>AVERAGE(H393:H412)</f>
        <v/>
      </c>
      <c r="L412">
        <f>I412+2.0*J412</f>
        <v/>
      </c>
      <c r="M412">
        <f>I412-2.0*J412</f>
        <v/>
      </c>
      <c r="N412">
        <f>I412+1.5*K412</f>
        <v/>
      </c>
      <c r="O412">
        <f>I412-1.5*K412</f>
        <v/>
      </c>
      <c r="P412">
        <f>AND(L412&lt;N412,M412&gt;O412)</f>
        <v/>
      </c>
      <c r="Q412">
        <f>MAX(D393:D412)</f>
        <v/>
      </c>
      <c r="R412">
        <f>MIN(E393:E412)</f>
        <v/>
      </c>
      <c r="S412">
        <f>F412-((Q412+R412)/2+I412)/2</f>
        <v/>
      </c>
      <c r="T412">
        <f>FORECAST(A412,S393:S412,A393:A412)</f>
        <v/>
      </c>
    </row>
    <row r="413">
      <c r="A413" t="n">
        <v>411</v>
      </c>
      <c r="B413" s="2" t="n">
        <v>43333</v>
      </c>
      <c r="C413" t="n">
        <v>278.04</v>
      </c>
      <c r="D413" t="n">
        <v>279.07</v>
      </c>
      <c r="E413" t="n">
        <v>277.52</v>
      </c>
      <c r="F413" t="n">
        <v>278.13</v>
      </c>
      <c r="G413" t="n">
        <v>69258080</v>
      </c>
      <c r="H413">
        <f>MAX(D413-E413,ABS(D413-F412),ABS(E413-F412))</f>
        <v/>
      </c>
      <c r="I413">
        <f>AVERAGE(F394:F413)</f>
        <v/>
      </c>
      <c r="J413">
        <f>STDEVP(F394:F413)</f>
        <v/>
      </c>
      <c r="K413">
        <f>AVERAGE(H394:H413)</f>
        <v/>
      </c>
      <c r="L413">
        <f>I413+2.0*J413</f>
        <v/>
      </c>
      <c r="M413">
        <f>I413-2.0*J413</f>
        <v/>
      </c>
      <c r="N413">
        <f>I413+1.5*K413</f>
        <v/>
      </c>
      <c r="O413">
        <f>I413-1.5*K413</f>
        <v/>
      </c>
      <c r="P413">
        <f>AND(L413&lt;N413,M413&gt;O413)</f>
        <v/>
      </c>
      <c r="Q413">
        <f>MAX(D394:D413)</f>
        <v/>
      </c>
      <c r="R413">
        <f>MIN(E394:E413)</f>
        <v/>
      </c>
      <c r="S413">
        <f>F413-((Q413+R413)/2+I413)/2</f>
        <v/>
      </c>
      <c r="T413">
        <f>FORECAST(A413,S394:S413,A394:A413)</f>
        <v/>
      </c>
    </row>
    <row r="414">
      <c r="A414" t="n">
        <v>412</v>
      </c>
      <c r="B414" s="2" t="n">
        <v>43334</v>
      </c>
      <c r="C414" t="n">
        <v>277.68</v>
      </c>
      <c r="D414" t="n">
        <v>278.54</v>
      </c>
      <c r="E414" t="n">
        <v>277.39</v>
      </c>
      <c r="F414" t="n">
        <v>277.96</v>
      </c>
      <c r="G414" t="n">
        <v>46321688</v>
      </c>
      <c r="H414">
        <f>MAX(D414-E414,ABS(D414-F413),ABS(E414-F413))</f>
        <v/>
      </c>
      <c r="I414">
        <f>AVERAGE(F395:F414)</f>
        <v/>
      </c>
      <c r="J414">
        <f>STDEVP(F395:F414)</f>
        <v/>
      </c>
      <c r="K414">
        <f>AVERAGE(H395:H414)</f>
        <v/>
      </c>
      <c r="L414">
        <f>I414+2.0*J414</f>
        <v/>
      </c>
      <c r="M414">
        <f>I414-2.0*J414</f>
        <v/>
      </c>
      <c r="N414">
        <f>I414+1.5*K414</f>
        <v/>
      </c>
      <c r="O414">
        <f>I414-1.5*K414</f>
        <v/>
      </c>
      <c r="P414">
        <f>AND(L414&lt;N414,M414&gt;O414)</f>
        <v/>
      </c>
      <c r="Q414">
        <f>MAX(D395:D414)</f>
        <v/>
      </c>
      <c r="R414">
        <f>MIN(E395:E414)</f>
        <v/>
      </c>
      <c r="S414">
        <f>F414-((Q414+R414)/2+I414)/2</f>
        <v/>
      </c>
      <c r="T414">
        <f>FORECAST(A414,S395:S414,A395:A414)</f>
        <v/>
      </c>
    </row>
    <row r="415">
      <c r="A415" t="n">
        <v>413</v>
      </c>
      <c r="B415" s="2" t="n">
        <v>43335</v>
      </c>
      <c r="C415" t="n">
        <v>277.77</v>
      </c>
      <c r="D415" t="n">
        <v>278.71</v>
      </c>
      <c r="E415" t="n">
        <v>277.24</v>
      </c>
      <c r="F415" t="n">
        <v>277.59</v>
      </c>
      <c r="G415" t="n">
        <v>50657548</v>
      </c>
      <c r="H415">
        <f>MAX(D415-E415,ABS(D415-F414),ABS(E415-F414))</f>
        <v/>
      </c>
      <c r="I415">
        <f>AVERAGE(F396:F415)</f>
        <v/>
      </c>
      <c r="J415">
        <f>STDEVP(F396:F415)</f>
        <v/>
      </c>
      <c r="K415">
        <f>AVERAGE(H396:H415)</f>
        <v/>
      </c>
      <c r="L415">
        <f>I415+2.0*J415</f>
        <v/>
      </c>
      <c r="M415">
        <f>I415-2.0*J415</f>
        <v/>
      </c>
      <c r="N415">
        <f>I415+1.5*K415</f>
        <v/>
      </c>
      <c r="O415">
        <f>I415-1.5*K415</f>
        <v/>
      </c>
      <c r="P415">
        <f>AND(L415&lt;N415,M415&gt;O415)</f>
        <v/>
      </c>
      <c r="Q415">
        <f>MAX(D396:D415)</f>
        <v/>
      </c>
      <c r="R415">
        <f>MIN(E396:E415)</f>
        <v/>
      </c>
      <c r="S415">
        <f>F415-((Q415+R415)/2+I415)/2</f>
        <v/>
      </c>
      <c r="T415">
        <f>FORECAST(A415,S396:S415,A396:A415)</f>
        <v/>
      </c>
    </row>
    <row r="416">
      <c r="A416" t="n">
        <v>414</v>
      </c>
      <c r="B416" s="2" t="n">
        <v>43336</v>
      </c>
      <c r="C416" t="n">
        <v>278.23</v>
      </c>
      <c r="D416" t="n">
        <v>279.42</v>
      </c>
      <c r="E416" t="n">
        <v>278.17</v>
      </c>
      <c r="F416" t="n">
        <v>279.27</v>
      </c>
      <c r="G416" t="n">
        <v>59184624</v>
      </c>
      <c r="H416">
        <f>MAX(D416-E416,ABS(D416-F415),ABS(E416-F415))</f>
        <v/>
      </c>
      <c r="I416">
        <f>AVERAGE(F397:F416)</f>
        <v/>
      </c>
      <c r="J416">
        <f>STDEVP(F397:F416)</f>
        <v/>
      </c>
      <c r="K416">
        <f>AVERAGE(H397:H416)</f>
        <v/>
      </c>
      <c r="L416">
        <f>I416+2.0*J416</f>
        <v/>
      </c>
      <c r="M416">
        <f>I416-2.0*J416</f>
        <v/>
      </c>
      <c r="N416">
        <f>I416+1.5*K416</f>
        <v/>
      </c>
      <c r="O416">
        <f>I416-1.5*K416</f>
        <v/>
      </c>
      <c r="P416">
        <f>AND(L416&lt;N416,M416&gt;O416)</f>
        <v/>
      </c>
      <c r="Q416">
        <f>MAX(D397:D416)</f>
        <v/>
      </c>
      <c r="R416">
        <f>MIN(E397:E416)</f>
        <v/>
      </c>
      <c r="S416">
        <f>F416-((Q416+R416)/2+I416)/2</f>
        <v/>
      </c>
      <c r="T416">
        <f>FORECAST(A416,S397:S416,A397:A416)</f>
        <v/>
      </c>
    </row>
    <row r="417">
      <c r="A417" t="n">
        <v>415</v>
      </c>
      <c r="B417" s="2" t="n">
        <v>43339</v>
      </c>
      <c r="C417" t="n">
        <v>280.58</v>
      </c>
      <c r="D417" t="n">
        <v>281.59</v>
      </c>
      <c r="E417" t="n">
        <v>280.4</v>
      </c>
      <c r="F417" t="n">
        <v>281.47</v>
      </c>
      <c r="G417" t="n">
        <v>58757348</v>
      </c>
      <c r="H417">
        <f>MAX(D417-E417,ABS(D417-F416),ABS(E417-F416))</f>
        <v/>
      </c>
      <c r="I417">
        <f>AVERAGE(F398:F417)</f>
        <v/>
      </c>
      <c r="J417">
        <f>STDEVP(F398:F417)</f>
        <v/>
      </c>
      <c r="K417">
        <f>AVERAGE(H398:H417)</f>
        <v/>
      </c>
      <c r="L417">
        <f>I417+2.0*J417</f>
        <v/>
      </c>
      <c r="M417">
        <f>I417-2.0*J417</f>
        <v/>
      </c>
      <c r="N417">
        <f>I417+1.5*K417</f>
        <v/>
      </c>
      <c r="O417">
        <f>I417-1.5*K417</f>
        <v/>
      </c>
      <c r="P417">
        <f>AND(L417&lt;N417,M417&gt;O417)</f>
        <v/>
      </c>
      <c r="Q417">
        <f>MAX(D398:D417)</f>
        <v/>
      </c>
      <c r="R417">
        <f>MIN(E398:E417)</f>
        <v/>
      </c>
      <c r="S417">
        <f>F417-((Q417+R417)/2+I417)/2</f>
        <v/>
      </c>
      <c r="T417">
        <f>FORECAST(A417,S398:S417,A398:A417)</f>
        <v/>
      </c>
    </row>
    <row r="418">
      <c r="A418" t="n">
        <v>416</v>
      </c>
      <c r="B418" s="2" t="n">
        <v>43340</v>
      </c>
      <c r="C418" t="n">
        <v>281.98</v>
      </c>
      <c r="D418" t="n">
        <v>282.09</v>
      </c>
      <c r="E418" t="n">
        <v>281.1</v>
      </c>
      <c r="F418" t="n">
        <v>281.61</v>
      </c>
      <c r="G418" t="n">
        <v>48329404</v>
      </c>
      <c r="H418">
        <f>MAX(D418-E418,ABS(D418-F417),ABS(E418-F417))</f>
        <v/>
      </c>
      <c r="I418">
        <f>AVERAGE(F399:F418)</f>
        <v/>
      </c>
      <c r="J418">
        <f>STDEVP(F399:F418)</f>
        <v/>
      </c>
      <c r="K418">
        <f>AVERAGE(H399:H418)</f>
        <v/>
      </c>
      <c r="L418">
        <f>I418+2.0*J418</f>
        <v/>
      </c>
      <c r="M418">
        <f>I418-2.0*J418</f>
        <v/>
      </c>
      <c r="N418">
        <f>I418+1.5*K418</f>
        <v/>
      </c>
      <c r="O418">
        <f>I418-1.5*K418</f>
        <v/>
      </c>
      <c r="P418">
        <f>AND(L418&lt;N418,M418&gt;O418)</f>
        <v/>
      </c>
      <c r="Q418">
        <f>MAX(D399:D418)</f>
        <v/>
      </c>
      <c r="R418">
        <f>MIN(E399:E418)</f>
        <v/>
      </c>
      <c r="S418">
        <f>F418-((Q418+R418)/2+I418)/2</f>
        <v/>
      </c>
      <c r="T418">
        <f>FORECAST(A418,S399:S418,A399:A418)</f>
        <v/>
      </c>
    </row>
    <row r="419">
      <c r="A419" t="n">
        <v>417</v>
      </c>
      <c r="B419" s="2" t="n">
        <v>43341</v>
      </c>
      <c r="C419" t="n">
        <v>281.84</v>
      </c>
      <c r="D419" t="n">
        <v>283.37</v>
      </c>
      <c r="E419" t="n">
        <v>281.57</v>
      </c>
      <c r="F419" t="n">
        <v>283.12</v>
      </c>
      <c r="G419" t="n">
        <v>63300776</v>
      </c>
      <c r="H419">
        <f>MAX(D419-E419,ABS(D419-F418),ABS(E419-F418))</f>
        <v/>
      </c>
      <c r="I419">
        <f>AVERAGE(F400:F419)</f>
        <v/>
      </c>
      <c r="J419">
        <f>STDEVP(F400:F419)</f>
        <v/>
      </c>
      <c r="K419">
        <f>AVERAGE(H400:H419)</f>
        <v/>
      </c>
      <c r="L419">
        <f>I419+2.0*J419</f>
        <v/>
      </c>
      <c r="M419">
        <f>I419-2.0*J419</f>
        <v/>
      </c>
      <c r="N419">
        <f>I419+1.5*K419</f>
        <v/>
      </c>
      <c r="O419">
        <f>I419-1.5*K419</f>
        <v/>
      </c>
      <c r="P419">
        <f>AND(L419&lt;N419,M419&gt;O419)</f>
        <v/>
      </c>
      <c r="Q419">
        <f>MAX(D400:D419)</f>
        <v/>
      </c>
      <c r="R419">
        <f>MIN(E400:E419)</f>
        <v/>
      </c>
      <c r="S419">
        <f>F419-((Q419+R419)/2+I419)/2</f>
        <v/>
      </c>
      <c r="T419">
        <f>FORECAST(A419,S400:S419,A400:A419)</f>
        <v/>
      </c>
    </row>
    <row r="420">
      <c r="A420" t="n">
        <v>418</v>
      </c>
      <c r="B420" s="2" t="n">
        <v>43342</v>
      </c>
      <c r="C420" t="n">
        <v>282.6</v>
      </c>
      <c r="D420" t="n">
        <v>283</v>
      </c>
      <c r="E420" t="n">
        <v>281.32</v>
      </c>
      <c r="F420" t="n">
        <v>281.98</v>
      </c>
      <c r="G420" t="n">
        <v>63037208</v>
      </c>
      <c r="H420">
        <f>MAX(D420-E420,ABS(D420-F419),ABS(E420-F419))</f>
        <v/>
      </c>
      <c r="I420">
        <f>AVERAGE(F401:F420)</f>
        <v/>
      </c>
      <c r="J420">
        <f>STDEVP(F401:F420)</f>
        <v/>
      </c>
      <c r="K420">
        <f>AVERAGE(H401:H420)</f>
        <v/>
      </c>
      <c r="L420">
        <f>I420+2.0*J420</f>
        <v/>
      </c>
      <c r="M420">
        <f>I420-2.0*J420</f>
        <v/>
      </c>
      <c r="N420">
        <f>I420+1.5*K420</f>
        <v/>
      </c>
      <c r="O420">
        <f>I420-1.5*K420</f>
        <v/>
      </c>
      <c r="P420">
        <f>AND(L420&lt;N420,M420&gt;O420)</f>
        <v/>
      </c>
      <c r="Q420">
        <f>MAX(D401:D420)</f>
        <v/>
      </c>
      <c r="R420">
        <f>MIN(E401:E420)</f>
        <v/>
      </c>
      <c r="S420">
        <f>F420-((Q420+R420)/2+I420)/2</f>
        <v/>
      </c>
      <c r="T420">
        <f>FORECAST(A420,S401:S420,A401:A420)</f>
        <v/>
      </c>
    </row>
    <row r="421">
      <c r="A421" t="n">
        <v>419</v>
      </c>
      <c r="B421" s="2" t="n">
        <v>43343</v>
      </c>
      <c r="C421" t="n">
        <v>281.53</v>
      </c>
      <c r="D421" t="n">
        <v>282.47</v>
      </c>
      <c r="E421" t="n">
        <v>280.99</v>
      </c>
      <c r="F421" t="n">
        <v>281.98</v>
      </c>
      <c r="G421" t="n">
        <v>68093544</v>
      </c>
      <c r="H421">
        <f>MAX(D421-E421,ABS(D421-F420),ABS(E421-F420))</f>
        <v/>
      </c>
      <c r="I421">
        <f>AVERAGE(F402:F421)</f>
        <v/>
      </c>
      <c r="J421">
        <f>STDEVP(F402:F421)</f>
        <v/>
      </c>
      <c r="K421">
        <f>AVERAGE(H402:H421)</f>
        <v/>
      </c>
      <c r="L421">
        <f>I421+2.0*J421</f>
        <v/>
      </c>
      <c r="M421">
        <f>I421-2.0*J421</f>
        <v/>
      </c>
      <c r="N421">
        <f>I421+1.5*K421</f>
        <v/>
      </c>
      <c r="O421">
        <f>I421-1.5*K421</f>
        <v/>
      </c>
      <c r="P421">
        <f>AND(L421&lt;N421,M421&gt;O421)</f>
        <v/>
      </c>
      <c r="Q421">
        <f>MAX(D402:D421)</f>
        <v/>
      </c>
      <c r="R421">
        <f>MIN(E402:E421)</f>
        <v/>
      </c>
      <c r="S421">
        <f>F421-((Q421+R421)/2+I421)/2</f>
        <v/>
      </c>
      <c r="T421">
        <f>FORECAST(A421,S402:S421,A402:A421)</f>
        <v/>
      </c>
    </row>
    <row r="422">
      <c r="A422" t="n">
        <v>420</v>
      </c>
      <c r="B422" s="2" t="n">
        <v>43347</v>
      </c>
      <c r="C422" t="n">
        <v>281.53</v>
      </c>
      <c r="D422" t="n">
        <v>281.89</v>
      </c>
      <c r="E422" t="n">
        <v>280.4</v>
      </c>
      <c r="F422" t="n">
        <v>281.5</v>
      </c>
      <c r="G422" t="n">
        <v>59294748</v>
      </c>
      <c r="H422">
        <f>MAX(D422-E422,ABS(D422-F421),ABS(E422-F421))</f>
        <v/>
      </c>
      <c r="I422">
        <f>AVERAGE(F403:F422)</f>
        <v/>
      </c>
      <c r="J422">
        <f>STDEVP(F403:F422)</f>
        <v/>
      </c>
      <c r="K422">
        <f>AVERAGE(H403:H422)</f>
        <v/>
      </c>
      <c r="L422">
        <f>I422+2.0*J422</f>
        <v/>
      </c>
      <c r="M422">
        <f>I422-2.0*J422</f>
        <v/>
      </c>
      <c r="N422">
        <f>I422+1.5*K422</f>
        <v/>
      </c>
      <c r="O422">
        <f>I422-1.5*K422</f>
        <v/>
      </c>
      <c r="P422">
        <f>AND(L422&lt;N422,M422&gt;O422)</f>
        <v/>
      </c>
      <c r="Q422">
        <f>MAX(D403:D422)</f>
        <v/>
      </c>
      <c r="R422">
        <f>MIN(E403:E422)</f>
        <v/>
      </c>
      <c r="S422">
        <f>F422-((Q422+R422)/2+I422)/2</f>
        <v/>
      </c>
      <c r="T422">
        <f>FORECAST(A422,S403:S422,A403:A422)</f>
        <v/>
      </c>
    </row>
    <row r="423">
      <c r="A423" t="n">
        <v>421</v>
      </c>
      <c r="B423" s="2" t="n">
        <v>43348</v>
      </c>
      <c r="C423" t="n">
        <v>281.11</v>
      </c>
      <c r="D423" t="n">
        <v>281.33</v>
      </c>
      <c r="E423" t="n">
        <v>279.63</v>
      </c>
      <c r="F423" t="n">
        <v>280.74</v>
      </c>
      <c r="G423" t="n">
        <v>74591480</v>
      </c>
      <c r="H423">
        <f>MAX(D423-E423,ABS(D423-F422),ABS(E423-F422))</f>
        <v/>
      </c>
      <c r="I423">
        <f>AVERAGE(F404:F423)</f>
        <v/>
      </c>
      <c r="J423">
        <f>STDEVP(F404:F423)</f>
        <v/>
      </c>
      <c r="K423">
        <f>AVERAGE(H404:H423)</f>
        <v/>
      </c>
      <c r="L423">
        <f>I423+2.0*J423</f>
        <v/>
      </c>
      <c r="M423">
        <f>I423-2.0*J423</f>
        <v/>
      </c>
      <c r="N423">
        <f>I423+1.5*K423</f>
        <v/>
      </c>
      <c r="O423">
        <f>I423-1.5*K423</f>
        <v/>
      </c>
      <c r="P423">
        <f>AND(L423&lt;N423,M423&gt;O423)</f>
        <v/>
      </c>
      <c r="Q423">
        <f>MAX(D404:D423)</f>
        <v/>
      </c>
      <c r="R423">
        <f>MIN(E404:E423)</f>
        <v/>
      </c>
      <c r="S423">
        <f>F423-((Q423+R423)/2+I423)/2</f>
        <v/>
      </c>
      <c r="T423">
        <f>FORECAST(A423,S404:S423,A404:A423)</f>
        <v/>
      </c>
    </row>
    <row r="424">
      <c r="A424" t="n">
        <v>422</v>
      </c>
      <c r="B424" s="2" t="n">
        <v>43349</v>
      </c>
      <c r="C424" t="n">
        <v>280.86</v>
      </c>
      <c r="D424" t="n">
        <v>281.19</v>
      </c>
      <c r="E424" t="n">
        <v>278.77</v>
      </c>
      <c r="F424" t="n">
        <v>279.9</v>
      </c>
      <c r="G424" t="n">
        <v>67855744</v>
      </c>
      <c r="H424">
        <f>MAX(D424-E424,ABS(D424-F423),ABS(E424-F423))</f>
        <v/>
      </c>
      <c r="I424">
        <f>AVERAGE(F405:F424)</f>
        <v/>
      </c>
      <c r="J424">
        <f>STDEVP(F405:F424)</f>
        <v/>
      </c>
      <c r="K424">
        <f>AVERAGE(H405:H424)</f>
        <v/>
      </c>
      <c r="L424">
        <f>I424+2.0*J424</f>
        <v/>
      </c>
      <c r="M424">
        <f>I424-2.0*J424</f>
        <v/>
      </c>
      <c r="N424">
        <f>I424+1.5*K424</f>
        <v/>
      </c>
      <c r="O424">
        <f>I424-1.5*K424</f>
        <v/>
      </c>
      <c r="P424">
        <f>AND(L424&lt;N424,M424&gt;O424)</f>
        <v/>
      </c>
      <c r="Q424">
        <f>MAX(D405:D424)</f>
        <v/>
      </c>
      <c r="R424">
        <f>MIN(E405:E424)</f>
        <v/>
      </c>
      <c r="S424">
        <f>F424-((Q424+R424)/2+I424)/2</f>
        <v/>
      </c>
      <c r="T424">
        <f>FORECAST(A424,S405:S424,A405:A424)</f>
        <v/>
      </c>
    </row>
    <row r="425">
      <c r="A425" t="n">
        <v>423</v>
      </c>
      <c r="B425" s="2" t="n">
        <v>43350</v>
      </c>
      <c r="C425" t="n">
        <v>278.75</v>
      </c>
      <c r="D425" t="n">
        <v>280.42</v>
      </c>
      <c r="E425" t="n">
        <v>278.49</v>
      </c>
      <c r="F425" t="n">
        <v>279.35</v>
      </c>
      <c r="G425" t="n">
        <v>75695528</v>
      </c>
      <c r="H425">
        <f>MAX(D425-E425,ABS(D425-F424),ABS(E425-F424))</f>
        <v/>
      </c>
      <c r="I425">
        <f>AVERAGE(F406:F425)</f>
        <v/>
      </c>
      <c r="J425">
        <f>STDEVP(F406:F425)</f>
        <v/>
      </c>
      <c r="K425">
        <f>AVERAGE(H406:H425)</f>
        <v/>
      </c>
      <c r="L425">
        <f>I425+2.0*J425</f>
        <v/>
      </c>
      <c r="M425">
        <f>I425-2.0*J425</f>
        <v/>
      </c>
      <c r="N425">
        <f>I425+1.5*K425</f>
        <v/>
      </c>
      <c r="O425">
        <f>I425-1.5*K425</f>
        <v/>
      </c>
      <c r="P425">
        <f>AND(L425&lt;N425,M425&gt;O425)</f>
        <v/>
      </c>
      <c r="Q425">
        <f>MAX(D406:D425)</f>
        <v/>
      </c>
      <c r="R425">
        <f>MIN(E406:E425)</f>
        <v/>
      </c>
      <c r="S425">
        <f>F425-((Q425+R425)/2+I425)/2</f>
        <v/>
      </c>
      <c r="T425">
        <f>FORECAST(A425,S406:S425,A406:A425)</f>
        <v/>
      </c>
    </row>
    <row r="426">
      <c r="A426" t="n">
        <v>424</v>
      </c>
      <c r="B426" s="2" t="n">
        <v>43353</v>
      </c>
      <c r="C426" t="n">
        <v>280.46</v>
      </c>
      <c r="D426" t="n">
        <v>280.75</v>
      </c>
      <c r="E426" t="n">
        <v>279.62</v>
      </c>
      <c r="F426" t="n">
        <v>279.84</v>
      </c>
      <c r="G426" t="n">
        <v>51693300</v>
      </c>
      <c r="H426">
        <f>MAX(D426-E426,ABS(D426-F425),ABS(E426-F425))</f>
        <v/>
      </c>
      <c r="I426">
        <f>AVERAGE(F407:F426)</f>
        <v/>
      </c>
      <c r="J426">
        <f>STDEVP(F407:F426)</f>
        <v/>
      </c>
      <c r="K426">
        <f>AVERAGE(H407:H426)</f>
        <v/>
      </c>
      <c r="L426">
        <f>I426+2.0*J426</f>
        <v/>
      </c>
      <c r="M426">
        <f>I426-2.0*J426</f>
        <v/>
      </c>
      <c r="N426">
        <f>I426+1.5*K426</f>
        <v/>
      </c>
      <c r="O426">
        <f>I426-1.5*K426</f>
        <v/>
      </c>
      <c r="P426">
        <f>AND(L426&lt;N426,M426&gt;O426)</f>
        <v/>
      </c>
      <c r="Q426">
        <f>MAX(D407:D426)</f>
        <v/>
      </c>
      <c r="R426">
        <f>MIN(E407:E426)</f>
        <v/>
      </c>
      <c r="S426">
        <f>F426-((Q426+R426)/2+I426)/2</f>
        <v/>
      </c>
      <c r="T426">
        <f>FORECAST(A426,S407:S426,A407:A426)</f>
        <v/>
      </c>
    </row>
    <row r="427">
      <c r="A427" t="n">
        <v>425</v>
      </c>
      <c r="B427" s="2" t="n">
        <v>43354</v>
      </c>
      <c r="C427" t="n">
        <v>279.13</v>
      </c>
      <c r="D427" t="n">
        <v>281.25</v>
      </c>
      <c r="E427" t="n">
        <v>278.75</v>
      </c>
      <c r="F427" t="n">
        <v>280.76</v>
      </c>
      <c r="G427" t="n">
        <v>52022324</v>
      </c>
      <c r="H427">
        <f>MAX(D427-E427,ABS(D427-F426),ABS(E427-F426))</f>
        <v/>
      </c>
      <c r="I427">
        <f>AVERAGE(F408:F427)</f>
        <v/>
      </c>
      <c r="J427">
        <f>STDEVP(F408:F427)</f>
        <v/>
      </c>
      <c r="K427">
        <f>AVERAGE(H408:H427)</f>
        <v/>
      </c>
      <c r="L427">
        <f>I427+2.0*J427</f>
        <v/>
      </c>
      <c r="M427">
        <f>I427-2.0*J427</f>
        <v/>
      </c>
      <c r="N427">
        <f>I427+1.5*K427</f>
        <v/>
      </c>
      <c r="O427">
        <f>I427-1.5*K427</f>
        <v/>
      </c>
      <c r="P427">
        <f>AND(L427&lt;N427,M427&gt;O427)</f>
        <v/>
      </c>
      <c r="Q427">
        <f>MAX(D408:D427)</f>
        <v/>
      </c>
      <c r="R427">
        <f>MIN(E408:E427)</f>
        <v/>
      </c>
      <c r="S427">
        <f>F427-((Q427+R427)/2+I427)/2</f>
        <v/>
      </c>
      <c r="T427">
        <f>FORECAST(A427,S408:S427,A408:A427)</f>
        <v/>
      </c>
    </row>
    <row r="428">
      <c r="A428" t="n">
        <v>426</v>
      </c>
      <c r="B428" s="2" t="n">
        <v>43355</v>
      </c>
      <c r="C428" t="n">
        <v>280.77</v>
      </c>
      <c r="D428" t="n">
        <v>281.49</v>
      </c>
      <c r="E428" t="n">
        <v>279.96</v>
      </c>
      <c r="F428" t="n">
        <v>280.83</v>
      </c>
      <c r="G428" t="n">
        <v>61576576</v>
      </c>
      <c r="H428">
        <f>MAX(D428-E428,ABS(D428-F427),ABS(E428-F427))</f>
        <v/>
      </c>
      <c r="I428">
        <f>AVERAGE(F409:F428)</f>
        <v/>
      </c>
      <c r="J428">
        <f>STDEVP(F409:F428)</f>
        <v/>
      </c>
      <c r="K428">
        <f>AVERAGE(H409:H428)</f>
        <v/>
      </c>
      <c r="L428">
        <f>I428+2.0*J428</f>
        <v/>
      </c>
      <c r="M428">
        <f>I428-2.0*J428</f>
        <v/>
      </c>
      <c r="N428">
        <f>I428+1.5*K428</f>
        <v/>
      </c>
      <c r="O428">
        <f>I428-1.5*K428</f>
        <v/>
      </c>
      <c r="P428">
        <f>AND(L428&lt;N428,M428&gt;O428)</f>
        <v/>
      </c>
      <c r="Q428">
        <f>MAX(D409:D428)</f>
        <v/>
      </c>
      <c r="R428">
        <f>MIN(E409:E428)</f>
        <v/>
      </c>
      <c r="S428">
        <f>F428-((Q428+R428)/2+I428)/2</f>
        <v/>
      </c>
      <c r="T428">
        <f>FORECAST(A428,S409:S428,A409:A428)</f>
        <v/>
      </c>
    </row>
    <row r="429">
      <c r="A429" t="n">
        <v>427</v>
      </c>
      <c r="B429" s="2" t="n">
        <v>43356</v>
      </c>
      <c r="C429" t="n">
        <v>281.99</v>
      </c>
      <c r="D429" t="n">
        <v>282.69</v>
      </c>
      <c r="E429" t="n">
        <v>281.68</v>
      </c>
      <c r="F429" t="n">
        <v>282.49</v>
      </c>
      <c r="G429" t="n">
        <v>52540928</v>
      </c>
      <c r="H429">
        <f>MAX(D429-E429,ABS(D429-F428),ABS(E429-F428))</f>
        <v/>
      </c>
      <c r="I429">
        <f>AVERAGE(F410:F429)</f>
        <v/>
      </c>
      <c r="J429">
        <f>STDEVP(F410:F429)</f>
        <v/>
      </c>
      <c r="K429">
        <f>AVERAGE(H410:H429)</f>
        <v/>
      </c>
      <c r="L429">
        <f>I429+2.0*J429</f>
        <v/>
      </c>
      <c r="M429">
        <f>I429-2.0*J429</f>
        <v/>
      </c>
      <c r="N429">
        <f>I429+1.5*K429</f>
        <v/>
      </c>
      <c r="O429">
        <f>I429-1.5*K429</f>
        <v/>
      </c>
      <c r="P429">
        <f>AND(L429&lt;N429,M429&gt;O429)</f>
        <v/>
      </c>
      <c r="Q429">
        <f>MAX(D410:D429)</f>
        <v/>
      </c>
      <c r="R429">
        <f>MIN(E410:E429)</f>
        <v/>
      </c>
      <c r="S429">
        <f>F429-((Q429+R429)/2+I429)/2</f>
        <v/>
      </c>
      <c r="T429">
        <f>FORECAST(A429,S410:S429,A410:A429)</f>
        <v/>
      </c>
    </row>
    <row r="430">
      <c r="A430" t="n">
        <v>428</v>
      </c>
      <c r="B430" s="2" t="n">
        <v>43357</v>
      </c>
      <c r="C430" t="n">
        <v>282.71</v>
      </c>
      <c r="D430" t="n">
        <v>282.92</v>
      </c>
      <c r="E430" t="n">
        <v>281.68</v>
      </c>
      <c r="F430" t="n">
        <v>282.54</v>
      </c>
      <c r="G430" t="n">
        <v>56706020</v>
      </c>
      <c r="H430">
        <f>MAX(D430-E430,ABS(D430-F429),ABS(E430-F429))</f>
        <v/>
      </c>
      <c r="I430">
        <f>AVERAGE(F411:F430)</f>
        <v/>
      </c>
      <c r="J430">
        <f>STDEVP(F411:F430)</f>
        <v/>
      </c>
      <c r="K430">
        <f>AVERAGE(H411:H430)</f>
        <v/>
      </c>
      <c r="L430">
        <f>I430+2.0*J430</f>
        <v/>
      </c>
      <c r="M430">
        <f>I430-2.0*J430</f>
        <v/>
      </c>
      <c r="N430">
        <f>I430+1.5*K430</f>
        <v/>
      </c>
      <c r="O430">
        <f>I430-1.5*K430</f>
        <v/>
      </c>
      <c r="P430">
        <f>AND(L430&lt;N430,M430&gt;O430)</f>
        <v/>
      </c>
      <c r="Q430">
        <f>MAX(D411:D430)</f>
        <v/>
      </c>
      <c r="R430">
        <f>MIN(E411:E430)</f>
        <v/>
      </c>
      <c r="S430">
        <f>F430-((Q430+R430)/2+I430)/2</f>
        <v/>
      </c>
      <c r="T430">
        <f>FORECAST(A430,S411:S430,A411:A430)</f>
        <v/>
      </c>
    </row>
    <row r="431">
      <c r="A431" t="n">
        <v>429</v>
      </c>
      <c r="B431" s="2" t="n">
        <v>43360</v>
      </c>
      <c r="C431" t="n">
        <v>282.48</v>
      </c>
      <c r="D431" t="n">
        <v>282.52</v>
      </c>
      <c r="E431" t="n">
        <v>280.74</v>
      </c>
      <c r="F431" t="n">
        <v>281.04</v>
      </c>
      <c r="G431" t="n">
        <v>70258840</v>
      </c>
      <c r="H431">
        <f>MAX(D431-E431,ABS(D431-F430),ABS(E431-F430))</f>
        <v/>
      </c>
      <c r="I431">
        <f>AVERAGE(F412:F431)</f>
        <v/>
      </c>
      <c r="J431">
        <f>STDEVP(F412:F431)</f>
        <v/>
      </c>
      <c r="K431">
        <f>AVERAGE(H412:H431)</f>
        <v/>
      </c>
      <c r="L431">
        <f>I431+2.0*J431</f>
        <v/>
      </c>
      <c r="M431">
        <f>I431-2.0*J431</f>
        <v/>
      </c>
      <c r="N431">
        <f>I431+1.5*K431</f>
        <v/>
      </c>
      <c r="O431">
        <f>I431-1.5*K431</f>
        <v/>
      </c>
      <c r="P431">
        <f>AND(L431&lt;N431,M431&gt;O431)</f>
        <v/>
      </c>
      <c r="Q431">
        <f>MAX(D412:D431)</f>
        <v/>
      </c>
      <c r="R431">
        <f>MIN(E412:E431)</f>
        <v/>
      </c>
      <c r="S431">
        <f>F431-((Q431+R431)/2+I431)/2</f>
        <v/>
      </c>
      <c r="T431">
        <f>FORECAST(A431,S412:S431,A412:A431)</f>
        <v/>
      </c>
    </row>
    <row r="432">
      <c r="A432" t="n">
        <v>430</v>
      </c>
      <c r="B432" s="2" t="n">
        <v>43361</v>
      </c>
      <c r="C432" t="n">
        <v>281.28</v>
      </c>
      <c r="D432" t="n">
        <v>283.22</v>
      </c>
      <c r="E432" t="n">
        <v>281.25</v>
      </c>
      <c r="F432" t="n">
        <v>282.57</v>
      </c>
      <c r="G432" t="n">
        <v>63758804</v>
      </c>
      <c r="H432">
        <f>MAX(D432-E432,ABS(D432-F431),ABS(E432-F431))</f>
        <v/>
      </c>
      <c r="I432">
        <f>AVERAGE(F413:F432)</f>
        <v/>
      </c>
      <c r="J432">
        <f>STDEVP(F413:F432)</f>
        <v/>
      </c>
      <c r="K432">
        <f>AVERAGE(H413:H432)</f>
        <v/>
      </c>
      <c r="L432">
        <f>I432+2.0*J432</f>
        <v/>
      </c>
      <c r="M432">
        <f>I432-2.0*J432</f>
        <v/>
      </c>
      <c r="N432">
        <f>I432+1.5*K432</f>
        <v/>
      </c>
      <c r="O432">
        <f>I432-1.5*K432</f>
        <v/>
      </c>
      <c r="P432">
        <f>AND(L432&lt;N432,M432&gt;O432)</f>
        <v/>
      </c>
      <c r="Q432">
        <f>MAX(D413:D432)</f>
        <v/>
      </c>
      <c r="R432">
        <f>MIN(E413:E432)</f>
        <v/>
      </c>
      <c r="S432">
        <f>F432-((Q432+R432)/2+I432)/2</f>
        <v/>
      </c>
      <c r="T432">
        <f>FORECAST(A432,S413:S432,A413:A432)</f>
        <v/>
      </c>
    </row>
    <row r="433">
      <c r="A433" t="n">
        <v>431</v>
      </c>
      <c r="B433" s="2" t="n">
        <v>43362</v>
      </c>
      <c r="C433" t="n">
        <v>282.63</v>
      </c>
      <c r="D433" t="n">
        <v>283.33</v>
      </c>
      <c r="E433" t="n">
        <v>282.48</v>
      </c>
      <c r="F433" t="n">
        <v>282.87</v>
      </c>
      <c r="G433" t="n">
        <v>50529584</v>
      </c>
      <c r="H433">
        <f>MAX(D433-E433,ABS(D433-F432),ABS(E433-F432))</f>
        <v/>
      </c>
      <c r="I433">
        <f>AVERAGE(F414:F433)</f>
        <v/>
      </c>
      <c r="J433">
        <f>STDEVP(F414:F433)</f>
        <v/>
      </c>
      <c r="K433">
        <f>AVERAGE(H414:H433)</f>
        <v/>
      </c>
      <c r="L433">
        <f>I433+2.0*J433</f>
        <v/>
      </c>
      <c r="M433">
        <f>I433-2.0*J433</f>
        <v/>
      </c>
      <c r="N433">
        <f>I433+1.5*K433</f>
        <v/>
      </c>
      <c r="O433">
        <f>I433-1.5*K433</f>
        <v/>
      </c>
      <c r="P433">
        <f>AND(L433&lt;N433,M433&gt;O433)</f>
        <v/>
      </c>
      <c r="Q433">
        <f>MAX(D414:D433)</f>
        <v/>
      </c>
      <c r="R433">
        <f>MIN(E414:E433)</f>
        <v/>
      </c>
      <c r="S433">
        <f>F433-((Q433+R433)/2+I433)/2</f>
        <v/>
      </c>
      <c r="T433">
        <f>FORECAST(A433,S414:S433,A414:A433)</f>
        <v/>
      </c>
    </row>
    <row r="434">
      <c r="A434" t="n">
        <v>432</v>
      </c>
      <c r="B434" s="2" t="n">
        <v>43363</v>
      </c>
      <c r="C434" t="n">
        <v>284.25</v>
      </c>
      <c r="D434" t="n">
        <v>285.51</v>
      </c>
      <c r="E434" t="n">
        <v>282.88</v>
      </c>
      <c r="F434" t="n">
        <v>285.16</v>
      </c>
      <c r="G434" t="n">
        <v>103323632</v>
      </c>
      <c r="H434">
        <f>MAX(D434-E434,ABS(D434-F433),ABS(E434-F433))</f>
        <v/>
      </c>
      <c r="I434">
        <f>AVERAGE(F415:F434)</f>
        <v/>
      </c>
      <c r="J434">
        <f>STDEVP(F415:F434)</f>
        <v/>
      </c>
      <c r="K434">
        <f>AVERAGE(H415:H434)</f>
        <v/>
      </c>
      <c r="L434">
        <f>I434+2.0*J434</f>
        <v/>
      </c>
      <c r="M434">
        <f>I434-2.0*J434</f>
        <v/>
      </c>
      <c r="N434">
        <f>I434+1.5*K434</f>
        <v/>
      </c>
      <c r="O434">
        <f>I434-1.5*K434</f>
        <v/>
      </c>
      <c r="P434">
        <f>AND(L434&lt;N434,M434&gt;O434)</f>
        <v/>
      </c>
      <c r="Q434">
        <f>MAX(D415:D434)</f>
        <v/>
      </c>
      <c r="R434">
        <f>MIN(E415:E434)</f>
        <v/>
      </c>
      <c r="S434">
        <f>F434-((Q434+R434)/2+I434)/2</f>
        <v/>
      </c>
      <c r="T434">
        <f>FORECAST(A434,S415:S434,A415:A434)</f>
        <v/>
      </c>
    </row>
    <row r="435">
      <c r="A435" t="n">
        <v>433</v>
      </c>
      <c r="B435" s="2" t="n">
        <v>43364</v>
      </c>
      <c r="C435" t="n">
        <v>285.97</v>
      </c>
      <c r="D435" t="n">
        <v>286.1</v>
      </c>
      <c r="E435" t="n">
        <v>284.72</v>
      </c>
      <c r="F435" t="n">
        <v>284.9</v>
      </c>
      <c r="G435" t="n">
        <v>108104552</v>
      </c>
      <c r="H435">
        <f>MAX(D435-E435,ABS(D435-F434),ABS(E435-F434))</f>
        <v/>
      </c>
      <c r="I435">
        <f>AVERAGE(F416:F435)</f>
        <v/>
      </c>
      <c r="J435">
        <f>STDEVP(F416:F435)</f>
        <v/>
      </c>
      <c r="K435">
        <f>AVERAGE(H416:H435)</f>
        <v/>
      </c>
      <c r="L435">
        <f>I435+2.0*J435</f>
        <v/>
      </c>
      <c r="M435">
        <f>I435-2.0*J435</f>
        <v/>
      </c>
      <c r="N435">
        <f>I435+1.5*K435</f>
        <v/>
      </c>
      <c r="O435">
        <f>I435-1.5*K435</f>
        <v/>
      </c>
      <c r="P435">
        <f>AND(L435&lt;N435,M435&gt;O435)</f>
        <v/>
      </c>
      <c r="Q435">
        <f>MAX(D416:D435)</f>
        <v/>
      </c>
      <c r="R435">
        <f>MIN(E416:E435)</f>
        <v/>
      </c>
      <c r="S435">
        <f>F435-((Q435+R435)/2+I435)/2</f>
        <v/>
      </c>
      <c r="T435">
        <f>FORECAST(A435,S416:S435,A416:A435)</f>
        <v/>
      </c>
    </row>
    <row r="436">
      <c r="A436" t="n">
        <v>434</v>
      </c>
      <c r="B436" s="2" t="n">
        <v>43367</v>
      </c>
      <c r="C436" t="n">
        <v>284.27</v>
      </c>
      <c r="D436" t="n">
        <v>284.42</v>
      </c>
      <c r="E436" t="n">
        <v>283.32</v>
      </c>
      <c r="F436" t="n">
        <v>283.95</v>
      </c>
      <c r="G436" t="n">
        <v>54738760</v>
      </c>
      <c r="H436">
        <f>MAX(D436-E436,ABS(D436-F435),ABS(E436-F435))</f>
        <v/>
      </c>
      <c r="I436">
        <f>AVERAGE(F417:F436)</f>
        <v/>
      </c>
      <c r="J436">
        <f>STDEVP(F417:F436)</f>
        <v/>
      </c>
      <c r="K436">
        <f>AVERAGE(H417:H436)</f>
        <v/>
      </c>
      <c r="L436">
        <f>I436+2.0*J436</f>
        <v/>
      </c>
      <c r="M436">
        <f>I436-2.0*J436</f>
        <v/>
      </c>
      <c r="N436">
        <f>I436+1.5*K436</f>
        <v/>
      </c>
      <c r="O436">
        <f>I436-1.5*K436</f>
        <v/>
      </c>
      <c r="P436">
        <f>AND(L436&lt;N436,M436&gt;O436)</f>
        <v/>
      </c>
      <c r="Q436">
        <f>MAX(D417:D436)</f>
        <v/>
      </c>
      <c r="R436">
        <f>MIN(E417:E436)</f>
        <v/>
      </c>
      <c r="S436">
        <f>F436-((Q436+R436)/2+I436)/2</f>
        <v/>
      </c>
      <c r="T436">
        <f>FORECAST(A436,S417:S436,A417:A436)</f>
        <v/>
      </c>
    </row>
    <row r="437">
      <c r="A437" t="n">
        <v>435</v>
      </c>
      <c r="B437" s="2" t="n">
        <v>43368</v>
      </c>
      <c r="C437" t="n">
        <v>284.45</v>
      </c>
      <c r="D437" t="n">
        <v>284.57</v>
      </c>
      <c r="E437" t="n">
        <v>283.43</v>
      </c>
      <c r="F437" t="n">
        <v>283.69</v>
      </c>
      <c r="G437" t="n">
        <v>45474200</v>
      </c>
      <c r="H437">
        <f>MAX(D437-E437,ABS(D437-F436),ABS(E437-F436))</f>
        <v/>
      </c>
      <c r="I437">
        <f>AVERAGE(F418:F437)</f>
        <v/>
      </c>
      <c r="J437">
        <f>STDEVP(F418:F437)</f>
        <v/>
      </c>
      <c r="K437">
        <f>AVERAGE(H418:H437)</f>
        <v/>
      </c>
      <c r="L437">
        <f>I437+2.0*J437</f>
        <v/>
      </c>
      <c r="M437">
        <f>I437-2.0*J437</f>
        <v/>
      </c>
      <c r="N437">
        <f>I437+1.5*K437</f>
        <v/>
      </c>
      <c r="O437">
        <f>I437-1.5*K437</f>
        <v/>
      </c>
      <c r="P437">
        <f>AND(L437&lt;N437,M437&gt;O437)</f>
        <v/>
      </c>
      <c r="Q437">
        <f>MAX(D418:D437)</f>
        <v/>
      </c>
      <c r="R437">
        <f>MIN(E418:E437)</f>
        <v/>
      </c>
      <c r="S437">
        <f>F437-((Q437+R437)/2+I437)/2</f>
        <v/>
      </c>
      <c r="T437">
        <f>FORECAST(A437,S418:S437,A418:A437)</f>
        <v/>
      </c>
    </row>
    <row r="438">
      <c r="A438" t="n">
        <v>436</v>
      </c>
      <c r="B438" s="2" t="n">
        <v>43369</v>
      </c>
      <c r="C438" t="n">
        <v>283.85</v>
      </c>
      <c r="D438" t="n">
        <v>285.14</v>
      </c>
      <c r="E438" t="n">
        <v>282.38</v>
      </c>
      <c r="F438" t="n">
        <v>282.84</v>
      </c>
      <c r="G438" t="n">
        <v>81724024</v>
      </c>
      <c r="H438">
        <f>MAX(D438-E438,ABS(D438-F437),ABS(E438-F437))</f>
        <v/>
      </c>
      <c r="I438">
        <f>AVERAGE(F419:F438)</f>
        <v/>
      </c>
      <c r="J438">
        <f>STDEVP(F419:F438)</f>
        <v/>
      </c>
      <c r="K438">
        <f>AVERAGE(H419:H438)</f>
        <v/>
      </c>
      <c r="L438">
        <f>I438+2.0*J438</f>
        <v/>
      </c>
      <c r="M438">
        <f>I438-2.0*J438</f>
        <v/>
      </c>
      <c r="N438">
        <f>I438+1.5*K438</f>
        <v/>
      </c>
      <c r="O438">
        <f>I438-1.5*K438</f>
        <v/>
      </c>
      <c r="P438">
        <f>AND(L438&lt;N438,M438&gt;O438)</f>
        <v/>
      </c>
      <c r="Q438">
        <f>MAX(D419:D438)</f>
        <v/>
      </c>
      <c r="R438">
        <f>MIN(E419:E438)</f>
        <v/>
      </c>
      <c r="S438">
        <f>F438-((Q438+R438)/2+I438)/2</f>
        <v/>
      </c>
      <c r="T438">
        <f>FORECAST(A438,S419:S438,A419:A438)</f>
        <v/>
      </c>
    </row>
    <row r="439">
      <c r="A439" t="n">
        <v>437</v>
      </c>
      <c r="B439" s="2" t="n">
        <v>43370</v>
      </c>
      <c r="C439" t="n">
        <v>283.36</v>
      </c>
      <c r="D439" t="n">
        <v>284.82</v>
      </c>
      <c r="E439" t="n">
        <v>283.06</v>
      </c>
      <c r="F439" t="n">
        <v>283.63</v>
      </c>
      <c r="G439" t="n">
        <v>60723896</v>
      </c>
      <c r="H439">
        <f>MAX(D439-E439,ABS(D439-F438),ABS(E439-F438))</f>
        <v/>
      </c>
      <c r="I439">
        <f>AVERAGE(F420:F439)</f>
        <v/>
      </c>
      <c r="J439">
        <f>STDEVP(F420:F439)</f>
        <v/>
      </c>
      <c r="K439">
        <f>AVERAGE(H420:H439)</f>
        <v/>
      </c>
      <c r="L439">
        <f>I439+2.0*J439</f>
        <v/>
      </c>
      <c r="M439">
        <f>I439-2.0*J439</f>
        <v/>
      </c>
      <c r="N439">
        <f>I439+1.5*K439</f>
        <v/>
      </c>
      <c r="O439">
        <f>I439-1.5*K439</f>
        <v/>
      </c>
      <c r="P439">
        <f>AND(L439&lt;N439,M439&gt;O439)</f>
        <v/>
      </c>
      <c r="Q439">
        <f>MAX(D420:D439)</f>
        <v/>
      </c>
      <c r="R439">
        <f>MIN(E420:E439)</f>
        <v/>
      </c>
      <c r="S439">
        <f>F439-((Q439+R439)/2+I439)/2</f>
        <v/>
      </c>
      <c r="T439">
        <f>FORECAST(A439,S420:S439,A420:A439)</f>
        <v/>
      </c>
    </row>
    <row r="440">
      <c r="A440" t="n">
        <v>438</v>
      </c>
      <c r="B440" s="2" t="n">
        <v>43371</v>
      </c>
      <c r="C440" t="n">
        <v>282.95</v>
      </c>
      <c r="D440" t="n">
        <v>284.21</v>
      </c>
      <c r="E440" t="n">
        <v>282.91</v>
      </c>
      <c r="F440" t="n">
        <v>283.66</v>
      </c>
      <c r="G440" t="n">
        <v>71835632</v>
      </c>
      <c r="H440">
        <f>MAX(D440-E440,ABS(D440-F439),ABS(E440-F439))</f>
        <v/>
      </c>
      <c r="I440">
        <f>AVERAGE(F421:F440)</f>
        <v/>
      </c>
      <c r="J440">
        <f>STDEVP(F421:F440)</f>
        <v/>
      </c>
      <c r="K440">
        <f>AVERAGE(H421:H440)</f>
        <v/>
      </c>
      <c r="L440">
        <f>I440+2.0*J440</f>
        <v/>
      </c>
      <c r="M440">
        <f>I440-2.0*J440</f>
        <v/>
      </c>
      <c r="N440">
        <f>I440+1.5*K440</f>
        <v/>
      </c>
      <c r="O440">
        <f>I440-1.5*K440</f>
        <v/>
      </c>
      <c r="P440">
        <f>AND(L440&lt;N440,M440&gt;O440)</f>
        <v/>
      </c>
      <c r="Q440">
        <f>MAX(D421:D440)</f>
        <v/>
      </c>
      <c r="R440">
        <f>MIN(E421:E440)</f>
        <v/>
      </c>
      <c r="S440">
        <f>F440-((Q440+R440)/2+I440)/2</f>
        <v/>
      </c>
      <c r="T440">
        <f>FORECAST(A440,S421:S440,A421:A440)</f>
        <v/>
      </c>
    </row>
    <row r="441">
      <c r="A441" t="n">
        <v>439</v>
      </c>
      <c r="B441" s="2" t="n">
        <v>43374</v>
      </c>
      <c r="C441" t="n">
        <v>285.02</v>
      </c>
      <c r="D441" t="n">
        <v>285.82</v>
      </c>
      <c r="E441" t="n">
        <v>283.91</v>
      </c>
      <c r="F441" t="n">
        <v>284.65</v>
      </c>
      <c r="G441" t="n">
        <v>63623792</v>
      </c>
      <c r="H441">
        <f>MAX(D441-E441,ABS(D441-F440),ABS(E441-F440))</f>
        <v/>
      </c>
      <c r="I441">
        <f>AVERAGE(F422:F441)</f>
        <v/>
      </c>
      <c r="J441">
        <f>STDEVP(F422:F441)</f>
        <v/>
      </c>
      <c r="K441">
        <f>AVERAGE(H422:H441)</f>
        <v/>
      </c>
      <c r="L441">
        <f>I441+2.0*J441</f>
        <v/>
      </c>
      <c r="M441">
        <f>I441-2.0*J441</f>
        <v/>
      </c>
      <c r="N441">
        <f>I441+1.5*K441</f>
        <v/>
      </c>
      <c r="O441">
        <f>I441-1.5*K441</f>
        <v/>
      </c>
      <c r="P441">
        <f>AND(L441&lt;N441,M441&gt;O441)</f>
        <v/>
      </c>
      <c r="Q441">
        <f>MAX(D422:D441)</f>
        <v/>
      </c>
      <c r="R441">
        <f>MIN(E422:E441)</f>
        <v/>
      </c>
      <c r="S441">
        <f>F441-((Q441+R441)/2+I441)/2</f>
        <v/>
      </c>
      <c r="T441">
        <f>FORECAST(A441,S422:S441,A422:A441)</f>
        <v/>
      </c>
    </row>
    <row r="442">
      <c r="A442" t="n">
        <v>440</v>
      </c>
      <c r="B442" s="2" t="n">
        <v>43375</v>
      </c>
      <c r="C442" t="n">
        <v>284.48</v>
      </c>
      <c r="D442" t="n">
        <v>285.26</v>
      </c>
      <c r="E442" t="n">
        <v>284.07</v>
      </c>
      <c r="F442" t="n">
        <v>284.48</v>
      </c>
      <c r="G442" t="n">
        <v>48434264</v>
      </c>
      <c r="H442">
        <f>MAX(D442-E442,ABS(D442-F441),ABS(E442-F441))</f>
        <v/>
      </c>
      <c r="I442">
        <f>AVERAGE(F423:F442)</f>
        <v/>
      </c>
      <c r="J442">
        <f>STDEVP(F423:F442)</f>
        <v/>
      </c>
      <c r="K442">
        <f>AVERAGE(H423:H442)</f>
        <v/>
      </c>
      <c r="L442">
        <f>I442+2.0*J442</f>
        <v/>
      </c>
      <c r="M442">
        <f>I442-2.0*J442</f>
        <v/>
      </c>
      <c r="N442">
        <f>I442+1.5*K442</f>
        <v/>
      </c>
      <c r="O442">
        <f>I442-1.5*K442</f>
        <v/>
      </c>
      <c r="P442">
        <f>AND(L442&lt;N442,M442&gt;O442)</f>
        <v/>
      </c>
      <c r="Q442">
        <f>MAX(D423:D442)</f>
        <v/>
      </c>
      <c r="R442">
        <f>MIN(E423:E442)</f>
        <v/>
      </c>
      <c r="S442">
        <f>F442-((Q442+R442)/2+I442)/2</f>
        <v/>
      </c>
      <c r="T442">
        <f>FORECAST(A442,S423:S442,A423:A442)</f>
        <v/>
      </c>
    </row>
    <row r="443">
      <c r="A443" t="n">
        <v>441</v>
      </c>
      <c r="B443" s="2" t="n">
        <v>43376</v>
      </c>
      <c r="C443" t="n">
        <v>285.63</v>
      </c>
      <c r="D443" t="n">
        <v>286.09</v>
      </c>
      <c r="E443" t="n">
        <v>284.25</v>
      </c>
      <c r="F443" t="n">
        <v>284.64</v>
      </c>
      <c r="G443" t="n">
        <v>66304540</v>
      </c>
      <c r="H443">
        <f>MAX(D443-E443,ABS(D443-F442),ABS(E443-F442))</f>
        <v/>
      </c>
      <c r="I443">
        <f>AVERAGE(F424:F443)</f>
        <v/>
      </c>
      <c r="J443">
        <f>STDEVP(F424:F443)</f>
        <v/>
      </c>
      <c r="K443">
        <f>AVERAGE(H424:H443)</f>
        <v/>
      </c>
      <c r="L443">
        <f>I443+2.0*J443</f>
        <v/>
      </c>
      <c r="M443">
        <f>I443-2.0*J443</f>
        <v/>
      </c>
      <c r="N443">
        <f>I443+1.5*K443</f>
        <v/>
      </c>
      <c r="O443">
        <f>I443-1.5*K443</f>
        <v/>
      </c>
      <c r="P443">
        <f>AND(L443&lt;N443,M443&gt;O443)</f>
        <v/>
      </c>
      <c r="Q443">
        <f>MAX(D424:D443)</f>
        <v/>
      </c>
      <c r="R443">
        <f>MIN(E424:E443)</f>
        <v/>
      </c>
      <c r="S443">
        <f>F443-((Q443+R443)/2+I443)/2</f>
        <v/>
      </c>
      <c r="T443">
        <f>FORECAST(A443,S424:S443,A424:A443)</f>
        <v/>
      </c>
    </row>
    <row r="444">
      <c r="A444" t="n">
        <v>442</v>
      </c>
      <c r="B444" s="2" t="n">
        <v>43377</v>
      </c>
      <c r="C444" t="n">
        <v>284.11</v>
      </c>
      <c r="D444" t="n">
        <v>284.17</v>
      </c>
      <c r="E444" t="n">
        <v>280.68</v>
      </c>
      <c r="F444" t="n">
        <v>282.41</v>
      </c>
      <c r="G444" t="n">
        <v>114321768</v>
      </c>
      <c r="H444">
        <f>MAX(D444-E444,ABS(D444-F443),ABS(E444-F443))</f>
        <v/>
      </c>
      <c r="I444">
        <f>AVERAGE(F425:F444)</f>
        <v/>
      </c>
      <c r="J444">
        <f>STDEVP(F425:F444)</f>
        <v/>
      </c>
      <c r="K444">
        <f>AVERAGE(H425:H444)</f>
        <v/>
      </c>
      <c r="L444">
        <f>I444+2.0*J444</f>
        <v/>
      </c>
      <c r="M444">
        <f>I444-2.0*J444</f>
        <v/>
      </c>
      <c r="N444">
        <f>I444+1.5*K444</f>
        <v/>
      </c>
      <c r="O444">
        <f>I444-1.5*K444</f>
        <v/>
      </c>
      <c r="P444">
        <f>AND(L444&lt;N444,M444&gt;O444)</f>
        <v/>
      </c>
      <c r="Q444">
        <f>MAX(D425:D444)</f>
        <v/>
      </c>
      <c r="R444">
        <f>MIN(E425:E444)</f>
        <v/>
      </c>
      <c r="S444">
        <f>F444-((Q444+R444)/2+I444)/2</f>
        <v/>
      </c>
      <c r="T444">
        <f>FORECAST(A444,S425:S444,A425:A444)</f>
        <v/>
      </c>
    </row>
    <row r="445">
      <c r="A445" t="n">
        <v>443</v>
      </c>
      <c r="B445" s="2" t="n">
        <v>43378</v>
      </c>
      <c r="C445" t="n">
        <v>282.66</v>
      </c>
      <c r="D445" t="n">
        <v>283.22</v>
      </c>
      <c r="E445" t="n">
        <v>279.27</v>
      </c>
      <c r="F445" t="n">
        <v>280.83</v>
      </c>
      <c r="G445" t="n">
        <v>108588344</v>
      </c>
      <c r="H445">
        <f>MAX(D445-E445,ABS(D445-F444),ABS(E445-F444))</f>
        <v/>
      </c>
      <c r="I445">
        <f>AVERAGE(F426:F445)</f>
        <v/>
      </c>
      <c r="J445">
        <f>STDEVP(F426:F445)</f>
        <v/>
      </c>
      <c r="K445">
        <f>AVERAGE(H426:H445)</f>
        <v/>
      </c>
      <c r="L445">
        <f>I445+2.0*J445</f>
        <v/>
      </c>
      <c r="M445">
        <f>I445-2.0*J445</f>
        <v/>
      </c>
      <c r="N445">
        <f>I445+1.5*K445</f>
        <v/>
      </c>
      <c r="O445">
        <f>I445-1.5*K445</f>
        <v/>
      </c>
      <c r="P445">
        <f>AND(L445&lt;N445,M445&gt;O445)</f>
        <v/>
      </c>
      <c r="Q445">
        <f>MAX(D426:D445)</f>
        <v/>
      </c>
      <c r="R445">
        <f>MIN(E426:E445)</f>
        <v/>
      </c>
      <c r="S445">
        <f>F445-((Q445+R445)/2+I445)/2</f>
        <v/>
      </c>
      <c r="T445">
        <f>FORECAST(A445,S426:S445,A426:A445)</f>
        <v/>
      </c>
    </row>
    <row r="446">
      <c r="A446" t="n">
        <v>444</v>
      </c>
      <c r="B446" s="2" t="n">
        <v>43381</v>
      </c>
      <c r="C446" t="n">
        <v>280.08</v>
      </c>
      <c r="D446" t="n">
        <v>281.22</v>
      </c>
      <c r="E446" t="n">
        <v>278.57</v>
      </c>
      <c r="F446" t="n">
        <v>280.83</v>
      </c>
      <c r="G446" t="n">
        <v>89925664</v>
      </c>
      <c r="H446">
        <f>MAX(D446-E446,ABS(D446-F445),ABS(E446-F445))</f>
        <v/>
      </c>
      <c r="I446">
        <f>AVERAGE(F427:F446)</f>
        <v/>
      </c>
      <c r="J446">
        <f>STDEVP(F427:F446)</f>
        <v/>
      </c>
      <c r="K446">
        <f>AVERAGE(H427:H446)</f>
        <v/>
      </c>
      <c r="L446">
        <f>I446+2.0*J446</f>
        <v/>
      </c>
      <c r="M446">
        <f>I446-2.0*J446</f>
        <v/>
      </c>
      <c r="N446">
        <f>I446+1.5*K446</f>
        <v/>
      </c>
      <c r="O446">
        <f>I446-1.5*K446</f>
        <v/>
      </c>
      <c r="P446">
        <f>AND(L446&lt;N446,M446&gt;O446)</f>
        <v/>
      </c>
      <c r="Q446">
        <f>MAX(D427:D446)</f>
        <v/>
      </c>
      <c r="R446">
        <f>MIN(E427:E446)</f>
        <v/>
      </c>
      <c r="S446">
        <f>F446-((Q446+R446)/2+I446)/2</f>
        <v/>
      </c>
      <c r="T446">
        <f>FORECAST(A446,S427:S446,A427:A446)</f>
        <v/>
      </c>
    </row>
    <row r="447">
      <c r="A447" t="n">
        <v>445</v>
      </c>
      <c r="B447" s="2" t="n">
        <v>43382</v>
      </c>
      <c r="C447" t="n">
        <v>280.41</v>
      </c>
      <c r="D447" t="n">
        <v>281.85</v>
      </c>
      <c r="E447" t="n">
        <v>279.81</v>
      </c>
      <c r="F447" t="n">
        <v>280.42</v>
      </c>
      <c r="G447" t="n">
        <v>76188928</v>
      </c>
      <c r="H447">
        <f>MAX(D447-E447,ABS(D447-F446),ABS(E447-F446))</f>
        <v/>
      </c>
      <c r="I447">
        <f>AVERAGE(F428:F447)</f>
        <v/>
      </c>
      <c r="J447">
        <f>STDEVP(F428:F447)</f>
        <v/>
      </c>
      <c r="K447">
        <f>AVERAGE(H428:H447)</f>
        <v/>
      </c>
      <c r="L447">
        <f>I447+2.0*J447</f>
        <v/>
      </c>
      <c r="M447">
        <f>I447-2.0*J447</f>
        <v/>
      </c>
      <c r="N447">
        <f>I447+1.5*K447</f>
        <v/>
      </c>
      <c r="O447">
        <f>I447-1.5*K447</f>
        <v/>
      </c>
      <c r="P447">
        <f>AND(L447&lt;N447,M447&gt;O447)</f>
        <v/>
      </c>
      <c r="Q447">
        <f>MAX(D428:D447)</f>
        <v/>
      </c>
      <c r="R447">
        <f>MIN(E428:E447)</f>
        <v/>
      </c>
      <c r="S447">
        <f>F447-((Q447+R447)/2+I447)/2</f>
        <v/>
      </c>
      <c r="T447">
        <f>FORECAST(A447,S428:S447,A428:A447)</f>
        <v/>
      </c>
    </row>
    <row r="448">
      <c r="A448" t="n">
        <v>446</v>
      </c>
      <c r="B448" s="2" t="n">
        <v>43383</v>
      </c>
      <c r="C448" t="n">
        <v>279.87</v>
      </c>
      <c r="D448" t="n">
        <v>279.94</v>
      </c>
      <c r="E448" t="n">
        <v>271.13</v>
      </c>
      <c r="F448" t="n">
        <v>271.54</v>
      </c>
      <c r="G448" t="n">
        <v>220074688</v>
      </c>
      <c r="H448">
        <f>MAX(D448-E448,ABS(D448-F447),ABS(E448-F447))</f>
        <v/>
      </c>
      <c r="I448">
        <f>AVERAGE(F429:F448)</f>
        <v/>
      </c>
      <c r="J448">
        <f>STDEVP(F429:F448)</f>
        <v/>
      </c>
      <c r="K448">
        <f>AVERAGE(H429:H448)</f>
        <v/>
      </c>
      <c r="L448">
        <f>I448+2.0*J448</f>
        <v/>
      </c>
      <c r="M448">
        <f>I448-2.0*J448</f>
        <v/>
      </c>
      <c r="N448">
        <f>I448+1.5*K448</f>
        <v/>
      </c>
      <c r="O448">
        <f>I448-1.5*K448</f>
        <v/>
      </c>
      <c r="P448">
        <f>AND(L448&lt;N448,M448&gt;O448)</f>
        <v/>
      </c>
      <c r="Q448">
        <f>MAX(D429:D448)</f>
        <v/>
      </c>
      <c r="R448">
        <f>MIN(E429:E448)</f>
        <v/>
      </c>
      <c r="S448">
        <f>F448-((Q448+R448)/2+I448)/2</f>
        <v/>
      </c>
      <c r="T448">
        <f>FORECAST(A448,S429:S448,A429:A448)</f>
        <v/>
      </c>
    </row>
    <row r="449">
      <c r="A449" t="n">
        <v>447</v>
      </c>
      <c r="B449" s="2" t="n">
        <v>43384</v>
      </c>
      <c r="C449" t="n">
        <v>270.35</v>
      </c>
      <c r="D449" t="n">
        <v>272.13</v>
      </c>
      <c r="E449" t="n">
        <v>263.8</v>
      </c>
      <c r="F449" t="n">
        <v>265.56</v>
      </c>
      <c r="G449" t="n">
        <v>281680000</v>
      </c>
      <c r="H449">
        <f>MAX(D449-E449,ABS(D449-F448),ABS(E449-F448))</f>
        <v/>
      </c>
      <c r="I449">
        <f>AVERAGE(F430:F449)</f>
        <v/>
      </c>
      <c r="J449">
        <f>STDEVP(F430:F449)</f>
        <v/>
      </c>
      <c r="K449">
        <f>AVERAGE(H430:H449)</f>
        <v/>
      </c>
      <c r="L449">
        <f>I449+2.0*J449</f>
        <v/>
      </c>
      <c r="M449">
        <f>I449-2.0*J449</f>
        <v/>
      </c>
      <c r="N449">
        <f>I449+1.5*K449</f>
        <v/>
      </c>
      <c r="O449">
        <f>I449-1.5*K449</f>
        <v/>
      </c>
      <c r="P449">
        <f>AND(L449&lt;N449,M449&gt;O449)</f>
        <v/>
      </c>
      <c r="Q449">
        <f>MAX(D430:D449)</f>
        <v/>
      </c>
      <c r="R449">
        <f>MIN(E430:E449)</f>
        <v/>
      </c>
      <c r="S449">
        <f>F449-((Q449+R449)/2+I449)/2</f>
        <v/>
      </c>
      <c r="T449">
        <f>FORECAST(A449,S430:S449,A430:A449)</f>
        <v/>
      </c>
    </row>
    <row r="450">
      <c r="A450" t="n">
        <v>448</v>
      </c>
      <c r="B450" s="2" t="n">
        <v>43385</v>
      </c>
      <c r="C450" t="n">
        <v>270.05</v>
      </c>
      <c r="D450" t="n">
        <v>270.36</v>
      </c>
      <c r="E450" t="n">
        <v>265.76</v>
      </c>
      <c r="F450" t="n">
        <v>269.25</v>
      </c>
      <c r="G450" t="n">
        <v>187745152</v>
      </c>
      <c r="H450">
        <f>MAX(D450-E450,ABS(D450-F449),ABS(E450-F449))</f>
        <v/>
      </c>
      <c r="I450">
        <f>AVERAGE(F431:F450)</f>
        <v/>
      </c>
      <c r="J450">
        <f>STDEVP(F431:F450)</f>
        <v/>
      </c>
      <c r="K450">
        <f>AVERAGE(H431:H450)</f>
        <v/>
      </c>
      <c r="L450">
        <f>I450+2.0*J450</f>
        <v/>
      </c>
      <c r="M450">
        <f>I450-2.0*J450</f>
        <v/>
      </c>
      <c r="N450">
        <f>I450+1.5*K450</f>
        <v/>
      </c>
      <c r="O450">
        <f>I450-1.5*K450</f>
        <v/>
      </c>
      <c r="P450">
        <f>AND(L450&lt;N450,M450&gt;O450)</f>
        <v/>
      </c>
      <c r="Q450">
        <f>MAX(D431:D450)</f>
        <v/>
      </c>
      <c r="R450">
        <f>MIN(E431:E450)</f>
        <v/>
      </c>
      <c r="S450">
        <f>F450-((Q450+R450)/2+I450)/2</f>
        <v/>
      </c>
      <c r="T450">
        <f>FORECAST(A450,S431:S450,A431:A450)</f>
        <v/>
      </c>
    </row>
    <row r="451">
      <c r="A451" t="n">
        <v>449</v>
      </c>
      <c r="B451" s="2" t="n">
        <v>43388</v>
      </c>
      <c r="C451" t="n">
        <v>268.86</v>
      </c>
      <c r="D451" t="n">
        <v>270.31</v>
      </c>
      <c r="E451" t="n">
        <v>267.64</v>
      </c>
      <c r="F451" t="n">
        <v>267.74</v>
      </c>
      <c r="G451" t="n">
        <v>104808584</v>
      </c>
      <c r="H451">
        <f>MAX(D451-E451,ABS(D451-F450),ABS(E451-F450))</f>
        <v/>
      </c>
      <c r="I451">
        <f>AVERAGE(F432:F451)</f>
        <v/>
      </c>
      <c r="J451">
        <f>STDEVP(F432:F451)</f>
        <v/>
      </c>
      <c r="K451">
        <f>AVERAGE(H432:H451)</f>
        <v/>
      </c>
      <c r="L451">
        <f>I451+2.0*J451</f>
        <v/>
      </c>
      <c r="M451">
        <f>I451-2.0*J451</f>
        <v/>
      </c>
      <c r="N451">
        <f>I451+1.5*K451</f>
        <v/>
      </c>
      <c r="O451">
        <f>I451-1.5*K451</f>
        <v/>
      </c>
      <c r="P451">
        <f>AND(L451&lt;N451,M451&gt;O451)</f>
        <v/>
      </c>
      <c r="Q451">
        <f>MAX(D432:D451)</f>
        <v/>
      </c>
      <c r="R451">
        <f>MIN(E432:E451)</f>
        <v/>
      </c>
      <c r="S451">
        <f>F451-((Q451+R451)/2+I451)/2</f>
        <v/>
      </c>
      <c r="T451">
        <f>FORECAST(A451,S432:S451,A432:A451)</f>
        <v/>
      </c>
    </row>
    <row r="452">
      <c r="A452" t="n">
        <v>450</v>
      </c>
      <c r="B452" s="2" t="n">
        <v>43389</v>
      </c>
      <c r="C452" t="n">
        <v>269.88</v>
      </c>
      <c r="D452" t="n">
        <v>274</v>
      </c>
      <c r="E452" t="n">
        <v>269.37</v>
      </c>
      <c r="F452" t="n">
        <v>273.59</v>
      </c>
      <c r="G452" t="n">
        <v>121198672</v>
      </c>
      <c r="H452">
        <f>MAX(D452-E452,ABS(D452-F451),ABS(E452-F451))</f>
        <v/>
      </c>
      <c r="I452">
        <f>AVERAGE(F433:F452)</f>
        <v/>
      </c>
      <c r="J452">
        <f>STDEVP(F433:F452)</f>
        <v/>
      </c>
      <c r="K452">
        <f>AVERAGE(H433:H452)</f>
        <v/>
      </c>
      <c r="L452">
        <f>I452+2.0*J452</f>
        <v/>
      </c>
      <c r="M452">
        <f>I452-2.0*J452</f>
        <v/>
      </c>
      <c r="N452">
        <f>I452+1.5*K452</f>
        <v/>
      </c>
      <c r="O452">
        <f>I452-1.5*K452</f>
        <v/>
      </c>
      <c r="P452">
        <f>AND(L452&lt;N452,M452&gt;O452)</f>
        <v/>
      </c>
      <c r="Q452">
        <f>MAX(D433:D452)</f>
        <v/>
      </c>
      <c r="R452">
        <f>MIN(E433:E452)</f>
        <v/>
      </c>
      <c r="S452">
        <f>F452-((Q452+R452)/2+I452)/2</f>
        <v/>
      </c>
      <c r="T452">
        <f>FORECAST(A452,S433:S452,A433:A452)</f>
        <v/>
      </c>
    </row>
    <row r="453">
      <c r="A453" t="n">
        <v>451</v>
      </c>
      <c r="B453" s="2" t="n">
        <v>43390</v>
      </c>
      <c r="C453" t="n">
        <v>273.63</v>
      </c>
      <c r="D453" t="n">
        <v>274.32</v>
      </c>
      <c r="E453" t="n">
        <v>270.82</v>
      </c>
      <c r="F453" t="n">
        <v>273.64</v>
      </c>
      <c r="G453" t="n">
        <v>113378952</v>
      </c>
      <c r="H453">
        <f>MAX(D453-E453,ABS(D453-F452),ABS(E453-F452))</f>
        <v/>
      </c>
      <c r="I453">
        <f>AVERAGE(F434:F453)</f>
        <v/>
      </c>
      <c r="J453">
        <f>STDEVP(F434:F453)</f>
        <v/>
      </c>
      <c r="K453">
        <f>AVERAGE(H434:H453)</f>
        <v/>
      </c>
      <c r="L453">
        <f>I453+2.0*J453</f>
        <v/>
      </c>
      <c r="M453">
        <f>I453-2.0*J453</f>
        <v/>
      </c>
      <c r="N453">
        <f>I453+1.5*K453</f>
        <v/>
      </c>
      <c r="O453">
        <f>I453-1.5*K453</f>
        <v/>
      </c>
      <c r="P453">
        <f>AND(L453&lt;N453,M453&gt;O453)</f>
        <v/>
      </c>
      <c r="Q453">
        <f>MAX(D434:D453)</f>
        <v/>
      </c>
      <c r="R453">
        <f>MIN(E434:E453)</f>
        <v/>
      </c>
      <c r="S453">
        <f>F453-((Q453+R453)/2+I453)/2</f>
        <v/>
      </c>
      <c r="T453">
        <f>FORECAST(A453,S434:S453,A434:A453)</f>
        <v/>
      </c>
    </row>
    <row r="454">
      <c r="A454" t="n">
        <v>452</v>
      </c>
      <c r="B454" s="2" t="n">
        <v>43391</v>
      </c>
      <c r="C454" t="n">
        <v>272.62</v>
      </c>
      <c r="D454" t="n">
        <v>273.27</v>
      </c>
      <c r="E454" t="n">
        <v>268.29</v>
      </c>
      <c r="F454" t="n">
        <v>269.69</v>
      </c>
      <c r="G454" t="n">
        <v>137906032</v>
      </c>
      <c r="H454">
        <f>MAX(D454-E454,ABS(D454-F453),ABS(E454-F453))</f>
        <v/>
      </c>
      <c r="I454">
        <f>AVERAGE(F435:F454)</f>
        <v/>
      </c>
      <c r="J454">
        <f>STDEVP(F435:F454)</f>
        <v/>
      </c>
      <c r="K454">
        <f>AVERAGE(H435:H454)</f>
        <v/>
      </c>
      <c r="L454">
        <f>I454+2.0*J454</f>
        <v/>
      </c>
      <c r="M454">
        <f>I454-2.0*J454</f>
        <v/>
      </c>
      <c r="N454">
        <f>I454+1.5*K454</f>
        <v/>
      </c>
      <c r="O454">
        <f>I454-1.5*K454</f>
        <v/>
      </c>
      <c r="P454">
        <f>AND(L454&lt;N454,M454&gt;O454)</f>
        <v/>
      </c>
      <c r="Q454">
        <f>MAX(D435:D454)</f>
        <v/>
      </c>
      <c r="R454">
        <f>MIN(E435:E454)</f>
        <v/>
      </c>
      <c r="S454">
        <f>F454-((Q454+R454)/2+I454)/2</f>
        <v/>
      </c>
      <c r="T454">
        <f>FORECAST(A454,S435:S454,A435:A454)</f>
        <v/>
      </c>
    </row>
    <row r="455">
      <c r="A455" t="n">
        <v>453</v>
      </c>
      <c r="B455" s="2" t="n">
        <v>43392</v>
      </c>
      <c r="C455" t="n">
        <v>270.4</v>
      </c>
      <c r="D455" t="n">
        <v>272.52</v>
      </c>
      <c r="E455" t="n">
        <v>268.78</v>
      </c>
      <c r="F455" t="n">
        <v>269.54</v>
      </c>
      <c r="G455" t="n">
        <v>143383136</v>
      </c>
      <c r="H455">
        <f>MAX(D455-E455,ABS(D455-F454),ABS(E455-F454))</f>
        <v/>
      </c>
      <c r="I455">
        <f>AVERAGE(F436:F455)</f>
        <v/>
      </c>
      <c r="J455">
        <f>STDEVP(F436:F455)</f>
        <v/>
      </c>
      <c r="K455">
        <f>AVERAGE(H436:H455)</f>
        <v/>
      </c>
      <c r="L455">
        <f>I455+2.0*J455</f>
        <v/>
      </c>
      <c r="M455">
        <f>I455-2.0*J455</f>
        <v/>
      </c>
      <c r="N455">
        <f>I455+1.5*K455</f>
        <v/>
      </c>
      <c r="O455">
        <f>I455-1.5*K455</f>
        <v/>
      </c>
      <c r="P455">
        <f>AND(L455&lt;N455,M455&gt;O455)</f>
        <v/>
      </c>
      <c r="Q455">
        <f>MAX(D436:D455)</f>
        <v/>
      </c>
      <c r="R455">
        <f>MIN(E436:E455)</f>
        <v/>
      </c>
      <c r="S455">
        <f>F455-((Q455+R455)/2+I455)/2</f>
        <v/>
      </c>
      <c r="T455">
        <f>FORECAST(A455,S436:S455,A436:A455)</f>
        <v/>
      </c>
    </row>
    <row r="456">
      <c r="A456" t="n">
        <v>454</v>
      </c>
      <c r="B456" s="2" t="n">
        <v>43395</v>
      </c>
      <c r="C456" t="n">
        <v>270.27</v>
      </c>
      <c r="D456" t="n">
        <v>270.63</v>
      </c>
      <c r="E456" t="n">
        <v>267.75</v>
      </c>
      <c r="F456" t="n">
        <v>268.33</v>
      </c>
      <c r="G456" t="n">
        <v>84466760</v>
      </c>
      <c r="H456">
        <f>MAX(D456-E456,ABS(D456-F455),ABS(E456-F455))</f>
        <v/>
      </c>
      <c r="I456">
        <f>AVERAGE(F437:F456)</f>
        <v/>
      </c>
      <c r="J456">
        <f>STDEVP(F437:F456)</f>
        <v/>
      </c>
      <c r="K456">
        <f>AVERAGE(H437:H456)</f>
        <v/>
      </c>
      <c r="L456">
        <f>I456+2.0*J456</f>
        <v/>
      </c>
      <c r="M456">
        <f>I456-2.0*J456</f>
        <v/>
      </c>
      <c r="N456">
        <f>I456+1.5*K456</f>
        <v/>
      </c>
      <c r="O456">
        <f>I456-1.5*K456</f>
        <v/>
      </c>
      <c r="P456">
        <f>AND(L456&lt;N456,M456&gt;O456)</f>
        <v/>
      </c>
      <c r="Q456">
        <f>MAX(D437:D456)</f>
        <v/>
      </c>
      <c r="R456">
        <f>MIN(E437:E456)</f>
        <v/>
      </c>
      <c r="S456">
        <f>F456-((Q456+R456)/2+I456)/2</f>
        <v/>
      </c>
      <c r="T456">
        <f>FORECAST(A456,S437:S456,A437:A456)</f>
        <v/>
      </c>
    </row>
    <row r="457">
      <c r="A457" t="n">
        <v>455</v>
      </c>
      <c r="B457" s="2" t="n">
        <v>43396</v>
      </c>
      <c r="C457" t="n">
        <v>264.37</v>
      </c>
      <c r="D457" t="n">
        <v>268.2</v>
      </c>
      <c r="E457" t="n">
        <v>262.09</v>
      </c>
      <c r="F457" t="n">
        <v>266.97</v>
      </c>
      <c r="G457" t="n">
        <v>149994752</v>
      </c>
      <c r="H457">
        <f>MAX(D457-E457,ABS(D457-F456),ABS(E457-F456))</f>
        <v/>
      </c>
      <c r="I457">
        <f>AVERAGE(F438:F457)</f>
        <v/>
      </c>
      <c r="J457">
        <f>STDEVP(F438:F457)</f>
        <v/>
      </c>
      <c r="K457">
        <f>AVERAGE(H438:H457)</f>
        <v/>
      </c>
      <c r="L457">
        <f>I457+2.0*J457</f>
        <v/>
      </c>
      <c r="M457">
        <f>I457-2.0*J457</f>
        <v/>
      </c>
      <c r="N457">
        <f>I457+1.5*K457</f>
        <v/>
      </c>
      <c r="O457">
        <f>I457-1.5*K457</f>
        <v/>
      </c>
      <c r="P457">
        <f>AND(L457&lt;N457,M457&gt;O457)</f>
        <v/>
      </c>
      <c r="Q457">
        <f>MAX(D438:D457)</f>
        <v/>
      </c>
      <c r="R457">
        <f>MIN(E438:E457)</f>
        <v/>
      </c>
      <c r="S457">
        <f>F457-((Q457+R457)/2+I457)/2</f>
        <v/>
      </c>
      <c r="T457">
        <f>FORECAST(A457,S438:S457,A438:A457)</f>
        <v/>
      </c>
    </row>
    <row r="458">
      <c r="A458" t="n">
        <v>456</v>
      </c>
      <c r="B458" s="2" t="n">
        <v>43397</v>
      </c>
      <c r="C458" t="n">
        <v>266.69</v>
      </c>
      <c r="D458" t="n">
        <v>267.11</v>
      </c>
      <c r="E458" t="n">
        <v>258.27</v>
      </c>
      <c r="F458" t="n">
        <v>258.88</v>
      </c>
      <c r="G458" t="n">
        <v>182231472</v>
      </c>
      <c r="H458">
        <f>MAX(D458-E458,ABS(D458-F457),ABS(E458-F457))</f>
        <v/>
      </c>
      <c r="I458">
        <f>AVERAGE(F439:F458)</f>
        <v/>
      </c>
      <c r="J458">
        <f>STDEVP(F439:F458)</f>
        <v/>
      </c>
      <c r="K458">
        <f>AVERAGE(H439:H458)</f>
        <v/>
      </c>
      <c r="L458">
        <f>I458+2.0*J458</f>
        <v/>
      </c>
      <c r="M458">
        <f>I458-2.0*J458</f>
        <v/>
      </c>
      <c r="N458">
        <f>I458+1.5*K458</f>
        <v/>
      </c>
      <c r="O458">
        <f>I458-1.5*K458</f>
        <v/>
      </c>
      <c r="P458">
        <f>AND(L458&lt;N458,M458&gt;O458)</f>
        <v/>
      </c>
      <c r="Q458">
        <f>MAX(D439:D458)</f>
        <v/>
      </c>
      <c r="R458">
        <f>MIN(E439:E458)</f>
        <v/>
      </c>
      <c r="S458">
        <f>F458-((Q458+R458)/2+I458)/2</f>
        <v/>
      </c>
      <c r="T458">
        <f>FORECAST(A458,S439:S458,A439:A458)</f>
        <v/>
      </c>
    </row>
    <row r="459">
      <c r="A459" t="n">
        <v>457</v>
      </c>
      <c r="B459" s="2" t="n">
        <v>43398</v>
      </c>
      <c r="C459" t="n">
        <v>260.89</v>
      </c>
      <c r="D459" t="n">
        <v>265.21</v>
      </c>
      <c r="E459" t="n">
        <v>259.77</v>
      </c>
      <c r="F459" t="n">
        <v>263.52</v>
      </c>
      <c r="G459" t="n">
        <v>141497248</v>
      </c>
      <c r="H459">
        <f>MAX(D459-E459,ABS(D459-F458),ABS(E459-F458))</f>
        <v/>
      </c>
      <c r="I459">
        <f>AVERAGE(F440:F459)</f>
        <v/>
      </c>
      <c r="J459">
        <f>STDEVP(F440:F459)</f>
        <v/>
      </c>
      <c r="K459">
        <f>AVERAGE(H440:H459)</f>
        <v/>
      </c>
      <c r="L459">
        <f>I459+2.0*J459</f>
        <v/>
      </c>
      <c r="M459">
        <f>I459-2.0*J459</f>
        <v/>
      </c>
      <c r="N459">
        <f>I459+1.5*K459</f>
        <v/>
      </c>
      <c r="O459">
        <f>I459-1.5*K459</f>
        <v/>
      </c>
      <c r="P459">
        <f>AND(L459&lt;N459,M459&gt;O459)</f>
        <v/>
      </c>
      <c r="Q459">
        <f>MAX(D440:D459)</f>
        <v/>
      </c>
      <c r="R459">
        <f>MIN(E440:E459)</f>
        <v/>
      </c>
      <c r="S459">
        <f>F459-((Q459+R459)/2+I459)/2</f>
        <v/>
      </c>
      <c r="T459">
        <f>FORECAST(A459,S440:S459,A440:A459)</f>
        <v/>
      </c>
    </row>
    <row r="460">
      <c r="A460" t="n">
        <v>458</v>
      </c>
      <c r="B460" s="2" t="n">
        <v>43399</v>
      </c>
      <c r="C460" t="n">
        <v>259.46</v>
      </c>
      <c r="D460" t="n">
        <v>264.42</v>
      </c>
      <c r="E460" t="n">
        <v>255.92</v>
      </c>
      <c r="F460" t="n">
        <v>258.89</v>
      </c>
      <c r="G460" t="n">
        <v>206590848</v>
      </c>
      <c r="H460">
        <f>MAX(D460-E460,ABS(D460-F459),ABS(E460-F459))</f>
        <v/>
      </c>
      <c r="I460">
        <f>AVERAGE(F441:F460)</f>
        <v/>
      </c>
      <c r="J460">
        <f>STDEVP(F441:F460)</f>
        <v/>
      </c>
      <c r="K460">
        <f>AVERAGE(H441:H460)</f>
        <v/>
      </c>
      <c r="L460">
        <f>I460+2.0*J460</f>
        <v/>
      </c>
      <c r="M460">
        <f>I460-2.0*J460</f>
        <v/>
      </c>
      <c r="N460">
        <f>I460+1.5*K460</f>
        <v/>
      </c>
      <c r="O460">
        <f>I460-1.5*K460</f>
        <v/>
      </c>
      <c r="P460">
        <f>AND(L460&lt;N460,M460&gt;O460)</f>
        <v/>
      </c>
      <c r="Q460">
        <f>MAX(D441:D460)</f>
        <v/>
      </c>
      <c r="R460">
        <f>MIN(E441:E460)</f>
        <v/>
      </c>
      <c r="S460">
        <f>F460-((Q460+R460)/2+I460)/2</f>
        <v/>
      </c>
      <c r="T460">
        <f>FORECAST(A460,S441:S460,A441:A460)</f>
        <v/>
      </c>
    </row>
    <row r="461">
      <c r="A461" t="n">
        <v>459</v>
      </c>
      <c r="B461" s="2" t="n">
        <v>43402</v>
      </c>
      <c r="C461" t="n">
        <v>262.27</v>
      </c>
      <c r="D461" t="n">
        <v>263.69</v>
      </c>
      <c r="E461" t="n">
        <v>253.54</v>
      </c>
      <c r="F461" t="n">
        <v>257.45</v>
      </c>
      <c r="G461" t="n">
        <v>164749392</v>
      </c>
      <c r="H461">
        <f>MAX(D461-E461,ABS(D461-F460),ABS(E461-F460))</f>
        <v/>
      </c>
      <c r="I461">
        <f>AVERAGE(F442:F461)</f>
        <v/>
      </c>
      <c r="J461">
        <f>STDEVP(F442:F461)</f>
        <v/>
      </c>
      <c r="K461">
        <f>AVERAGE(H442:H461)</f>
        <v/>
      </c>
      <c r="L461">
        <f>I461+2.0*J461</f>
        <v/>
      </c>
      <c r="M461">
        <f>I461-2.0*J461</f>
        <v/>
      </c>
      <c r="N461">
        <f>I461+1.5*K461</f>
        <v/>
      </c>
      <c r="O461">
        <f>I461-1.5*K461</f>
        <v/>
      </c>
      <c r="P461">
        <f>AND(L461&lt;N461,M461&gt;O461)</f>
        <v/>
      </c>
      <c r="Q461">
        <f>MAX(D442:D461)</f>
        <v/>
      </c>
      <c r="R461">
        <f>MIN(E442:E461)</f>
        <v/>
      </c>
      <c r="S461">
        <f>F461-((Q461+R461)/2+I461)/2</f>
        <v/>
      </c>
      <c r="T461">
        <f>FORECAST(A461,S442:S461,A442:A461)</f>
        <v/>
      </c>
    </row>
    <row r="462">
      <c r="A462" t="n">
        <v>460</v>
      </c>
      <c r="B462" s="2" t="n">
        <v>43403</v>
      </c>
      <c r="C462" t="n">
        <v>257.27</v>
      </c>
      <c r="D462" t="n">
        <v>261.61</v>
      </c>
      <c r="E462" t="n">
        <v>256.73</v>
      </c>
      <c r="F462" t="n">
        <v>261.27</v>
      </c>
      <c r="G462" t="n">
        <v>161025888</v>
      </c>
      <c r="H462">
        <f>MAX(D462-E462,ABS(D462-F461),ABS(E462-F461))</f>
        <v/>
      </c>
      <c r="I462">
        <f>AVERAGE(F443:F462)</f>
        <v/>
      </c>
      <c r="J462">
        <f>STDEVP(F443:F462)</f>
        <v/>
      </c>
      <c r="K462">
        <f>AVERAGE(H443:H462)</f>
        <v/>
      </c>
      <c r="L462">
        <f>I462+2.0*J462</f>
        <v/>
      </c>
      <c r="M462">
        <f>I462-2.0*J462</f>
        <v/>
      </c>
      <c r="N462">
        <f>I462+1.5*K462</f>
        <v/>
      </c>
      <c r="O462">
        <f>I462-1.5*K462</f>
        <v/>
      </c>
      <c r="P462">
        <f>AND(L462&lt;N462,M462&gt;O462)</f>
        <v/>
      </c>
      <c r="Q462">
        <f>MAX(D443:D462)</f>
        <v/>
      </c>
      <c r="R462">
        <f>MIN(E443:E462)</f>
        <v/>
      </c>
      <c r="S462">
        <f>F462-((Q462+R462)/2+I462)/2</f>
        <v/>
      </c>
      <c r="T462">
        <f>FORECAST(A462,S443:S462,A443:A462)</f>
        <v/>
      </c>
    </row>
    <row r="463">
      <c r="A463" t="n">
        <v>461</v>
      </c>
      <c r="B463" s="2" t="n">
        <v>43404</v>
      </c>
      <c r="C463" t="n">
        <v>264.08</v>
      </c>
      <c r="D463" t="n">
        <v>266.6</v>
      </c>
      <c r="E463" t="n">
        <v>263.56</v>
      </c>
      <c r="F463" t="n">
        <v>264.06</v>
      </c>
      <c r="G463" t="n">
        <v>131489024</v>
      </c>
      <c r="H463">
        <f>MAX(D463-E463,ABS(D463-F462),ABS(E463-F462))</f>
        <v/>
      </c>
      <c r="I463">
        <f>AVERAGE(F444:F463)</f>
        <v/>
      </c>
      <c r="J463">
        <f>STDEVP(F444:F463)</f>
        <v/>
      </c>
      <c r="K463">
        <f>AVERAGE(H444:H463)</f>
        <v/>
      </c>
      <c r="L463">
        <f>I463+2.0*J463</f>
        <v/>
      </c>
      <c r="M463">
        <f>I463-2.0*J463</f>
        <v/>
      </c>
      <c r="N463">
        <f>I463+1.5*K463</f>
        <v/>
      </c>
      <c r="O463">
        <f>I463-1.5*K463</f>
        <v/>
      </c>
      <c r="P463">
        <f>AND(L463&lt;N463,M463&gt;O463)</f>
        <v/>
      </c>
      <c r="Q463">
        <f>MAX(D444:D463)</f>
        <v/>
      </c>
      <c r="R463">
        <f>MIN(E444:E463)</f>
        <v/>
      </c>
      <c r="S463">
        <f>F463-((Q463+R463)/2+I463)/2</f>
        <v/>
      </c>
      <c r="T463">
        <f>FORECAST(A463,S444:S463,A444:A463)</f>
        <v/>
      </c>
    </row>
    <row r="464">
      <c r="A464" t="n">
        <v>462</v>
      </c>
      <c r="B464" s="2" t="n">
        <v>43405</v>
      </c>
      <c r="C464" t="n">
        <v>265.01</v>
      </c>
      <c r="D464" t="n">
        <v>267.08</v>
      </c>
      <c r="E464" t="n">
        <v>263.81</v>
      </c>
      <c r="F464" t="n">
        <v>266.87</v>
      </c>
      <c r="G464" t="n">
        <v>101971008</v>
      </c>
      <c r="H464">
        <f>MAX(D464-E464,ABS(D464-F463),ABS(E464-F463))</f>
        <v/>
      </c>
      <c r="I464">
        <f>AVERAGE(F445:F464)</f>
        <v/>
      </c>
      <c r="J464">
        <f>STDEVP(F445:F464)</f>
        <v/>
      </c>
      <c r="K464">
        <f>AVERAGE(H445:H464)</f>
        <v/>
      </c>
      <c r="L464">
        <f>I464+2.0*J464</f>
        <v/>
      </c>
      <c r="M464">
        <f>I464-2.0*J464</f>
        <v/>
      </c>
      <c r="N464">
        <f>I464+1.5*K464</f>
        <v/>
      </c>
      <c r="O464">
        <f>I464-1.5*K464</f>
        <v/>
      </c>
      <c r="P464">
        <f>AND(L464&lt;N464,M464&gt;O464)</f>
        <v/>
      </c>
      <c r="Q464">
        <f>MAX(D445:D464)</f>
        <v/>
      </c>
      <c r="R464">
        <f>MIN(E445:E464)</f>
        <v/>
      </c>
      <c r="S464">
        <f>F464-((Q464+R464)/2+I464)/2</f>
        <v/>
      </c>
      <c r="T464">
        <f>FORECAST(A464,S445:S464,A445:A464)</f>
        <v/>
      </c>
    </row>
    <row r="465">
      <c r="A465" t="n">
        <v>463</v>
      </c>
      <c r="B465" s="2" t="n">
        <v>43406</v>
      </c>
      <c r="C465" t="n">
        <v>268.08</v>
      </c>
      <c r="D465" t="n">
        <v>268.55</v>
      </c>
      <c r="E465" t="n">
        <v>263.04</v>
      </c>
      <c r="F465" t="n">
        <v>265.29</v>
      </c>
      <c r="G465" t="n">
        <v>125685896</v>
      </c>
      <c r="H465">
        <f>MAX(D465-E465,ABS(D465-F464),ABS(E465-F464))</f>
        <v/>
      </c>
      <c r="I465">
        <f>AVERAGE(F446:F465)</f>
        <v/>
      </c>
      <c r="J465">
        <f>STDEVP(F446:F465)</f>
        <v/>
      </c>
      <c r="K465">
        <f>AVERAGE(H446:H465)</f>
        <v/>
      </c>
      <c r="L465">
        <f>I465+2.0*J465</f>
        <v/>
      </c>
      <c r="M465">
        <f>I465-2.0*J465</f>
        <v/>
      </c>
      <c r="N465">
        <f>I465+1.5*K465</f>
        <v/>
      </c>
      <c r="O465">
        <f>I465-1.5*K465</f>
        <v/>
      </c>
      <c r="P465">
        <f>AND(L465&lt;N465,M465&gt;O465)</f>
        <v/>
      </c>
      <c r="Q465">
        <f>MAX(D446:D465)</f>
        <v/>
      </c>
      <c r="R465">
        <f>MIN(E446:E465)</f>
        <v/>
      </c>
      <c r="S465">
        <f>F465-((Q465+R465)/2+I465)/2</f>
        <v/>
      </c>
      <c r="T465">
        <f>FORECAST(A465,S446:S465,A446:A465)</f>
        <v/>
      </c>
    </row>
    <row r="466">
      <c r="A466" t="n">
        <v>464</v>
      </c>
      <c r="B466" s="2" t="n">
        <v>43409</v>
      </c>
      <c r="C466" t="n">
        <v>265.82</v>
      </c>
      <c r="D466" t="n">
        <v>267.36</v>
      </c>
      <c r="E466" t="n">
        <v>264.76</v>
      </c>
      <c r="F466" t="n">
        <v>266.75</v>
      </c>
      <c r="G466" t="n">
        <v>67255520</v>
      </c>
      <c r="H466">
        <f>MAX(D466-E466,ABS(D466-F465),ABS(E466-F465))</f>
        <v/>
      </c>
      <c r="I466">
        <f>AVERAGE(F447:F466)</f>
        <v/>
      </c>
      <c r="J466">
        <f>STDEVP(F447:F466)</f>
        <v/>
      </c>
      <c r="K466">
        <f>AVERAGE(H447:H466)</f>
        <v/>
      </c>
      <c r="L466">
        <f>I466+2.0*J466</f>
        <v/>
      </c>
      <c r="M466">
        <f>I466-2.0*J466</f>
        <v/>
      </c>
      <c r="N466">
        <f>I466+1.5*K466</f>
        <v/>
      </c>
      <c r="O466">
        <f>I466-1.5*K466</f>
        <v/>
      </c>
      <c r="P466">
        <f>AND(L466&lt;N466,M466&gt;O466)</f>
        <v/>
      </c>
      <c r="Q466">
        <f>MAX(D447:D466)</f>
        <v/>
      </c>
      <c r="R466">
        <f>MIN(E447:E466)</f>
        <v/>
      </c>
      <c r="S466">
        <f>F466-((Q466+R466)/2+I466)/2</f>
        <v/>
      </c>
      <c r="T466">
        <f>FORECAST(A466,S447:S466,A447:A466)</f>
        <v/>
      </c>
    </row>
    <row r="467">
      <c r="A467" t="n">
        <v>465</v>
      </c>
      <c r="B467" s="2" t="n">
        <v>43410</v>
      </c>
      <c r="C467" t="n">
        <v>266.68</v>
      </c>
      <c r="D467" t="n">
        <v>268.62</v>
      </c>
      <c r="E467" t="n">
        <v>266.62</v>
      </c>
      <c r="F467" t="n">
        <v>268.44</v>
      </c>
      <c r="G467" t="n">
        <v>61581152</v>
      </c>
      <c r="H467">
        <f>MAX(D467-E467,ABS(D467-F466),ABS(E467-F466))</f>
        <v/>
      </c>
      <c r="I467">
        <f>AVERAGE(F448:F467)</f>
        <v/>
      </c>
      <c r="J467">
        <f>STDEVP(F448:F467)</f>
        <v/>
      </c>
      <c r="K467">
        <f>AVERAGE(H448:H467)</f>
        <v/>
      </c>
      <c r="L467">
        <f>I467+2.0*J467</f>
        <v/>
      </c>
      <c r="M467">
        <f>I467-2.0*J467</f>
        <v/>
      </c>
      <c r="N467">
        <f>I467+1.5*K467</f>
        <v/>
      </c>
      <c r="O467">
        <f>I467-1.5*K467</f>
        <v/>
      </c>
      <c r="P467">
        <f>AND(L467&lt;N467,M467&gt;O467)</f>
        <v/>
      </c>
      <c r="Q467">
        <f>MAX(D448:D467)</f>
        <v/>
      </c>
      <c r="R467">
        <f>MIN(E448:E467)</f>
        <v/>
      </c>
      <c r="S467">
        <f>F467-((Q467+R467)/2+I467)/2</f>
        <v/>
      </c>
      <c r="T467">
        <f>FORECAST(A467,S448:S467,A448:A467)</f>
        <v/>
      </c>
    </row>
    <row r="468">
      <c r="A468" t="n">
        <v>466</v>
      </c>
      <c r="B468" s="2" t="n">
        <v>43411</v>
      </c>
      <c r="C468" t="n">
        <v>270.82</v>
      </c>
      <c r="D468" t="n">
        <v>274.27</v>
      </c>
      <c r="E468" t="n">
        <v>270.35</v>
      </c>
      <c r="F468" t="n">
        <v>274.19</v>
      </c>
      <c r="G468" t="n">
        <v>105309120</v>
      </c>
      <c r="H468">
        <f>MAX(D468-E468,ABS(D468-F467),ABS(E468-F467))</f>
        <v/>
      </c>
      <c r="I468">
        <f>AVERAGE(F449:F468)</f>
        <v/>
      </c>
      <c r="J468">
        <f>STDEVP(F449:F468)</f>
        <v/>
      </c>
      <c r="K468">
        <f>AVERAGE(H449:H468)</f>
        <v/>
      </c>
      <c r="L468">
        <f>I468+2.0*J468</f>
        <v/>
      </c>
      <c r="M468">
        <f>I468-2.0*J468</f>
        <v/>
      </c>
      <c r="N468">
        <f>I468+1.5*K468</f>
        <v/>
      </c>
      <c r="O468">
        <f>I468-1.5*K468</f>
        <v/>
      </c>
      <c r="P468">
        <f>AND(L468&lt;N468,M468&gt;O468)</f>
        <v/>
      </c>
      <c r="Q468">
        <f>MAX(D449:D468)</f>
        <v/>
      </c>
      <c r="R468">
        <f>MIN(E449:E468)</f>
        <v/>
      </c>
      <c r="S468">
        <f>F468-((Q468+R468)/2+I468)/2</f>
        <v/>
      </c>
      <c r="T468">
        <f>FORECAST(A468,S449:S468,A449:A468)</f>
        <v/>
      </c>
    </row>
    <row r="469">
      <c r="A469" t="n">
        <v>467</v>
      </c>
      <c r="B469" s="2" t="n">
        <v>43412</v>
      </c>
      <c r="C469" t="n">
        <v>273.31</v>
      </c>
      <c r="D469" t="n">
        <v>274.39</v>
      </c>
      <c r="E469" t="n">
        <v>272.44</v>
      </c>
      <c r="F469" t="n">
        <v>273.69</v>
      </c>
      <c r="G469" t="n">
        <v>67216992</v>
      </c>
      <c r="H469">
        <f>MAX(D469-E469,ABS(D469-F468),ABS(E469-F468))</f>
        <v/>
      </c>
      <c r="I469">
        <f>AVERAGE(F450:F469)</f>
        <v/>
      </c>
      <c r="J469">
        <f>STDEVP(F450:F469)</f>
        <v/>
      </c>
      <c r="K469">
        <f>AVERAGE(H450:H469)</f>
        <v/>
      </c>
      <c r="L469">
        <f>I469+2.0*J469</f>
        <v/>
      </c>
      <c r="M469">
        <f>I469-2.0*J469</f>
        <v/>
      </c>
      <c r="N469">
        <f>I469+1.5*K469</f>
        <v/>
      </c>
      <c r="O469">
        <f>I469-1.5*K469</f>
        <v/>
      </c>
      <c r="P469">
        <f>AND(L469&lt;N469,M469&gt;O469)</f>
        <v/>
      </c>
      <c r="Q469">
        <f>MAX(D450:D469)</f>
        <v/>
      </c>
      <c r="R469">
        <f>MIN(E450:E469)</f>
        <v/>
      </c>
      <c r="S469">
        <f>F469-((Q469+R469)/2+I469)/2</f>
        <v/>
      </c>
      <c r="T469">
        <f>FORECAST(A469,S450:S469,A450:A469)</f>
        <v/>
      </c>
    </row>
    <row r="470">
      <c r="A470" t="n">
        <v>468</v>
      </c>
      <c r="B470" s="2" t="n">
        <v>43413</v>
      </c>
      <c r="C470" t="n">
        <v>272.25</v>
      </c>
      <c r="D470" t="n">
        <v>272.46</v>
      </c>
      <c r="E470" t="n">
        <v>269.47</v>
      </c>
      <c r="F470" t="n">
        <v>271.02</v>
      </c>
      <c r="G470" t="n">
        <v>101271544</v>
      </c>
      <c r="H470">
        <f>MAX(D470-E470,ABS(D470-F469),ABS(E470-F469))</f>
        <v/>
      </c>
      <c r="I470">
        <f>AVERAGE(F451:F470)</f>
        <v/>
      </c>
      <c r="J470">
        <f>STDEVP(F451:F470)</f>
        <v/>
      </c>
      <c r="K470">
        <f>AVERAGE(H451:H470)</f>
        <v/>
      </c>
      <c r="L470">
        <f>I470+2.0*J470</f>
        <v/>
      </c>
      <c r="M470">
        <f>I470-2.0*J470</f>
        <v/>
      </c>
      <c r="N470">
        <f>I470+1.5*K470</f>
        <v/>
      </c>
      <c r="O470">
        <f>I470-1.5*K470</f>
        <v/>
      </c>
      <c r="P470">
        <f>AND(L470&lt;N470,M470&gt;O470)</f>
        <v/>
      </c>
      <c r="Q470">
        <f>MAX(D451:D470)</f>
        <v/>
      </c>
      <c r="R470">
        <f>MIN(E451:E470)</f>
        <v/>
      </c>
      <c r="S470">
        <f>F470-((Q470+R470)/2+I470)/2</f>
        <v/>
      </c>
      <c r="T470">
        <f>FORECAST(A470,S451:S470,A451:A470)</f>
        <v/>
      </c>
    </row>
    <row r="471">
      <c r="A471" t="n">
        <v>469</v>
      </c>
      <c r="B471" s="2" t="n">
        <v>43416</v>
      </c>
      <c r="C471" t="n">
        <v>270.46</v>
      </c>
      <c r="D471" t="n">
        <v>270.72</v>
      </c>
      <c r="E471" t="n">
        <v>265.39</v>
      </c>
      <c r="F471" t="n">
        <v>265.95</v>
      </c>
      <c r="G471" t="n">
        <v>102153984</v>
      </c>
      <c r="H471">
        <f>MAX(D471-E471,ABS(D471-F470),ABS(E471-F470))</f>
        <v/>
      </c>
      <c r="I471">
        <f>AVERAGE(F452:F471)</f>
        <v/>
      </c>
      <c r="J471">
        <f>STDEVP(F452:F471)</f>
        <v/>
      </c>
      <c r="K471">
        <f>AVERAGE(H452:H471)</f>
        <v/>
      </c>
      <c r="L471">
        <f>I471+2.0*J471</f>
        <v/>
      </c>
      <c r="M471">
        <f>I471-2.0*J471</f>
        <v/>
      </c>
      <c r="N471">
        <f>I471+1.5*K471</f>
        <v/>
      </c>
      <c r="O471">
        <f>I471-1.5*K471</f>
        <v/>
      </c>
      <c r="P471">
        <f>AND(L471&lt;N471,M471&gt;O471)</f>
        <v/>
      </c>
      <c r="Q471">
        <f>MAX(D452:D471)</f>
        <v/>
      </c>
      <c r="R471">
        <f>MIN(E452:E471)</f>
        <v/>
      </c>
      <c r="S471">
        <f>F471-((Q471+R471)/2+I471)/2</f>
        <v/>
      </c>
      <c r="T471">
        <f>FORECAST(A471,S452:S471,A452:A471)</f>
        <v/>
      </c>
    </row>
    <row r="472">
      <c r="A472" t="n">
        <v>470</v>
      </c>
      <c r="B472" s="2" t="n">
        <v>43417</v>
      </c>
      <c r="C472" t="n">
        <v>266.46</v>
      </c>
      <c r="D472" t="n">
        <v>268.64</v>
      </c>
      <c r="E472" t="n">
        <v>264.66</v>
      </c>
      <c r="F472" t="n">
        <v>265.45</v>
      </c>
      <c r="G472" t="n">
        <v>100619768</v>
      </c>
      <c r="H472">
        <f>MAX(D472-E472,ABS(D472-F471),ABS(E472-F471))</f>
        <v/>
      </c>
      <c r="I472">
        <f>AVERAGE(F453:F472)</f>
        <v/>
      </c>
      <c r="J472">
        <f>STDEVP(F453:F472)</f>
        <v/>
      </c>
      <c r="K472">
        <f>AVERAGE(H453:H472)</f>
        <v/>
      </c>
      <c r="L472">
        <f>I472+2.0*J472</f>
        <v/>
      </c>
      <c r="M472">
        <f>I472-2.0*J472</f>
        <v/>
      </c>
      <c r="N472">
        <f>I472+1.5*K472</f>
        <v/>
      </c>
      <c r="O472">
        <f>I472-1.5*K472</f>
        <v/>
      </c>
      <c r="P472">
        <f>AND(L472&lt;N472,M472&gt;O472)</f>
        <v/>
      </c>
      <c r="Q472">
        <f>MAX(D453:D472)</f>
        <v/>
      </c>
      <c r="R472">
        <f>MIN(E453:E472)</f>
        <v/>
      </c>
      <c r="S472">
        <f>F472-((Q472+R472)/2+I472)/2</f>
        <v/>
      </c>
      <c r="T472">
        <f>FORECAST(A472,S453:S472,A453:A472)</f>
        <v/>
      </c>
    </row>
    <row r="473">
      <c r="A473" t="n">
        <v>471</v>
      </c>
      <c r="B473" s="2" t="n">
        <v>43418</v>
      </c>
      <c r="C473" t="n">
        <v>267.5</v>
      </c>
      <c r="D473" t="n">
        <v>267.94</v>
      </c>
      <c r="E473" t="n">
        <v>261.93</v>
      </c>
      <c r="F473" t="n">
        <v>263.64</v>
      </c>
      <c r="G473" t="n">
        <v>128454960</v>
      </c>
      <c r="H473">
        <f>MAX(D473-E473,ABS(D473-F472),ABS(E473-F472))</f>
        <v/>
      </c>
      <c r="I473">
        <f>AVERAGE(F454:F473)</f>
        <v/>
      </c>
      <c r="J473">
        <f>STDEVP(F454:F473)</f>
        <v/>
      </c>
      <c r="K473">
        <f>AVERAGE(H454:H473)</f>
        <v/>
      </c>
      <c r="L473">
        <f>I473+2.0*J473</f>
        <v/>
      </c>
      <c r="M473">
        <f>I473-2.0*J473</f>
        <v/>
      </c>
      <c r="N473">
        <f>I473+1.5*K473</f>
        <v/>
      </c>
      <c r="O473">
        <f>I473-1.5*K473</f>
        <v/>
      </c>
      <c r="P473">
        <f>AND(L473&lt;N473,M473&gt;O473)</f>
        <v/>
      </c>
      <c r="Q473">
        <f>MAX(D454:D473)</f>
        <v/>
      </c>
      <c r="R473">
        <f>MIN(E454:E473)</f>
        <v/>
      </c>
      <c r="S473">
        <f>F473-((Q473+R473)/2+I473)/2</f>
        <v/>
      </c>
      <c r="T473">
        <f>FORECAST(A473,S454:S473,A454:A473)</f>
        <v/>
      </c>
    </row>
    <row r="474">
      <c r="A474" t="n">
        <v>472</v>
      </c>
      <c r="B474" s="2" t="n">
        <v>43419</v>
      </c>
      <c r="C474" t="n">
        <v>262.25</v>
      </c>
      <c r="D474" t="n">
        <v>266.9</v>
      </c>
      <c r="E474" t="n">
        <v>260.53</v>
      </c>
      <c r="F474" t="n">
        <v>266.39</v>
      </c>
      <c r="G474" t="n">
        <v>138463488</v>
      </c>
      <c r="H474">
        <f>MAX(D474-E474,ABS(D474-F473),ABS(E474-F473))</f>
        <v/>
      </c>
      <c r="I474">
        <f>AVERAGE(F455:F474)</f>
        <v/>
      </c>
      <c r="J474">
        <f>STDEVP(F455:F474)</f>
        <v/>
      </c>
      <c r="K474">
        <f>AVERAGE(H455:H474)</f>
        <v/>
      </c>
      <c r="L474">
        <f>I474+2.0*J474</f>
        <v/>
      </c>
      <c r="M474">
        <f>I474-2.0*J474</f>
        <v/>
      </c>
      <c r="N474">
        <f>I474+1.5*K474</f>
        <v/>
      </c>
      <c r="O474">
        <f>I474-1.5*K474</f>
        <v/>
      </c>
      <c r="P474">
        <f>AND(L474&lt;N474,M474&gt;O474)</f>
        <v/>
      </c>
      <c r="Q474">
        <f>MAX(D455:D474)</f>
        <v/>
      </c>
      <c r="R474">
        <f>MIN(E455:E474)</f>
        <v/>
      </c>
      <c r="S474">
        <f>F474-((Q474+R474)/2+I474)/2</f>
        <v/>
      </c>
      <c r="T474">
        <f>FORECAST(A474,S455:S474,A455:A474)</f>
        <v/>
      </c>
    </row>
    <row r="475">
      <c r="A475" t="n">
        <v>473</v>
      </c>
      <c r="B475" s="2" t="n">
        <v>43420</v>
      </c>
      <c r="C475" t="n">
        <v>265.19</v>
      </c>
      <c r="D475" t="n">
        <v>268.08</v>
      </c>
      <c r="E475" t="n">
        <v>264.62</v>
      </c>
      <c r="F475" t="n">
        <v>267.08</v>
      </c>
      <c r="G475" t="n">
        <v>129820216</v>
      </c>
      <c r="H475">
        <f>MAX(D475-E475,ABS(D475-F474),ABS(E475-F474))</f>
        <v/>
      </c>
      <c r="I475">
        <f>AVERAGE(F456:F475)</f>
        <v/>
      </c>
      <c r="J475">
        <f>STDEVP(F456:F475)</f>
        <v/>
      </c>
      <c r="K475">
        <f>AVERAGE(H456:H475)</f>
        <v/>
      </c>
      <c r="L475">
        <f>I475+2.0*J475</f>
        <v/>
      </c>
      <c r="M475">
        <f>I475-2.0*J475</f>
        <v/>
      </c>
      <c r="N475">
        <f>I475+1.5*K475</f>
        <v/>
      </c>
      <c r="O475">
        <f>I475-1.5*K475</f>
        <v/>
      </c>
      <c r="P475">
        <f>AND(L475&lt;N475,M475&gt;O475)</f>
        <v/>
      </c>
      <c r="Q475">
        <f>MAX(D456:D475)</f>
        <v/>
      </c>
      <c r="R475">
        <f>MIN(E456:E475)</f>
        <v/>
      </c>
      <c r="S475">
        <f>F475-((Q475+R475)/2+I475)/2</f>
        <v/>
      </c>
      <c r="T475">
        <f>FORECAST(A475,S456:S475,A456:A475)</f>
        <v/>
      </c>
    </row>
    <row r="476">
      <c r="A476" t="n">
        <v>474</v>
      </c>
      <c r="B476" s="2" t="n">
        <v>43423</v>
      </c>
      <c r="C476" t="n">
        <v>266.42</v>
      </c>
      <c r="D476" t="n">
        <v>266.74</v>
      </c>
      <c r="E476" t="n">
        <v>261.56</v>
      </c>
      <c r="F476" t="n">
        <v>262.57</v>
      </c>
      <c r="G476" t="n">
        <v>105626432</v>
      </c>
      <c r="H476">
        <f>MAX(D476-E476,ABS(D476-F475),ABS(E476-F475))</f>
        <v/>
      </c>
      <c r="I476">
        <f>AVERAGE(F457:F476)</f>
        <v/>
      </c>
      <c r="J476">
        <f>STDEVP(F457:F476)</f>
        <v/>
      </c>
      <c r="K476">
        <f>AVERAGE(H457:H476)</f>
        <v/>
      </c>
      <c r="L476">
        <f>I476+2.0*J476</f>
        <v/>
      </c>
      <c r="M476">
        <f>I476-2.0*J476</f>
        <v/>
      </c>
      <c r="N476">
        <f>I476+1.5*K476</f>
        <v/>
      </c>
      <c r="O476">
        <f>I476-1.5*K476</f>
        <v/>
      </c>
      <c r="P476">
        <f>AND(L476&lt;N476,M476&gt;O476)</f>
        <v/>
      </c>
      <c r="Q476">
        <f>MAX(D457:D476)</f>
        <v/>
      </c>
      <c r="R476">
        <f>MIN(E457:E476)</f>
        <v/>
      </c>
      <c r="S476">
        <f>F476-((Q476+R476)/2+I476)/2</f>
        <v/>
      </c>
      <c r="T476">
        <f>FORECAST(A476,S457:S476,A457:A476)</f>
        <v/>
      </c>
    </row>
    <row r="477">
      <c r="A477" t="n">
        <v>475</v>
      </c>
      <c r="B477" s="2" t="n">
        <v>43424</v>
      </c>
      <c r="C477" t="n">
        <v>258.92</v>
      </c>
      <c r="D477" t="n">
        <v>260.52</v>
      </c>
      <c r="E477" t="n">
        <v>256.76</v>
      </c>
      <c r="F477" t="n">
        <v>257.71</v>
      </c>
      <c r="G477" t="n">
        <v>139406240</v>
      </c>
      <c r="H477">
        <f>MAX(D477-E477,ABS(D477-F476),ABS(E477-F476))</f>
        <v/>
      </c>
      <c r="I477">
        <f>AVERAGE(F458:F477)</f>
        <v/>
      </c>
      <c r="J477">
        <f>STDEVP(F458:F477)</f>
        <v/>
      </c>
      <c r="K477">
        <f>AVERAGE(H458:H477)</f>
        <v/>
      </c>
      <c r="L477">
        <f>I477+2.0*J477</f>
        <v/>
      </c>
      <c r="M477">
        <f>I477-2.0*J477</f>
        <v/>
      </c>
      <c r="N477">
        <f>I477+1.5*K477</f>
        <v/>
      </c>
      <c r="O477">
        <f>I477-1.5*K477</f>
        <v/>
      </c>
      <c r="P477">
        <f>AND(L477&lt;N477,M477&gt;O477)</f>
        <v/>
      </c>
      <c r="Q477">
        <f>MAX(D458:D477)</f>
        <v/>
      </c>
      <c r="R477">
        <f>MIN(E458:E477)</f>
        <v/>
      </c>
      <c r="S477">
        <f>F477-((Q477+R477)/2+I477)/2</f>
        <v/>
      </c>
      <c r="T477">
        <f>FORECAST(A477,S458:S477,A458:A477)</f>
        <v/>
      </c>
    </row>
    <row r="478">
      <c r="A478" t="n">
        <v>476</v>
      </c>
      <c r="B478" s="2" t="n">
        <v>43425</v>
      </c>
      <c r="C478" t="n">
        <v>259.4</v>
      </c>
      <c r="D478" t="n">
        <v>260.66</v>
      </c>
      <c r="E478" t="n">
        <v>258.58</v>
      </c>
      <c r="F478" t="n">
        <v>258.58</v>
      </c>
      <c r="G478" t="n">
        <v>77444168</v>
      </c>
      <c r="H478">
        <f>MAX(D478-E478,ABS(D478-F477),ABS(E478-F477))</f>
        <v/>
      </c>
      <c r="I478">
        <f>AVERAGE(F459:F478)</f>
        <v/>
      </c>
      <c r="J478">
        <f>STDEVP(F459:F478)</f>
        <v/>
      </c>
      <c r="K478">
        <f>AVERAGE(H459:H478)</f>
        <v/>
      </c>
      <c r="L478">
        <f>I478+2.0*J478</f>
        <v/>
      </c>
      <c r="M478">
        <f>I478-2.0*J478</f>
        <v/>
      </c>
      <c r="N478">
        <f>I478+1.5*K478</f>
        <v/>
      </c>
      <c r="O478">
        <f>I478-1.5*K478</f>
        <v/>
      </c>
      <c r="P478">
        <f>AND(L478&lt;N478,M478&gt;O478)</f>
        <v/>
      </c>
      <c r="Q478">
        <f>MAX(D459:D478)</f>
        <v/>
      </c>
      <c r="R478">
        <f>MIN(E459:E478)</f>
        <v/>
      </c>
      <c r="S478">
        <f>F478-((Q478+R478)/2+I478)/2</f>
        <v/>
      </c>
      <c r="T478">
        <f>FORECAST(A478,S459:S478,A459:A478)</f>
        <v/>
      </c>
    </row>
    <row r="479">
      <c r="A479" t="n">
        <v>477</v>
      </c>
      <c r="B479" s="2" t="n">
        <v>43427</v>
      </c>
      <c r="C479" t="n">
        <v>256.79</v>
      </c>
      <c r="D479" t="n">
        <v>258.39</v>
      </c>
      <c r="E479" t="n">
        <v>256.68</v>
      </c>
      <c r="F479" t="n">
        <v>256.86</v>
      </c>
      <c r="G479" t="n">
        <v>43873168</v>
      </c>
      <c r="H479">
        <f>MAX(D479-E479,ABS(D479-F478),ABS(E479-F478))</f>
        <v/>
      </c>
      <c r="I479">
        <f>AVERAGE(F460:F479)</f>
        <v/>
      </c>
      <c r="J479">
        <f>STDEVP(F460:F479)</f>
        <v/>
      </c>
      <c r="K479">
        <f>AVERAGE(H460:H479)</f>
        <v/>
      </c>
      <c r="L479">
        <f>I479+2.0*J479</f>
        <v/>
      </c>
      <c r="M479">
        <f>I479-2.0*J479</f>
        <v/>
      </c>
      <c r="N479">
        <f>I479+1.5*K479</f>
        <v/>
      </c>
      <c r="O479">
        <f>I479-1.5*K479</f>
        <v/>
      </c>
      <c r="P479">
        <f>AND(L479&lt;N479,M479&gt;O479)</f>
        <v/>
      </c>
      <c r="Q479">
        <f>MAX(D460:D479)</f>
        <v/>
      </c>
      <c r="R479">
        <f>MIN(E460:E479)</f>
        <v/>
      </c>
      <c r="S479">
        <f>F479-((Q479+R479)/2+I479)/2</f>
        <v/>
      </c>
      <c r="T479">
        <f>FORECAST(A479,S460:S479,A460:A479)</f>
        <v/>
      </c>
    </row>
    <row r="480">
      <c r="A480" t="n">
        <v>478</v>
      </c>
      <c r="B480" s="2" t="n">
        <v>43430</v>
      </c>
      <c r="C480" t="n">
        <v>259.33</v>
      </c>
      <c r="D480" t="n">
        <v>261.25</v>
      </c>
      <c r="E480" t="n">
        <v>258.9</v>
      </c>
      <c r="F480" t="n">
        <v>261</v>
      </c>
      <c r="G480" t="n">
        <v>81971728</v>
      </c>
      <c r="H480">
        <f>MAX(D480-E480,ABS(D480-F479),ABS(E480-F479))</f>
        <v/>
      </c>
      <c r="I480">
        <f>AVERAGE(F461:F480)</f>
        <v/>
      </c>
      <c r="J480">
        <f>STDEVP(F461:F480)</f>
        <v/>
      </c>
      <c r="K480">
        <f>AVERAGE(H461:H480)</f>
        <v/>
      </c>
      <c r="L480">
        <f>I480+2.0*J480</f>
        <v/>
      </c>
      <c r="M480">
        <f>I480-2.0*J480</f>
        <v/>
      </c>
      <c r="N480">
        <f>I480+1.5*K480</f>
        <v/>
      </c>
      <c r="O480">
        <f>I480-1.5*K480</f>
        <v/>
      </c>
      <c r="P480">
        <f>AND(L480&lt;N480,M480&gt;O480)</f>
        <v/>
      </c>
      <c r="Q480">
        <f>MAX(D461:D480)</f>
        <v/>
      </c>
      <c r="R480">
        <f>MIN(E461:E480)</f>
        <v/>
      </c>
      <c r="S480">
        <f>F480-((Q480+R480)/2+I480)/2</f>
        <v/>
      </c>
      <c r="T480">
        <f>FORECAST(A480,S461:S480,A461:A480)</f>
        <v/>
      </c>
    </row>
    <row r="481">
      <c r="A481" t="n">
        <v>479</v>
      </c>
      <c r="B481" s="2" t="n">
        <v>43431</v>
      </c>
      <c r="C481" t="n">
        <v>259.87</v>
      </c>
      <c r="D481" t="n">
        <v>261.88</v>
      </c>
      <c r="E481" t="n">
        <v>259.21</v>
      </c>
      <c r="F481" t="n">
        <v>261.88</v>
      </c>
      <c r="G481" t="n">
        <v>77381344</v>
      </c>
      <c r="H481">
        <f>MAX(D481-E481,ABS(D481-F480),ABS(E481-F480))</f>
        <v/>
      </c>
      <c r="I481">
        <f>AVERAGE(F462:F481)</f>
        <v/>
      </c>
      <c r="J481">
        <f>STDEVP(F462:F481)</f>
        <v/>
      </c>
      <c r="K481">
        <f>AVERAGE(H462:H481)</f>
        <v/>
      </c>
      <c r="L481">
        <f>I481+2.0*J481</f>
        <v/>
      </c>
      <c r="M481">
        <f>I481-2.0*J481</f>
        <v/>
      </c>
      <c r="N481">
        <f>I481+1.5*K481</f>
        <v/>
      </c>
      <c r="O481">
        <f>I481-1.5*K481</f>
        <v/>
      </c>
      <c r="P481">
        <f>AND(L481&lt;N481,M481&gt;O481)</f>
        <v/>
      </c>
      <c r="Q481">
        <f>MAX(D462:D481)</f>
        <v/>
      </c>
      <c r="R481">
        <f>MIN(E462:E481)</f>
        <v/>
      </c>
      <c r="S481">
        <f>F481-((Q481+R481)/2+I481)/2</f>
        <v/>
      </c>
      <c r="T481">
        <f>FORECAST(A481,S462:S481,A462:A481)</f>
        <v/>
      </c>
    </row>
    <row r="482">
      <c r="A482" t="n">
        <v>480</v>
      </c>
      <c r="B482" s="2" t="n">
        <v>43432</v>
      </c>
      <c r="C482" t="n">
        <v>263.05</v>
      </c>
      <c r="D482" t="n">
        <v>267.91</v>
      </c>
      <c r="E482" t="n">
        <v>261.81</v>
      </c>
      <c r="F482" t="n">
        <v>267.91</v>
      </c>
      <c r="G482" t="n">
        <v>130805744</v>
      </c>
      <c r="H482">
        <f>MAX(D482-E482,ABS(D482-F481),ABS(E482-F481))</f>
        <v/>
      </c>
      <c r="I482">
        <f>AVERAGE(F463:F482)</f>
        <v/>
      </c>
      <c r="J482">
        <f>STDEVP(F463:F482)</f>
        <v/>
      </c>
      <c r="K482">
        <f>AVERAGE(H463:H482)</f>
        <v/>
      </c>
      <c r="L482">
        <f>I482+2.0*J482</f>
        <v/>
      </c>
      <c r="M482">
        <f>I482-2.0*J482</f>
        <v/>
      </c>
      <c r="N482">
        <f>I482+1.5*K482</f>
        <v/>
      </c>
      <c r="O482">
        <f>I482-1.5*K482</f>
        <v/>
      </c>
      <c r="P482">
        <f>AND(L482&lt;N482,M482&gt;O482)</f>
        <v/>
      </c>
      <c r="Q482">
        <f>MAX(D463:D482)</f>
        <v/>
      </c>
      <c r="R482">
        <f>MIN(E463:E482)</f>
        <v/>
      </c>
      <c r="S482">
        <f>F482-((Q482+R482)/2+I482)/2</f>
        <v/>
      </c>
      <c r="T482">
        <f>FORECAST(A482,S463:S482,A463:A482)</f>
        <v/>
      </c>
    </row>
    <row r="483">
      <c r="A483" t="n">
        <v>481</v>
      </c>
      <c r="B483" s="2" t="n">
        <v>43433</v>
      </c>
      <c r="C483" t="n">
        <v>267.06</v>
      </c>
      <c r="D483" t="n">
        <v>268.86</v>
      </c>
      <c r="E483" t="n">
        <v>265.82</v>
      </c>
      <c r="F483" t="n">
        <v>267.33</v>
      </c>
      <c r="G483" t="n">
        <v>84395640</v>
      </c>
      <c r="H483">
        <f>MAX(D483-E483,ABS(D483-F482),ABS(E483-F482))</f>
        <v/>
      </c>
      <c r="I483">
        <f>AVERAGE(F464:F483)</f>
        <v/>
      </c>
      <c r="J483">
        <f>STDEVP(F464:F483)</f>
        <v/>
      </c>
      <c r="K483">
        <f>AVERAGE(H464:H483)</f>
        <v/>
      </c>
      <c r="L483">
        <f>I483+2.0*J483</f>
        <v/>
      </c>
      <c r="M483">
        <f>I483-2.0*J483</f>
        <v/>
      </c>
      <c r="N483">
        <f>I483+1.5*K483</f>
        <v/>
      </c>
      <c r="O483">
        <f>I483-1.5*K483</f>
        <v/>
      </c>
      <c r="P483">
        <f>AND(L483&lt;N483,M483&gt;O483)</f>
        <v/>
      </c>
      <c r="Q483">
        <f>MAX(D464:D483)</f>
        <v/>
      </c>
      <c r="R483">
        <f>MIN(E464:E483)</f>
        <v/>
      </c>
      <c r="S483">
        <f>F483-((Q483+R483)/2+I483)/2</f>
        <v/>
      </c>
      <c r="T483">
        <f>FORECAST(A483,S464:S483,A464:A483)</f>
        <v/>
      </c>
    </row>
    <row r="484">
      <c r="A484" t="n">
        <v>482</v>
      </c>
      <c r="B484" s="2" t="n">
        <v>43434</v>
      </c>
      <c r="C484" t="n">
        <v>267.16</v>
      </c>
      <c r="D484" t="n">
        <v>269.57</v>
      </c>
      <c r="E484" t="n">
        <v>266.81</v>
      </c>
      <c r="F484" t="n">
        <v>268.96</v>
      </c>
      <c r="G484" t="n">
        <v>100648032</v>
      </c>
      <c r="H484">
        <f>MAX(D484-E484,ABS(D484-F483),ABS(E484-F483))</f>
        <v/>
      </c>
      <c r="I484">
        <f>AVERAGE(F465:F484)</f>
        <v/>
      </c>
      <c r="J484">
        <f>STDEVP(F465:F484)</f>
        <v/>
      </c>
      <c r="K484">
        <f>AVERAGE(H465:H484)</f>
        <v/>
      </c>
      <c r="L484">
        <f>I484+2.0*J484</f>
        <v/>
      </c>
      <c r="M484">
        <f>I484-2.0*J484</f>
        <v/>
      </c>
      <c r="N484">
        <f>I484+1.5*K484</f>
        <v/>
      </c>
      <c r="O484">
        <f>I484-1.5*K484</f>
        <v/>
      </c>
      <c r="P484">
        <f>AND(L484&lt;N484,M484&gt;O484)</f>
        <v/>
      </c>
      <c r="Q484">
        <f>MAX(D465:D484)</f>
        <v/>
      </c>
      <c r="R484">
        <f>MIN(E465:E484)</f>
        <v/>
      </c>
      <c r="S484">
        <f>F484-((Q484+R484)/2+I484)/2</f>
        <v/>
      </c>
      <c r="T484">
        <f>FORECAST(A484,S465:S484,A465:A484)</f>
        <v/>
      </c>
    </row>
    <row r="485">
      <c r="A485" t="n">
        <v>483</v>
      </c>
      <c r="B485" s="2" t="n">
        <v>43437</v>
      </c>
      <c r="C485" t="n">
        <v>273.47</v>
      </c>
      <c r="D485" t="n">
        <v>273.59</v>
      </c>
      <c r="E485" t="n">
        <v>270.77</v>
      </c>
      <c r="F485" t="n">
        <v>272.52</v>
      </c>
      <c r="G485" t="n">
        <v>105581352</v>
      </c>
      <c r="H485">
        <f>MAX(D485-E485,ABS(D485-F484),ABS(E485-F484))</f>
        <v/>
      </c>
      <c r="I485">
        <f>AVERAGE(F466:F485)</f>
        <v/>
      </c>
      <c r="J485">
        <f>STDEVP(F466:F485)</f>
        <v/>
      </c>
      <c r="K485">
        <f>AVERAGE(H466:H485)</f>
        <v/>
      </c>
      <c r="L485">
        <f>I485+2.0*J485</f>
        <v/>
      </c>
      <c r="M485">
        <f>I485-2.0*J485</f>
        <v/>
      </c>
      <c r="N485">
        <f>I485+1.5*K485</f>
        <v/>
      </c>
      <c r="O485">
        <f>I485-1.5*K485</f>
        <v/>
      </c>
      <c r="P485">
        <f>AND(L485&lt;N485,M485&gt;O485)</f>
        <v/>
      </c>
      <c r="Q485">
        <f>MAX(D466:D485)</f>
        <v/>
      </c>
      <c r="R485">
        <f>MIN(E466:E485)</f>
        <v/>
      </c>
      <c r="S485">
        <f>F485-((Q485+R485)/2+I485)/2</f>
        <v/>
      </c>
      <c r="T485">
        <f>FORECAST(A485,S466:S485,A466:A485)</f>
        <v/>
      </c>
    </row>
    <row r="486">
      <c r="A486" t="n">
        <v>484</v>
      </c>
      <c r="B486" s="2" t="n">
        <v>43438</v>
      </c>
      <c r="C486" t="n">
        <v>271.61</v>
      </c>
      <c r="D486" t="n">
        <v>272.08</v>
      </c>
      <c r="E486" t="n">
        <v>263.35</v>
      </c>
      <c r="F486" t="n">
        <v>263.69</v>
      </c>
      <c r="G486" t="n">
        <v>182415248</v>
      </c>
      <c r="H486">
        <f>MAX(D486-E486,ABS(D486-F485),ABS(E486-F485))</f>
        <v/>
      </c>
      <c r="I486">
        <f>AVERAGE(F467:F486)</f>
        <v/>
      </c>
      <c r="J486">
        <f>STDEVP(F467:F486)</f>
        <v/>
      </c>
      <c r="K486">
        <f>AVERAGE(H467:H486)</f>
        <v/>
      </c>
      <c r="L486">
        <f>I486+2.0*J486</f>
        <v/>
      </c>
      <c r="M486">
        <f>I486-2.0*J486</f>
        <v/>
      </c>
      <c r="N486">
        <f>I486+1.5*K486</f>
        <v/>
      </c>
      <c r="O486">
        <f>I486-1.5*K486</f>
        <v/>
      </c>
      <c r="P486">
        <f>AND(L486&lt;N486,M486&gt;O486)</f>
        <v/>
      </c>
      <c r="Q486">
        <f>MAX(D467:D486)</f>
        <v/>
      </c>
      <c r="R486">
        <f>MIN(E467:E486)</f>
        <v/>
      </c>
      <c r="S486">
        <f>F486-((Q486+R486)/2+I486)/2</f>
        <v/>
      </c>
      <c r="T486">
        <f>FORECAST(A486,S467:S486,A467:A486)</f>
        <v/>
      </c>
    </row>
    <row r="487">
      <c r="A487" t="n">
        <v>485</v>
      </c>
      <c r="B487" s="2" t="n">
        <v>43440</v>
      </c>
      <c r="C487" t="n">
        <v>259.46</v>
      </c>
      <c r="D487" t="n">
        <v>263.41</v>
      </c>
      <c r="E487" t="n">
        <v>256.07</v>
      </c>
      <c r="F487" t="n">
        <v>263.29</v>
      </c>
      <c r="G487" t="n">
        <v>209266640</v>
      </c>
      <c r="H487">
        <f>MAX(D487-E487,ABS(D487-F486),ABS(E487-F486))</f>
        <v/>
      </c>
      <c r="I487">
        <f>AVERAGE(F468:F487)</f>
        <v/>
      </c>
      <c r="J487">
        <f>STDEVP(F468:F487)</f>
        <v/>
      </c>
      <c r="K487">
        <f>AVERAGE(H468:H487)</f>
        <v/>
      </c>
      <c r="L487">
        <f>I487+2.0*J487</f>
        <v/>
      </c>
      <c r="M487">
        <f>I487-2.0*J487</f>
        <v/>
      </c>
      <c r="N487">
        <f>I487+1.5*K487</f>
        <v/>
      </c>
      <c r="O487">
        <f>I487-1.5*K487</f>
        <v/>
      </c>
      <c r="P487">
        <f>AND(L487&lt;N487,M487&gt;O487)</f>
        <v/>
      </c>
      <c r="Q487">
        <f>MAX(D468:D487)</f>
        <v/>
      </c>
      <c r="R487">
        <f>MIN(E468:E487)</f>
        <v/>
      </c>
      <c r="S487">
        <f>F487-((Q487+R487)/2+I487)/2</f>
        <v/>
      </c>
      <c r="T487">
        <f>FORECAST(A487,S468:S487,A468:A487)</f>
        <v/>
      </c>
    </row>
    <row r="488">
      <c r="A488" t="n">
        <v>486</v>
      </c>
      <c r="B488" s="2" t="n">
        <v>43441</v>
      </c>
      <c r="C488" t="n">
        <v>262.92</v>
      </c>
      <c r="D488" t="n">
        <v>264.63</v>
      </c>
      <c r="E488" t="n">
        <v>256.25</v>
      </c>
      <c r="F488" t="n">
        <v>257.17</v>
      </c>
      <c r="G488" t="n">
        <v>165025936</v>
      </c>
      <c r="H488">
        <f>MAX(D488-E488,ABS(D488-F487),ABS(E488-F487))</f>
        <v/>
      </c>
      <c r="I488">
        <f>AVERAGE(F469:F488)</f>
        <v/>
      </c>
      <c r="J488">
        <f>STDEVP(F469:F488)</f>
        <v/>
      </c>
      <c r="K488">
        <f>AVERAGE(H469:H488)</f>
        <v/>
      </c>
      <c r="L488">
        <f>I488+2.0*J488</f>
        <v/>
      </c>
      <c r="M488">
        <f>I488-2.0*J488</f>
        <v/>
      </c>
      <c r="N488">
        <f>I488+1.5*K488</f>
        <v/>
      </c>
      <c r="O488">
        <f>I488-1.5*K488</f>
        <v/>
      </c>
      <c r="P488">
        <f>AND(L488&lt;N488,M488&gt;O488)</f>
        <v/>
      </c>
      <c r="Q488">
        <f>MAX(D469:D488)</f>
        <v/>
      </c>
      <c r="R488">
        <f>MIN(E469:E488)</f>
        <v/>
      </c>
      <c r="S488">
        <f>F488-((Q488+R488)/2+I488)/2</f>
        <v/>
      </c>
      <c r="T488">
        <f>FORECAST(A488,S469:S488,A469:A488)</f>
        <v/>
      </c>
    </row>
    <row r="489">
      <c r="A489" t="n">
        <v>487</v>
      </c>
      <c r="B489" s="2" t="n">
        <v>43444</v>
      </c>
      <c r="C489" t="n">
        <v>256.98</v>
      </c>
      <c r="D489" t="n">
        <v>258.72</v>
      </c>
      <c r="E489" t="n">
        <v>252.34</v>
      </c>
      <c r="F489" t="n">
        <v>257.66</v>
      </c>
      <c r="G489" t="n">
        <v>155214672</v>
      </c>
      <c r="H489">
        <f>MAX(D489-E489,ABS(D489-F488),ABS(E489-F488))</f>
        <v/>
      </c>
      <c r="I489">
        <f>AVERAGE(F470:F489)</f>
        <v/>
      </c>
      <c r="J489">
        <f>STDEVP(F470:F489)</f>
        <v/>
      </c>
      <c r="K489">
        <f>AVERAGE(H470:H489)</f>
        <v/>
      </c>
      <c r="L489">
        <f>I489+2.0*J489</f>
        <v/>
      </c>
      <c r="M489">
        <f>I489-2.0*J489</f>
        <v/>
      </c>
      <c r="N489">
        <f>I489+1.5*K489</f>
        <v/>
      </c>
      <c r="O489">
        <f>I489-1.5*K489</f>
        <v/>
      </c>
      <c r="P489">
        <f>AND(L489&lt;N489,M489&gt;O489)</f>
        <v/>
      </c>
      <c r="Q489">
        <f>MAX(D470:D489)</f>
        <v/>
      </c>
      <c r="R489">
        <f>MIN(E470:E489)</f>
        <v/>
      </c>
      <c r="S489">
        <f>F489-((Q489+R489)/2+I489)/2</f>
        <v/>
      </c>
      <c r="T489">
        <f>FORECAST(A489,S470:S489,A470:A489)</f>
        <v/>
      </c>
    </row>
    <row r="490">
      <c r="A490" t="n">
        <v>488</v>
      </c>
      <c r="B490" s="2" t="n">
        <v>43445</v>
      </c>
      <c r="C490" t="n">
        <v>261.16</v>
      </c>
      <c r="D490" t="n">
        <v>261.37</v>
      </c>
      <c r="E490" t="n">
        <v>256.11</v>
      </c>
      <c r="F490" t="n">
        <v>257.72</v>
      </c>
      <c r="G490" t="n">
        <v>124528112</v>
      </c>
      <c r="H490">
        <f>MAX(D490-E490,ABS(D490-F489),ABS(E490-F489))</f>
        <v/>
      </c>
      <c r="I490">
        <f>AVERAGE(F471:F490)</f>
        <v/>
      </c>
      <c r="J490">
        <f>STDEVP(F471:F490)</f>
        <v/>
      </c>
      <c r="K490">
        <f>AVERAGE(H471:H490)</f>
        <v/>
      </c>
      <c r="L490">
        <f>I490+2.0*J490</f>
        <v/>
      </c>
      <c r="M490">
        <f>I490-2.0*J490</f>
        <v/>
      </c>
      <c r="N490">
        <f>I490+1.5*K490</f>
        <v/>
      </c>
      <c r="O490">
        <f>I490-1.5*K490</f>
        <v/>
      </c>
      <c r="P490">
        <f>AND(L490&lt;N490,M490&gt;O490)</f>
        <v/>
      </c>
      <c r="Q490">
        <f>MAX(D471:D490)</f>
        <v/>
      </c>
      <c r="R490">
        <f>MIN(E471:E490)</f>
        <v/>
      </c>
      <c r="S490">
        <f>F490-((Q490+R490)/2+I490)/2</f>
        <v/>
      </c>
      <c r="T490">
        <f>FORECAST(A490,S471:S490,A471:A490)</f>
        <v/>
      </c>
    </row>
    <row r="491">
      <c r="A491" t="n">
        <v>489</v>
      </c>
      <c r="B491" s="2" t="n">
        <v>43446</v>
      </c>
      <c r="C491" t="n">
        <v>260.98</v>
      </c>
      <c r="D491" t="n">
        <v>262.47</v>
      </c>
      <c r="E491" t="n">
        <v>258.93</v>
      </c>
      <c r="F491" t="n">
        <v>259.01</v>
      </c>
      <c r="G491" t="n">
        <v>100414888</v>
      </c>
      <c r="H491">
        <f>MAX(D491-E491,ABS(D491-F490),ABS(E491-F490))</f>
        <v/>
      </c>
      <c r="I491">
        <f>AVERAGE(F472:F491)</f>
        <v/>
      </c>
      <c r="J491">
        <f>STDEVP(F472:F491)</f>
        <v/>
      </c>
      <c r="K491">
        <f>AVERAGE(H472:H491)</f>
        <v/>
      </c>
      <c r="L491">
        <f>I491+2.0*J491</f>
        <v/>
      </c>
      <c r="M491">
        <f>I491-2.0*J491</f>
        <v/>
      </c>
      <c r="N491">
        <f>I491+1.5*K491</f>
        <v/>
      </c>
      <c r="O491">
        <f>I491-1.5*K491</f>
        <v/>
      </c>
      <c r="P491">
        <f>AND(L491&lt;N491,M491&gt;O491)</f>
        <v/>
      </c>
      <c r="Q491">
        <f>MAX(D472:D491)</f>
        <v/>
      </c>
      <c r="R491">
        <f>MIN(E472:E491)</f>
        <v/>
      </c>
      <c r="S491">
        <f>F491-((Q491+R491)/2+I491)/2</f>
        <v/>
      </c>
      <c r="T491">
        <f>FORECAST(A491,S472:S491,A472:A491)</f>
        <v/>
      </c>
    </row>
    <row r="492">
      <c r="A492" t="n">
        <v>490</v>
      </c>
      <c r="B492" s="2" t="n">
        <v>43447</v>
      </c>
      <c r="C492" t="n">
        <v>260.05</v>
      </c>
      <c r="D492" t="n">
        <v>260.99</v>
      </c>
      <c r="E492" t="n">
        <v>257.71</v>
      </c>
      <c r="F492" t="n">
        <v>258.93</v>
      </c>
      <c r="G492" t="n">
        <v>99068200</v>
      </c>
      <c r="H492">
        <f>MAX(D492-E492,ABS(D492-F491),ABS(E492-F491))</f>
        <v/>
      </c>
      <c r="I492">
        <f>AVERAGE(F473:F492)</f>
        <v/>
      </c>
      <c r="J492">
        <f>STDEVP(F473:F492)</f>
        <v/>
      </c>
      <c r="K492">
        <f>AVERAGE(H473:H492)</f>
        <v/>
      </c>
      <c r="L492">
        <f>I492+2.0*J492</f>
        <v/>
      </c>
      <c r="M492">
        <f>I492-2.0*J492</f>
        <v/>
      </c>
      <c r="N492">
        <f>I492+1.5*K492</f>
        <v/>
      </c>
      <c r="O492">
        <f>I492-1.5*K492</f>
        <v/>
      </c>
      <c r="P492">
        <f>AND(L492&lt;N492,M492&gt;O492)</f>
        <v/>
      </c>
      <c r="Q492">
        <f>MAX(D473:D492)</f>
        <v/>
      </c>
      <c r="R492">
        <f>MIN(E473:E492)</f>
        <v/>
      </c>
      <c r="S492">
        <f>F492-((Q492+R492)/2+I492)/2</f>
        <v/>
      </c>
      <c r="T492">
        <f>FORECAST(A492,S473:S492,A473:A492)</f>
        <v/>
      </c>
    </row>
    <row r="493">
      <c r="A493" t="n">
        <v>491</v>
      </c>
      <c r="B493" s="2" t="n">
        <v>43448</v>
      </c>
      <c r="C493" t="n">
        <v>256.58</v>
      </c>
      <c r="D493" t="n">
        <v>257.62</v>
      </c>
      <c r="E493" t="n">
        <v>253.54</v>
      </c>
      <c r="F493" t="n">
        <v>254.15</v>
      </c>
      <c r="G493" t="n">
        <v>119871688</v>
      </c>
      <c r="H493">
        <f>MAX(D493-E493,ABS(D493-F492),ABS(E493-F492))</f>
        <v/>
      </c>
      <c r="I493">
        <f>AVERAGE(F474:F493)</f>
        <v/>
      </c>
      <c r="J493">
        <f>STDEVP(F474:F493)</f>
        <v/>
      </c>
      <c r="K493">
        <f>AVERAGE(H474:H493)</f>
        <v/>
      </c>
      <c r="L493">
        <f>I493+2.0*J493</f>
        <v/>
      </c>
      <c r="M493">
        <f>I493-2.0*J493</f>
        <v/>
      </c>
      <c r="N493">
        <f>I493+1.5*K493</f>
        <v/>
      </c>
      <c r="O493">
        <f>I493-1.5*K493</f>
        <v/>
      </c>
      <c r="P493">
        <f>AND(L493&lt;N493,M493&gt;O493)</f>
        <v/>
      </c>
      <c r="Q493">
        <f>MAX(D474:D493)</f>
        <v/>
      </c>
      <c r="R493">
        <f>MIN(E474:E493)</f>
        <v/>
      </c>
      <c r="S493">
        <f>F493-((Q493+R493)/2+I493)/2</f>
        <v/>
      </c>
      <c r="T493">
        <f>FORECAST(A493,S474:S493,A474:A493)</f>
        <v/>
      </c>
    </row>
    <row r="494">
      <c r="A494" t="n">
        <v>492</v>
      </c>
      <c r="B494" s="2" t="n">
        <v>43451</v>
      </c>
      <c r="C494" t="n">
        <v>253.1</v>
      </c>
      <c r="D494" t="n">
        <v>254.32</v>
      </c>
      <c r="E494" t="n">
        <v>247.37</v>
      </c>
      <c r="F494" t="n">
        <v>249.16</v>
      </c>
      <c r="G494" t="n">
        <v>169610592</v>
      </c>
      <c r="H494">
        <f>MAX(D494-E494,ABS(D494-F493),ABS(E494-F493))</f>
        <v/>
      </c>
      <c r="I494">
        <f>AVERAGE(F475:F494)</f>
        <v/>
      </c>
      <c r="J494">
        <f>STDEVP(F475:F494)</f>
        <v/>
      </c>
      <c r="K494">
        <f>AVERAGE(H475:H494)</f>
        <v/>
      </c>
      <c r="L494">
        <f>I494+2.0*J494</f>
        <v/>
      </c>
      <c r="M494">
        <f>I494-2.0*J494</f>
        <v/>
      </c>
      <c r="N494">
        <f>I494+1.5*K494</f>
        <v/>
      </c>
      <c r="O494">
        <f>I494-1.5*K494</f>
        <v/>
      </c>
      <c r="P494">
        <f>AND(L494&lt;N494,M494&gt;O494)</f>
        <v/>
      </c>
      <c r="Q494">
        <f>MAX(D475:D494)</f>
        <v/>
      </c>
      <c r="R494">
        <f>MIN(E475:E494)</f>
        <v/>
      </c>
      <c r="S494">
        <f>F494-((Q494+R494)/2+I494)/2</f>
        <v/>
      </c>
      <c r="T494">
        <f>FORECAST(A494,S475:S494,A475:A494)</f>
        <v/>
      </c>
    </row>
    <row r="495">
      <c r="A495" t="n">
        <v>493</v>
      </c>
      <c r="B495" s="2" t="n">
        <v>43452</v>
      </c>
      <c r="C495" t="n">
        <v>250.95</v>
      </c>
      <c r="D495" t="n">
        <v>251.69</v>
      </c>
      <c r="E495" t="n">
        <v>247.13</v>
      </c>
      <c r="F495" t="n">
        <v>248.89</v>
      </c>
      <c r="G495" t="n">
        <v>137862544</v>
      </c>
      <c r="H495">
        <f>MAX(D495-E495,ABS(D495-F494),ABS(E495-F494))</f>
        <v/>
      </c>
      <c r="I495">
        <f>AVERAGE(F476:F495)</f>
        <v/>
      </c>
      <c r="J495">
        <f>STDEVP(F476:F495)</f>
        <v/>
      </c>
      <c r="K495">
        <f>AVERAGE(H476:H495)</f>
        <v/>
      </c>
      <c r="L495">
        <f>I495+2.0*J495</f>
        <v/>
      </c>
      <c r="M495">
        <f>I495-2.0*J495</f>
        <v/>
      </c>
      <c r="N495">
        <f>I495+1.5*K495</f>
        <v/>
      </c>
      <c r="O495">
        <f>I495-1.5*K495</f>
        <v/>
      </c>
      <c r="P495">
        <f>AND(L495&lt;N495,M495&gt;O495)</f>
        <v/>
      </c>
      <c r="Q495">
        <f>MAX(D476:D495)</f>
        <v/>
      </c>
      <c r="R495">
        <f>MIN(E476:E495)</f>
        <v/>
      </c>
      <c r="S495">
        <f>F495-((Q495+R495)/2+I495)/2</f>
        <v/>
      </c>
      <c r="T495">
        <f>FORECAST(A495,S476:S495,A476:A495)</f>
        <v/>
      </c>
    </row>
    <row r="496">
      <c r="A496" t="n">
        <v>494</v>
      </c>
      <c r="B496" s="2" t="n">
        <v>43453</v>
      </c>
      <c r="C496" t="n">
        <v>248.97</v>
      </c>
      <c r="D496" t="n">
        <v>253.1</v>
      </c>
      <c r="E496" t="n">
        <v>243.3</v>
      </c>
      <c r="F496" t="n">
        <v>245.16</v>
      </c>
      <c r="G496" t="n">
        <v>220342928</v>
      </c>
      <c r="H496">
        <f>MAX(D496-E496,ABS(D496-F495),ABS(E496-F495))</f>
        <v/>
      </c>
      <c r="I496">
        <f>AVERAGE(F477:F496)</f>
        <v/>
      </c>
      <c r="J496">
        <f>STDEVP(F477:F496)</f>
        <v/>
      </c>
      <c r="K496">
        <f>AVERAGE(H477:H496)</f>
        <v/>
      </c>
      <c r="L496">
        <f>I496+2.0*J496</f>
        <v/>
      </c>
      <c r="M496">
        <f>I496-2.0*J496</f>
        <v/>
      </c>
      <c r="N496">
        <f>I496+1.5*K496</f>
        <v/>
      </c>
      <c r="O496">
        <f>I496-1.5*K496</f>
        <v/>
      </c>
      <c r="P496">
        <f>AND(L496&lt;N496,M496&gt;O496)</f>
        <v/>
      </c>
      <c r="Q496">
        <f>MAX(D477:D496)</f>
        <v/>
      </c>
      <c r="R496">
        <f>MIN(E477:E496)</f>
        <v/>
      </c>
      <c r="S496">
        <f>F496-((Q496+R496)/2+I496)/2</f>
        <v/>
      </c>
      <c r="T496">
        <f>FORECAST(A496,S477:S496,A477:A496)</f>
        <v/>
      </c>
    </row>
    <row r="497">
      <c r="A497" t="n">
        <v>495</v>
      </c>
      <c r="B497" s="2" t="n">
        <v>43454</v>
      </c>
      <c r="C497" t="n">
        <v>243.79</v>
      </c>
      <c r="D497" t="n">
        <v>245.51</v>
      </c>
      <c r="E497" t="n">
        <v>238.71</v>
      </c>
      <c r="F497" t="n">
        <v>241.17</v>
      </c>
      <c r="G497" t="n">
        <v>258325808</v>
      </c>
      <c r="H497">
        <f>MAX(D497-E497,ABS(D497-F496),ABS(E497-F496))</f>
        <v/>
      </c>
      <c r="I497">
        <f>AVERAGE(F478:F497)</f>
        <v/>
      </c>
      <c r="J497">
        <f>STDEVP(F478:F497)</f>
        <v/>
      </c>
      <c r="K497">
        <f>AVERAGE(H478:H497)</f>
        <v/>
      </c>
      <c r="L497">
        <f>I497+2.0*J497</f>
        <v/>
      </c>
      <c r="M497">
        <f>I497-2.0*J497</f>
        <v/>
      </c>
      <c r="N497">
        <f>I497+1.5*K497</f>
        <v/>
      </c>
      <c r="O497">
        <f>I497-1.5*K497</f>
        <v/>
      </c>
      <c r="P497">
        <f>AND(L497&lt;N497,M497&gt;O497)</f>
        <v/>
      </c>
      <c r="Q497">
        <f>MAX(D478:D497)</f>
        <v/>
      </c>
      <c r="R497">
        <f>MIN(E478:E497)</f>
        <v/>
      </c>
      <c r="S497">
        <f>F497-((Q497+R497)/2+I497)/2</f>
        <v/>
      </c>
      <c r="T497">
        <f>FORECAST(A497,S478:S497,A478:A497)</f>
        <v/>
      </c>
    </row>
    <row r="498">
      <c r="A498" t="n">
        <v>496</v>
      </c>
      <c r="B498" s="2" t="n">
        <v>43455</v>
      </c>
      <c r="C498" t="n">
        <v>242.16</v>
      </c>
      <c r="D498" t="n">
        <v>245.07</v>
      </c>
      <c r="E498" t="n">
        <v>235.52</v>
      </c>
      <c r="F498" t="n">
        <v>236.23</v>
      </c>
      <c r="G498" t="n">
        <v>260180208</v>
      </c>
      <c r="H498">
        <f>MAX(D498-E498,ABS(D498-F497),ABS(E498-F497))</f>
        <v/>
      </c>
      <c r="I498">
        <f>AVERAGE(F479:F498)</f>
        <v/>
      </c>
      <c r="J498">
        <f>STDEVP(F479:F498)</f>
        <v/>
      </c>
      <c r="K498">
        <f>AVERAGE(H479:H498)</f>
        <v/>
      </c>
      <c r="L498">
        <f>I498+2.0*J498</f>
        <v/>
      </c>
      <c r="M498">
        <f>I498-2.0*J498</f>
        <v/>
      </c>
      <c r="N498">
        <f>I498+1.5*K498</f>
        <v/>
      </c>
      <c r="O498">
        <f>I498-1.5*K498</f>
        <v/>
      </c>
      <c r="P498">
        <f>AND(L498&lt;N498,M498&gt;O498)</f>
        <v/>
      </c>
      <c r="Q498">
        <f>MAX(D479:D498)</f>
        <v/>
      </c>
      <c r="R498">
        <f>MIN(E479:E498)</f>
        <v/>
      </c>
      <c r="S498">
        <f>F498-((Q498+R498)/2+I498)/2</f>
        <v/>
      </c>
      <c r="T498">
        <f>FORECAST(A498,S479:S498,A479:A498)</f>
        <v/>
      </c>
    </row>
    <row r="499">
      <c r="A499" t="n">
        <v>497</v>
      </c>
      <c r="B499" s="2" t="n">
        <v>43458</v>
      </c>
      <c r="C499" t="n">
        <v>234.6</v>
      </c>
      <c r="D499" t="n">
        <v>236.36</v>
      </c>
      <c r="E499" t="n">
        <v>229.92</v>
      </c>
      <c r="F499" t="n">
        <v>229.99</v>
      </c>
      <c r="G499" t="n">
        <v>150100704</v>
      </c>
      <c r="H499">
        <f>MAX(D499-E499,ABS(D499-F498),ABS(E499-F498))</f>
        <v/>
      </c>
      <c r="I499">
        <f>AVERAGE(F480:F499)</f>
        <v/>
      </c>
      <c r="J499">
        <f>STDEVP(F480:F499)</f>
        <v/>
      </c>
      <c r="K499">
        <f>AVERAGE(H480:H499)</f>
        <v/>
      </c>
      <c r="L499">
        <f>I499+2.0*J499</f>
        <v/>
      </c>
      <c r="M499">
        <f>I499-2.0*J499</f>
        <v/>
      </c>
      <c r="N499">
        <f>I499+1.5*K499</f>
        <v/>
      </c>
      <c r="O499">
        <f>I499-1.5*K499</f>
        <v/>
      </c>
      <c r="P499">
        <f>AND(L499&lt;N499,M499&gt;O499)</f>
        <v/>
      </c>
      <c r="Q499">
        <f>MAX(D480:D499)</f>
        <v/>
      </c>
      <c r="R499">
        <f>MIN(E480:E499)</f>
        <v/>
      </c>
      <c r="S499">
        <f>F499-((Q499+R499)/2+I499)/2</f>
        <v/>
      </c>
      <c r="T499">
        <f>FORECAST(A499,S480:S499,A480:A499)</f>
        <v/>
      </c>
    </row>
    <row r="500">
      <c r="A500" t="n">
        <v>498</v>
      </c>
      <c r="B500" s="2" t="n">
        <v>43460</v>
      </c>
      <c r="C500" t="n">
        <v>231.59</v>
      </c>
      <c r="D500" t="n">
        <v>241.61</v>
      </c>
      <c r="E500" t="n">
        <v>229.42</v>
      </c>
      <c r="F500" t="n">
        <v>241.61</v>
      </c>
      <c r="G500" t="n">
        <v>222622048</v>
      </c>
      <c r="H500">
        <f>MAX(D500-E500,ABS(D500-F499),ABS(E500-F499))</f>
        <v/>
      </c>
      <c r="I500">
        <f>AVERAGE(F481:F500)</f>
        <v/>
      </c>
      <c r="J500">
        <f>STDEVP(F481:F500)</f>
        <v/>
      </c>
      <c r="K500">
        <f>AVERAGE(H481:H500)</f>
        <v/>
      </c>
      <c r="L500">
        <f>I500+2.0*J500</f>
        <v/>
      </c>
      <c r="M500">
        <f>I500-2.0*J500</f>
        <v/>
      </c>
      <c r="N500">
        <f>I500+1.5*K500</f>
        <v/>
      </c>
      <c r="O500">
        <f>I500-1.5*K500</f>
        <v/>
      </c>
      <c r="P500">
        <f>AND(L500&lt;N500,M500&gt;O500)</f>
        <v/>
      </c>
      <c r="Q500">
        <f>MAX(D481:D500)</f>
        <v/>
      </c>
      <c r="R500">
        <f>MIN(E481:E500)</f>
        <v/>
      </c>
      <c r="S500">
        <f>F500-((Q500+R500)/2+I500)/2</f>
        <v/>
      </c>
      <c r="T500">
        <f>FORECAST(A500,S481:S500,A481:A500)</f>
        <v/>
      </c>
    </row>
    <row r="501">
      <c r="A501" t="n">
        <v>499</v>
      </c>
      <c r="B501" s="2" t="n">
        <v>43461</v>
      </c>
      <c r="C501" t="n">
        <v>238.06</v>
      </c>
      <c r="D501" t="n">
        <v>243.68</v>
      </c>
      <c r="E501" t="n">
        <v>234.52</v>
      </c>
      <c r="F501" t="n">
        <v>243.46</v>
      </c>
      <c r="G501" t="n">
        <v>189794032</v>
      </c>
      <c r="H501">
        <f>MAX(D501-E501,ABS(D501-F500),ABS(E501-F500))</f>
        <v/>
      </c>
      <c r="I501">
        <f>AVERAGE(F482:F501)</f>
        <v/>
      </c>
      <c r="J501">
        <f>STDEVP(F482:F501)</f>
        <v/>
      </c>
      <c r="K501">
        <f>AVERAGE(H482:H501)</f>
        <v/>
      </c>
      <c r="L501">
        <f>I501+2.0*J501</f>
        <v/>
      </c>
      <c r="M501">
        <f>I501-2.0*J501</f>
        <v/>
      </c>
      <c r="N501">
        <f>I501+1.5*K501</f>
        <v/>
      </c>
      <c r="O501">
        <f>I501-1.5*K501</f>
        <v/>
      </c>
      <c r="P501">
        <f>AND(L501&lt;N501,M501&gt;O501)</f>
        <v/>
      </c>
      <c r="Q501">
        <f>MAX(D482:D501)</f>
        <v/>
      </c>
      <c r="R501">
        <f>MIN(E482:E501)</f>
        <v/>
      </c>
      <c r="S501">
        <f>F501-((Q501+R501)/2+I501)/2</f>
        <v/>
      </c>
      <c r="T501">
        <f>FORECAST(A501,S482:S501,A482:A501)</f>
        <v/>
      </c>
    </row>
    <row r="502">
      <c r="A502" t="n">
        <v>500</v>
      </c>
      <c r="B502" s="2" t="n">
        <v>43462</v>
      </c>
      <c r="C502" t="n">
        <v>244.94</v>
      </c>
      <c r="D502" t="n">
        <v>246.73</v>
      </c>
      <c r="E502" t="n">
        <v>241.87</v>
      </c>
      <c r="F502" t="n">
        <v>243.15</v>
      </c>
      <c r="G502" t="n">
        <v>155998912</v>
      </c>
      <c r="H502">
        <f>MAX(D502-E502,ABS(D502-F501),ABS(E502-F501))</f>
        <v/>
      </c>
      <c r="I502">
        <f>AVERAGE(F483:F502)</f>
        <v/>
      </c>
      <c r="J502">
        <f>STDEVP(F483:F502)</f>
        <v/>
      </c>
      <c r="K502">
        <f>AVERAGE(H483:H502)</f>
        <v/>
      </c>
      <c r="L502">
        <f>I502+2.0*J502</f>
        <v/>
      </c>
      <c r="M502">
        <f>I502-2.0*J502</f>
        <v/>
      </c>
      <c r="N502">
        <f>I502+1.5*K502</f>
        <v/>
      </c>
      <c r="O502">
        <f>I502-1.5*K502</f>
        <v/>
      </c>
      <c r="P502">
        <f>AND(L502&lt;N502,M502&gt;O502)</f>
        <v/>
      </c>
      <c r="Q502">
        <f>MAX(D483:D502)</f>
        <v/>
      </c>
      <c r="R502">
        <f>MIN(E483:E502)</f>
        <v/>
      </c>
      <c r="S502">
        <f>F502-((Q502+R502)/2+I502)/2</f>
        <v/>
      </c>
      <c r="T502">
        <f>FORECAST(A502,S483:S502,A483:A502)</f>
        <v/>
      </c>
    </row>
    <row r="503">
      <c r="A503" t="n">
        <v>501</v>
      </c>
      <c r="B503" s="2" t="n">
        <v>43465</v>
      </c>
      <c r="C503" t="n">
        <v>244.92</v>
      </c>
      <c r="D503" t="n">
        <v>245.54</v>
      </c>
      <c r="E503" t="n">
        <v>242.87</v>
      </c>
      <c r="F503" t="n">
        <v>245.28</v>
      </c>
      <c r="G503" t="n">
        <v>147031456</v>
      </c>
      <c r="H503">
        <f>MAX(D503-E503,ABS(D503-F502),ABS(E503-F502))</f>
        <v/>
      </c>
      <c r="I503">
        <f>AVERAGE(F484:F503)</f>
        <v/>
      </c>
      <c r="J503">
        <f>STDEVP(F484:F503)</f>
        <v/>
      </c>
      <c r="K503">
        <f>AVERAGE(H484:H503)</f>
        <v/>
      </c>
      <c r="L503">
        <f>I503+2.0*J503</f>
        <v/>
      </c>
      <c r="M503">
        <f>I503-2.0*J503</f>
        <v/>
      </c>
      <c r="N503">
        <f>I503+1.5*K503</f>
        <v/>
      </c>
      <c r="O503">
        <f>I503-1.5*K503</f>
        <v/>
      </c>
      <c r="P503">
        <f>AND(L503&lt;N503,M503&gt;O503)</f>
        <v/>
      </c>
      <c r="Q503">
        <f>MAX(D484:D503)</f>
        <v/>
      </c>
      <c r="R503">
        <f>MIN(E484:E503)</f>
        <v/>
      </c>
      <c r="S503">
        <f>F503-((Q503+R503)/2+I503)/2</f>
        <v/>
      </c>
      <c r="T503">
        <f>FORECAST(A503,S484:S503,A484:A503)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2026-10-29T21:00:40Z</dcterms:created>
  <dcterms:modified xsi:type="dcterms:W3CDTF">2026-10-29T21:00:41Z</dcterms:modified>
</cp:coreProperties>
</file>